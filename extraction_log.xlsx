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Flags to Review" sheetId="1" state="visible" r:id="rId1"/>
    <sheet xmlns:r="http://schemas.openxmlformats.org/officeDocument/2006/relationships" name="Extraction Log" sheetId="2" state="visible" r:id="rId2"/>
    <sheet xmlns:r="http://schemas.openxmlformats.org/officeDocument/2006/relationships" name="Master Dataset (for R)" sheetId="3" state="visible" r:id="rId3"/>
    <sheet xmlns:r="http://schemas.openxmlformats.org/officeDocument/2006/relationships" name="How to Use" sheetId="4" state="visible" r:id="rId4"/>
  </sheets>
  <definedNames>
    <definedName name="_xlnm._FilterDatabase" localSheetId="0" hidden="1">'Flags to Review'!$A$1:$K$352</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9">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10"/>
    </font>
    <font>
      <name val="Noto Sans CJK SC"/>
      <family val="2"/>
      <sz val="10"/>
    </font>
    <font>
      <name val="Arial"/>
      <charset val="1"/>
      <family val="0"/>
      <b val="1"/>
      <color rgb="FFFFFFFF"/>
      <sz val="11"/>
    </font>
    <font>
      <name val="Arial"/>
      <charset val="1"/>
      <family val="0"/>
      <b val="1"/>
      <color rgb="FFFFFFFF"/>
      <sz val="8"/>
    </font>
    <font>
      <name val="Arial"/>
      <charset val="1"/>
      <family val="0"/>
      <b val="1"/>
      <color rgb="FFFFFFFF"/>
      <sz val="9"/>
    </font>
    <font>
      <name val="Arial"/>
      <charset val="1"/>
      <family val="0"/>
      <i val="1"/>
      <color rgb="FF595959"/>
      <sz val="8"/>
    </font>
    <font>
      <name val="Arial"/>
      <charset val="1"/>
      <family val="0"/>
      <b val="1"/>
      <color rgb="FF000000"/>
      <sz val="10"/>
    </font>
    <font>
      <name val="Arial"/>
      <charset val="1"/>
      <family val="0"/>
      <color rgb="FF000000"/>
      <sz val="10"/>
    </font>
    <font>
      <name val="Arial"/>
      <charset val="1"/>
      <family val="0"/>
      <color rgb="FF000000"/>
      <sz val="9"/>
    </font>
    <font>
      <name val="Arial"/>
      <charset val="1"/>
      <family val="0"/>
      <b val="1"/>
      <color rgb="FF990000"/>
      <sz val="10"/>
    </font>
    <font>
      <name val="Noto Sans CJK SC"/>
      <family val="2"/>
      <color rgb="FF000000"/>
      <sz val="10"/>
    </font>
    <font>
      <name val="Arial"/>
      <charset val="1"/>
      <family val="0"/>
      <b val="1"/>
      <color rgb="FF000000"/>
      <sz val="9"/>
    </font>
    <font>
      <name val="Noto Sans CJK SC"/>
      <family val="2"/>
      <color rgb="FF000000"/>
      <sz val="9"/>
    </font>
    <font>
      <name val="Arial"/>
      <charset val="1"/>
      <family val="0"/>
      <b val="1"/>
      <color rgb="FFFFFFFF"/>
      <sz val="12"/>
    </font>
  </fonts>
  <fills count="16">
    <fill>
      <patternFill/>
    </fill>
    <fill>
      <patternFill patternType="gray125"/>
    </fill>
    <fill>
      <patternFill patternType="solid">
        <fgColor rgb="FF4472C4"/>
        <bgColor rgb="FF2E75B6"/>
      </patternFill>
    </fill>
    <fill>
      <patternFill patternType="solid">
        <fgColor rgb="FFFF9999"/>
        <bgColor rgb="FFFF8080"/>
      </patternFill>
    </fill>
    <fill>
      <patternFill patternType="solid">
        <fgColor rgb="FFFFFF99"/>
        <bgColor rgb="FFFFF2CC"/>
      </patternFill>
    </fill>
    <fill>
      <patternFill patternType="solid">
        <fgColor rgb="FFFFCC99"/>
        <bgColor rgb="FFCCCCCC"/>
      </patternFill>
    </fill>
    <fill>
      <patternFill patternType="solid">
        <fgColor rgb="FF1F3864"/>
        <bgColor rgb="FF333399"/>
      </patternFill>
    </fill>
    <fill>
      <patternFill patternType="solid">
        <fgColor rgb="FF2E75B6"/>
        <bgColor rgb="FF4472C4"/>
      </patternFill>
    </fill>
    <fill>
      <patternFill patternType="solid">
        <fgColor rgb="FF7030A0"/>
        <bgColor rgb="FF993366"/>
      </patternFill>
    </fill>
    <fill>
      <patternFill patternType="solid">
        <fgColor rgb="FF375623"/>
        <bgColor rgb="FF595959"/>
      </patternFill>
    </fill>
    <fill>
      <patternFill patternType="solid">
        <fgColor rgb="FFFFF2CC"/>
        <bgColor rgb="FFF2F2F2"/>
      </patternFill>
    </fill>
    <fill>
      <patternFill patternType="solid">
        <fgColor rgb="FFF2F2F2"/>
        <bgColor rgb="FFEDE7F6"/>
      </patternFill>
    </fill>
    <fill>
      <patternFill patternType="solid">
        <fgColor rgb="FFEDE7F6"/>
        <bgColor rgb="FFF2F2F2"/>
      </patternFill>
    </fill>
    <fill>
      <patternFill patternType="solid">
        <fgColor rgb="FFFFFFFF"/>
        <bgColor rgb="FFF2F2F2"/>
      </patternFill>
    </fill>
    <fill>
      <patternFill patternType="solid">
        <fgColor rgb="FFD9E2F3"/>
        <bgColor rgb="FFEDE7F6"/>
      </patternFill>
    </fill>
    <fill>
      <patternFill patternType="solid">
        <fgColor rgb="FFE2EFDA"/>
        <bgColor rgb="FFF2F2F2"/>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BFBFBF"/>
      </left>
      <right style="thin">
        <color rgb="FFBFBFBF"/>
      </right>
      <top style="thin">
        <color rgb="FFBFBFBF"/>
      </top>
      <bottom style="thin">
        <color rgb="FFBFBFBF"/>
      </bottom>
      <diagonal/>
    </border>
    <border>
      <left style="thin">
        <color rgb="FFC55A11"/>
      </left>
      <right/>
      <top style="thin">
        <color rgb="FFC55A11"/>
      </top>
      <bottom style="thin">
        <color rgb="FFC55A11"/>
      </bottom>
      <diagonal/>
    </border>
    <border>
      <left/>
      <right/>
      <top style="thin">
        <color rgb="FFC55A11"/>
      </top>
      <bottom/>
      <diagonal/>
    </border>
    <border>
      <left/>
      <right/>
      <top style="thin">
        <color rgb="FFC55A11"/>
      </top>
      <bottom style="thin">
        <color rgb="FFC55A1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3" borderId="1" applyAlignment="1" pivotButton="0" quotePrefix="0" xfId="0">
      <alignment horizontal="general" vertical="top"/>
    </xf>
    <xf numFmtId="0" fontId="5" fillId="0" borderId="1" applyAlignment="1" pivotButton="0" quotePrefix="0" xfId="0">
      <alignment horizontal="general" vertical="top" wrapText="1"/>
    </xf>
    <xf numFmtId="0" fontId="5" fillId="4" borderId="1" applyAlignment="1" pivotButton="0" quotePrefix="0" xfId="0">
      <alignment horizontal="general" vertical="top"/>
    </xf>
    <xf numFmtId="0" fontId="5" fillId="5" borderId="1" applyAlignment="1" pivotButton="0" quotePrefix="0" xfId="0">
      <alignment horizontal="general" vertical="top"/>
    </xf>
    <xf numFmtId="0" fontId="5" fillId="4" borderId="1" applyAlignment="1" pivotButton="0" quotePrefix="0" xfId="0">
      <alignment horizontal="general" vertical="top" wrapText="1"/>
    </xf>
    <xf numFmtId="0" fontId="7" fillId="6" borderId="0" applyAlignment="1" pivotButton="0" quotePrefix="0" xfId="0">
      <alignment horizontal="center" vertical="center"/>
    </xf>
    <xf numFmtId="0" fontId="8"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4" fillId="9" borderId="0" applyAlignment="1" pivotButton="0" quotePrefix="0" xfId="0">
      <alignment horizontal="center" vertical="center"/>
    </xf>
    <xf numFmtId="0" fontId="9" fillId="6" borderId="2" applyAlignment="1" pivotButton="0" quotePrefix="0" xfId="0">
      <alignment horizontal="center" vertical="center" wrapText="1"/>
    </xf>
    <xf numFmtId="0" fontId="8" fillId="7" borderId="2" applyAlignment="1" pivotButton="0" quotePrefix="0" xfId="0">
      <alignment horizontal="center" vertical="center" wrapText="1"/>
    </xf>
    <xf numFmtId="0" fontId="8" fillId="9" borderId="2" applyAlignment="1" pivotButton="0" quotePrefix="0" xfId="0">
      <alignment horizontal="center" vertical="center" wrapText="1"/>
    </xf>
    <xf numFmtId="0" fontId="8" fillId="8" borderId="2" applyAlignment="1" pivotButton="0" quotePrefix="0" xfId="0">
      <alignment horizontal="center" vertical="center" wrapText="1"/>
    </xf>
    <xf numFmtId="0" fontId="9" fillId="9" borderId="2" applyAlignment="1" pivotButton="0" quotePrefix="0" xfId="0">
      <alignment horizontal="center" vertical="center" wrapText="1"/>
    </xf>
    <xf numFmtId="0" fontId="10" fillId="10" borderId="3" applyAlignment="1" pivotButton="0" quotePrefix="0" xfId="0">
      <alignment horizontal="left" vertical="center" wrapText="1"/>
    </xf>
    <xf numFmtId="0" fontId="11" fillId="11" borderId="2" applyAlignment="1" pivotButton="0" quotePrefix="0" xfId="0">
      <alignment horizontal="left" vertical="center"/>
    </xf>
    <xf numFmtId="0" fontId="12" fillId="11" borderId="2" applyAlignment="1" pivotButton="0" quotePrefix="0" xfId="0">
      <alignment horizontal="left" vertical="center"/>
    </xf>
    <xf numFmtId="0" fontId="12" fillId="11" borderId="2" applyAlignment="1" pivotButton="0" quotePrefix="0" xfId="0">
      <alignment horizontal="left" vertical="center" wrapText="1"/>
    </xf>
    <xf numFmtId="0" fontId="12" fillId="3" borderId="2" applyAlignment="1" pivotButton="0" quotePrefix="0" xfId="0">
      <alignment horizontal="left" vertical="center"/>
    </xf>
    <xf numFmtId="164" fontId="13" fillId="11" borderId="2" applyAlignment="1" pivotButton="0" quotePrefix="0" xfId="0">
      <alignment horizontal="left" vertical="center"/>
    </xf>
    <xf numFmtId="0" fontId="14" fillId="3" borderId="2" applyAlignment="1" pivotButton="0" quotePrefix="0" xfId="0">
      <alignment horizontal="left" vertical="center"/>
    </xf>
    <xf numFmtId="0" fontId="12" fillId="10" borderId="2" applyAlignment="1" pivotButton="0" quotePrefix="0" xfId="0">
      <alignment horizontal="left" vertical="center"/>
    </xf>
    <xf numFmtId="0" fontId="12" fillId="12" borderId="2" applyAlignment="1" pivotButton="0" quotePrefix="0" xfId="0">
      <alignment horizontal="left" vertical="center"/>
    </xf>
    <xf numFmtId="0" fontId="12" fillId="13" borderId="2" applyAlignment="1" pivotButton="0" quotePrefix="0" xfId="0">
      <alignment horizontal="left" vertical="center"/>
    </xf>
    <xf numFmtId="0" fontId="12" fillId="13" borderId="2" applyAlignment="1" pivotButton="0" quotePrefix="0" xfId="0">
      <alignment horizontal="left" vertical="center" wrapText="1"/>
    </xf>
    <xf numFmtId="164" fontId="13" fillId="13" borderId="2" applyAlignment="1" pivotButton="0" quotePrefix="0" xfId="0">
      <alignment horizontal="left" vertical="center"/>
    </xf>
    <xf numFmtId="0" fontId="0" fillId="6" borderId="0" applyAlignment="1" pivotButton="0" quotePrefix="0" xfId="0">
      <alignment horizontal="general" vertical="bottom"/>
    </xf>
    <xf numFmtId="0" fontId="11" fillId="13" borderId="2" applyAlignment="1" pivotButton="0" quotePrefix="0" xfId="0">
      <alignment horizontal="left" vertical="center"/>
    </xf>
    <xf numFmtId="0" fontId="8" fillId="6" borderId="2" applyAlignment="1" pivotButton="0" quotePrefix="0" xfId="0">
      <alignment horizontal="center" vertical="center" wrapText="1"/>
    </xf>
    <xf numFmtId="0" fontId="16" fillId="13" borderId="2" applyAlignment="1" pivotButton="0" quotePrefix="0" xfId="0">
      <alignment horizontal="left" vertical="center"/>
    </xf>
    <xf numFmtId="0" fontId="13" fillId="13" borderId="2" applyAlignment="1" pivotButton="0" quotePrefix="0" xfId="0">
      <alignment horizontal="left" vertical="center"/>
    </xf>
    <xf numFmtId="0" fontId="13" fillId="10" borderId="2" applyAlignment="1" pivotButton="0" quotePrefix="0" xfId="0">
      <alignment horizontal="left" vertical="center"/>
    </xf>
    <xf numFmtId="0" fontId="13" fillId="12" borderId="2" applyAlignment="1" pivotButton="0" quotePrefix="0" xfId="0">
      <alignment horizontal="left" vertical="center"/>
    </xf>
    <xf numFmtId="0" fontId="13" fillId="11" borderId="2" applyAlignment="1" pivotButton="0" quotePrefix="0" xfId="0">
      <alignment horizontal="left" vertical="center"/>
    </xf>
    <xf numFmtId="0" fontId="16" fillId="11" borderId="2" applyAlignment="1" pivotButton="0" quotePrefix="0" xfId="0">
      <alignment horizontal="left" vertical="center"/>
    </xf>
    <xf numFmtId="0" fontId="18" fillId="6" borderId="0" applyAlignment="1" pivotButton="0" quotePrefix="0" xfId="0">
      <alignment horizontal="center" vertical="center"/>
    </xf>
    <xf numFmtId="0" fontId="11" fillId="14" borderId="2" applyAlignment="1" pivotButton="0" quotePrefix="0" xfId="0">
      <alignment horizontal="left" vertical="center" wrapText="1"/>
    </xf>
    <xf numFmtId="0" fontId="12" fillId="14" borderId="2" applyAlignment="1" pivotButton="0" quotePrefix="0" xfId="0">
      <alignment horizontal="left" vertical="center" wrapText="1"/>
    </xf>
    <xf numFmtId="0" fontId="12" fillId="15" borderId="2"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3" borderId="1" applyAlignment="1" pivotButton="0" quotePrefix="0" xfId="0">
      <alignment horizontal="general" vertical="top"/>
    </xf>
    <xf numFmtId="0" fontId="5" fillId="0" borderId="1" applyAlignment="1" pivotButton="0" quotePrefix="0" xfId="0">
      <alignment horizontal="general" vertical="top" wrapText="1"/>
    </xf>
    <xf numFmtId="0" fontId="5" fillId="4" borderId="1" applyAlignment="1" pivotButton="0" quotePrefix="0" xfId="0">
      <alignment horizontal="general" vertical="top"/>
    </xf>
    <xf numFmtId="0" fontId="5" fillId="5" borderId="1" applyAlignment="1" pivotButton="0" quotePrefix="0" xfId="0">
      <alignment horizontal="general" vertical="top"/>
    </xf>
    <xf numFmtId="0" fontId="5" fillId="4" borderId="1" applyAlignment="1" pivotButton="0" quotePrefix="0" xfId="0">
      <alignment horizontal="general" vertical="top" wrapText="1"/>
    </xf>
    <xf numFmtId="0" fontId="7" fillId="6" borderId="0" applyAlignment="1" pivotButton="0" quotePrefix="0" xfId="0">
      <alignment horizontal="center" vertical="center"/>
    </xf>
    <xf numFmtId="0" fontId="8"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4" fillId="9" borderId="0" applyAlignment="1" pivotButton="0" quotePrefix="0" xfId="0">
      <alignment horizontal="center" vertical="center"/>
    </xf>
    <xf numFmtId="0" fontId="9" fillId="6" borderId="2" applyAlignment="1" pivotButton="0" quotePrefix="0" xfId="0">
      <alignment horizontal="center" vertical="center" wrapText="1"/>
    </xf>
    <xf numFmtId="0" fontId="8" fillId="7" borderId="2" applyAlignment="1" pivotButton="0" quotePrefix="0" xfId="0">
      <alignment horizontal="center" vertical="center" wrapText="1"/>
    </xf>
    <xf numFmtId="0" fontId="8" fillId="9" borderId="2" applyAlignment="1" pivotButton="0" quotePrefix="0" xfId="0">
      <alignment horizontal="center" vertical="center" wrapText="1"/>
    </xf>
    <xf numFmtId="0" fontId="8" fillId="8" borderId="2" applyAlignment="1" pivotButton="0" quotePrefix="0" xfId="0">
      <alignment horizontal="center" vertical="center" wrapText="1"/>
    </xf>
    <xf numFmtId="0" fontId="9" fillId="9" borderId="2" applyAlignment="1" pivotButton="0" quotePrefix="0" xfId="0">
      <alignment horizontal="center" vertical="center" wrapText="1"/>
    </xf>
    <xf numFmtId="0" fontId="10" fillId="10" borderId="3" applyAlignment="1" pivotButton="0" quotePrefix="0" xfId="0">
      <alignment horizontal="left" vertical="center" wrapText="1"/>
    </xf>
    <xf numFmtId="0" fontId="0" fillId="0" borderId="5" pivotButton="0" quotePrefix="0" xfId="0"/>
    <xf numFmtId="0" fontId="11" fillId="11" borderId="2" applyAlignment="1" pivotButton="0" quotePrefix="0" xfId="0">
      <alignment horizontal="left" vertical="center"/>
    </xf>
    <xf numFmtId="0" fontId="12" fillId="11" borderId="2" applyAlignment="1" pivotButton="0" quotePrefix="0" xfId="0">
      <alignment horizontal="left" vertical="center"/>
    </xf>
    <xf numFmtId="0" fontId="12" fillId="11" borderId="2" applyAlignment="1" pivotButton="0" quotePrefix="0" xfId="0">
      <alignment horizontal="left" vertical="center" wrapText="1"/>
    </xf>
    <xf numFmtId="0" fontId="12" fillId="3" borderId="2" applyAlignment="1" pivotButton="0" quotePrefix="0" xfId="0">
      <alignment horizontal="left" vertical="center"/>
    </xf>
    <xf numFmtId="164" fontId="13" fillId="11" borderId="2" applyAlignment="1" pivotButton="0" quotePrefix="0" xfId="0">
      <alignment horizontal="left" vertical="center"/>
    </xf>
    <xf numFmtId="0" fontId="14" fillId="3" borderId="2" applyAlignment="1" pivotButton="0" quotePrefix="0" xfId="0">
      <alignment horizontal="left" vertical="center"/>
    </xf>
    <xf numFmtId="0" fontId="12" fillId="10" borderId="2" applyAlignment="1" pivotButton="0" quotePrefix="0" xfId="0">
      <alignment horizontal="left" vertical="center"/>
    </xf>
    <xf numFmtId="0" fontId="12" fillId="12" borderId="2" applyAlignment="1" pivotButton="0" quotePrefix="0" xfId="0">
      <alignment horizontal="left" vertical="center"/>
    </xf>
    <xf numFmtId="0" fontId="12" fillId="13" borderId="2" applyAlignment="1" pivotButton="0" quotePrefix="0" xfId="0">
      <alignment horizontal="left" vertical="center"/>
    </xf>
    <xf numFmtId="0" fontId="12" fillId="13" borderId="2" applyAlignment="1" pivotButton="0" quotePrefix="0" xfId="0">
      <alignment horizontal="left" vertical="center" wrapText="1"/>
    </xf>
    <xf numFmtId="164" fontId="13" fillId="13" borderId="2" applyAlignment="1" pivotButton="0" quotePrefix="0" xfId="0">
      <alignment horizontal="left" vertical="center"/>
    </xf>
    <xf numFmtId="0" fontId="0" fillId="6" borderId="0" applyAlignment="1" pivotButton="0" quotePrefix="0" xfId="0">
      <alignment horizontal="general" vertical="bottom"/>
    </xf>
    <xf numFmtId="0" fontId="11" fillId="13" borderId="2" applyAlignment="1" pivotButton="0" quotePrefix="0" xfId="0">
      <alignment horizontal="left" vertical="center"/>
    </xf>
    <xf numFmtId="0" fontId="8" fillId="6" borderId="2" applyAlignment="1" pivotButton="0" quotePrefix="0" xfId="0">
      <alignment horizontal="center" vertical="center" wrapText="1"/>
    </xf>
    <xf numFmtId="0" fontId="16" fillId="13" borderId="2" applyAlignment="1" pivotButton="0" quotePrefix="0" xfId="0">
      <alignment horizontal="left" vertical="center"/>
    </xf>
    <xf numFmtId="0" fontId="13" fillId="13" borderId="2" applyAlignment="1" pivotButton="0" quotePrefix="0" xfId="0">
      <alignment horizontal="left" vertical="center"/>
    </xf>
    <xf numFmtId="0" fontId="13" fillId="10" borderId="2" applyAlignment="1" pivotButton="0" quotePrefix="0" xfId="0">
      <alignment horizontal="left" vertical="center"/>
    </xf>
    <xf numFmtId="0" fontId="13" fillId="12" borderId="2" applyAlignment="1" pivotButton="0" quotePrefix="0" xfId="0">
      <alignment horizontal="left" vertical="center"/>
    </xf>
    <xf numFmtId="0" fontId="13" fillId="11" borderId="2" applyAlignment="1" pivotButton="0" quotePrefix="0" xfId="0">
      <alignment horizontal="left" vertical="center"/>
    </xf>
    <xf numFmtId="0" fontId="16" fillId="11" borderId="2" applyAlignment="1" pivotButton="0" quotePrefix="0" xfId="0">
      <alignment horizontal="left" vertical="center"/>
    </xf>
    <xf numFmtId="0" fontId="18" fillId="6" borderId="0" applyAlignment="1" pivotButton="0" quotePrefix="0" xfId="0">
      <alignment horizontal="center" vertical="center"/>
    </xf>
    <xf numFmtId="0" fontId="11" fillId="14" borderId="2" applyAlignment="1" pivotButton="0" quotePrefix="0" xfId="0">
      <alignment horizontal="left" vertical="center" wrapText="1"/>
    </xf>
    <xf numFmtId="0" fontId="12" fillId="14" borderId="2" applyAlignment="1" pivotButton="0" quotePrefix="0" xfId="0">
      <alignment horizontal="left" vertical="center" wrapText="1"/>
    </xf>
    <xf numFmtId="0" fontId="12" fillId="15" borderId="2" applyAlignment="1" pivotButton="0" quotePrefix="0" xfId="0">
      <alignment horizontal="left"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4472C4"/>
          <bgColor rgb="FF000000"/>
        </patternFill>
      </fill>
    </dxf>
    <dxf>
      <fill>
        <patternFill patternType="solid">
          <fgColor rgb="FFFF9999"/>
          <bgColor rgb="FF000000"/>
        </patternFill>
      </fill>
    </dxf>
    <dxf>
      <fill>
        <patternFill patternType="solid">
          <fgColor rgb="FFFFCC99"/>
          <bgColor rgb="FF000000"/>
        </patternFill>
      </fill>
    </dxf>
    <dxf>
      <fill>
        <patternFill patternType="solid">
          <fgColor rgb="FFFFFFFF"/>
          <bgColor rgb="FF000000"/>
        </patternFill>
      </fill>
    </dxf>
    <dxf>
      <fill>
        <patternFill patternType="solid">
          <bgColor rgb="FF000000"/>
        </patternFill>
      </fill>
    </dxf>
    <dxf>
      <fill>
        <patternFill patternType="solid">
          <fgColor rgb="FFFFFF99"/>
          <bgColor rgb="FF000000"/>
        </patternFill>
      </fill>
    </dxf>
  </dxfs>
  <colors>
    <indexedColors>
      <rgbColor rgb="FF000000"/>
      <rgbColor rgb="FFFFFFFF"/>
      <rgbColor rgb="FFFF0000"/>
      <rgbColor rgb="FF00FF00"/>
      <rgbColor rgb="FF0000FF"/>
      <rgbColor rgb="FFFFFF00"/>
      <rgbColor rgb="FFFF00FF"/>
      <rgbColor rgb="FF00FFFF"/>
      <rgbColor rgb="FF990000"/>
      <rgbColor rgb="FF008000"/>
      <rgbColor rgb="FF000080"/>
      <rgbColor rgb="FF808000"/>
      <rgbColor rgb="FF800080"/>
      <rgbColor rgb="FF008080"/>
      <rgbColor rgb="FFBFBFBF"/>
      <rgbColor rgb="FF808080"/>
      <rgbColor rgb="FF9999FF"/>
      <rgbColor rgb="FF7030A0"/>
      <rgbColor rgb="FFFFF2CC"/>
      <rgbColor rgb="FFF2F2F2"/>
      <rgbColor rgb="FF660066"/>
      <rgbColor rgb="FFFF8080"/>
      <rgbColor rgb="FF2E75B6"/>
      <rgbColor rgb="FFCCCCCC"/>
      <rgbColor rgb="FF000080"/>
      <rgbColor rgb="FFFF00FF"/>
      <rgbColor rgb="FFFFFF00"/>
      <rgbColor rgb="FF00FFFF"/>
      <rgbColor rgb="FF800080"/>
      <rgbColor rgb="FF800000"/>
      <rgbColor rgb="FF008080"/>
      <rgbColor rgb="FF0000FF"/>
      <rgbColor rgb="FF00CCFF"/>
      <rgbColor rgb="FFD9E2F3"/>
      <rgbColor rgb="FFE2EFDA"/>
      <rgbColor rgb="FFFFFF99"/>
      <rgbColor rgb="FFEDE7F6"/>
      <rgbColor rgb="FFFF9999"/>
      <rgbColor rgb="FFCC99FF"/>
      <rgbColor rgb="FFFFCC99"/>
      <rgbColor rgb="FF4472C4"/>
      <rgbColor rgb="FF33CCCC"/>
      <rgbColor rgb="FF99CC00"/>
      <rgbColor rgb="FFFFCC00"/>
      <rgbColor rgb="FFFF9900"/>
      <rgbColor rgb="FFC55A11"/>
      <rgbColor rgb="FF595959"/>
      <rgbColor rgb="FF969696"/>
      <rgbColor rgb="FF1F3864"/>
      <rgbColor rgb="FF339966"/>
      <rgbColor rgb="FF003300"/>
      <rgbColor rgb="FF333300"/>
      <rgbColor rgb="FF993300"/>
      <rgbColor rgb="FF993366"/>
      <rgbColor rgb="FF333399"/>
      <rgbColor rgb="FF37562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K352"/>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42" min="1" max="1"/>
    <col width="10" customWidth="1" style="42" min="2" max="2"/>
    <col width="7" customWidth="1" style="42" min="3" max="3"/>
    <col width="22" customWidth="1" style="42" min="4" max="4"/>
    <col width="13" customWidth="1" style="42" min="5" max="6"/>
    <col width="10" customWidth="1" style="42" min="7" max="7"/>
    <col width="60" customWidth="1" style="42" min="8" max="8"/>
    <col width="16" customWidth="1" style="42" min="9" max="10"/>
    <col width="12" customWidth="1" style="42" min="11" max="11"/>
  </cols>
  <sheetData>
    <row r="1" ht="23.25" customHeight="1" s="43">
      <c r="A1" s="44" t="inlineStr">
        <is>
          <t>Company</t>
        </is>
      </c>
      <c r="B1" s="44" t="inlineStr">
        <is>
          <t>Code</t>
        </is>
      </c>
      <c r="C1" s="44" t="inlineStr">
        <is>
          <t>Year</t>
        </is>
      </c>
      <c r="D1" s="44" t="inlineStr">
        <is>
          <t>Indicator</t>
        </is>
      </c>
      <c r="E1" s="44" t="inlineStr">
        <is>
          <t>Claude Value</t>
        </is>
      </c>
      <c r="F1" s="44" t="inlineStr">
        <is>
          <t>DeepSeek Value</t>
        </is>
      </c>
      <c r="G1" s="44" t="inlineStr">
        <is>
          <t>Diff %</t>
        </is>
      </c>
      <c r="H1" s="44" t="inlineStr">
        <is>
          <t>Diagnostic Note (from Extraction Log)</t>
        </is>
      </c>
      <c r="I1" s="44" t="inlineStr">
        <is>
          <t>Corrected Value (fill in)</t>
        </is>
      </c>
      <c r="J1" s="44" t="inlineStr">
        <is>
          <t>Source / Page (fill in)</t>
        </is>
      </c>
      <c r="K1" s="44" t="inlineStr">
        <is>
          <t>Resolved?</t>
        </is>
      </c>
    </row>
    <row r="2" ht="15" customHeight="1" s="43">
      <c r="A2" s="45" t="inlineStr">
        <is>
          <t>APR</t>
        </is>
      </c>
      <c r="B2" s="45" t="inlineStr">
        <is>
          <t>278470</t>
        </is>
      </c>
      <c r="C2" s="45" t="inlineStr">
        <is>
          <t>2023</t>
        </is>
      </c>
      <c r="D2" s="45" t="inlineStr">
        <is>
          <t>Parental Leave: Male</t>
        </is>
      </c>
      <c r="E2" s="45" t="n">
        <v>0</v>
      </c>
      <c r="F2" s="45" t="n">
        <v>3</v>
      </c>
      <c r="G2" s="45" t="inlineStr">
        <is>
          <t>N/A (div/0)</t>
        </is>
      </c>
      <c r="H2" s="46" t="inlineStr">
        <is>
          <t>Ind.17 (Parental Leave M): Claude=0, DeepSeek=3, Diff=999999</t>
        </is>
      </c>
      <c r="I2" s="47" t="n">
        <v>0</v>
      </c>
      <c r="J2" s="47" t="inlineStr">
        <is>
          <t>ESG Data Pack, p.103 - 'Employees who took parental leave' table, Male row (2023)</t>
        </is>
      </c>
      <c r="K2" s="47" t="inlineStr">
        <is>
          <t>Yes</t>
        </is>
      </c>
    </row>
    <row r="3" ht="15" customHeight="1" s="43">
      <c r="A3" s="45" t="inlineStr">
        <is>
          <t>APR</t>
        </is>
      </c>
      <c r="B3" s="45" t="inlineStr">
        <is>
          <t>278470</t>
        </is>
      </c>
      <c r="C3" s="45" t="inlineStr">
        <is>
          <t>2024</t>
        </is>
      </c>
      <c r="D3" s="45" t="inlineStr">
        <is>
          <t>Parental Leave: Male</t>
        </is>
      </c>
      <c r="E3" s="45" t="n">
        <v>0</v>
      </c>
      <c r="F3" s="45" t="n">
        <v>4</v>
      </c>
      <c r="G3" s="45" t="inlineStr">
        <is>
          <t>N/A (div/0)</t>
        </is>
      </c>
      <c r="H3" s="46" t="inlineStr">
        <is>
          <t>Ind.17 (Parental Leave M): Claude=0, DeepSeek=4, Diff=999999</t>
        </is>
      </c>
      <c r="I3" s="47" t="n">
        <v>0</v>
      </c>
      <c r="J3" s="47" t="inlineStr">
        <is>
          <t>ESG Data Pack, p.103 - 'Employees who took parental leave' table, Male row (2024)</t>
        </is>
      </c>
      <c r="K3" s="47" t="inlineStr">
        <is>
          <t>Yes</t>
        </is>
      </c>
    </row>
    <row r="4" ht="15" customHeight="1" s="43">
      <c r="A4" s="45" t="inlineStr">
        <is>
          <t>APR</t>
        </is>
      </c>
      <c r="B4" s="45" t="inlineStr">
        <is>
          <t>278470</t>
        </is>
      </c>
      <c r="C4" s="45" t="inlineStr">
        <is>
          <t>2024</t>
        </is>
      </c>
      <c r="D4" s="45" t="inlineStr">
        <is>
          <t>Contract Workers %</t>
        </is>
      </c>
      <c r="E4" s="45" t="n">
        <v>0.8100000000000001</v>
      </c>
      <c r="F4" s="45" t="n">
        <v>14.54</v>
      </c>
      <c r="G4" s="45" t="n">
        <v>1695.1</v>
      </c>
      <c r="H4" s="46" t="inlineStr">
        <is>
          <t>Ind.1 (Contract Workers%): Claude=0</t>
        </is>
      </c>
      <c r="I4" s="47" t="n">
        <v>14.54</v>
      </c>
      <c r="J4" s="47" t="inlineStr">
        <is>
          <t>ESG Data Pack, p.101 - 'Status of Employees' table: Non-regular employees (90) / Total domestic employees (619), 2024</t>
        </is>
      </c>
      <c r="K4" s="47" t="inlineStr">
        <is>
          <t>Yes</t>
        </is>
      </c>
    </row>
    <row r="5" ht="34.5" customHeight="1" s="43">
      <c r="A5" s="45" t="inlineStr">
        <is>
          <t>APR</t>
        </is>
      </c>
      <c r="B5" s="45" t="inlineStr">
        <is>
          <t>278470</t>
        </is>
      </c>
      <c r="C5" s="45" t="inlineStr">
        <is>
          <t>2023</t>
        </is>
      </c>
      <c r="D5" s="45" t="inlineStr">
        <is>
          <t>Contract Workers %</t>
        </is>
      </c>
      <c r="E5" s="45" t="n">
        <v>6.68</v>
      </c>
      <c r="F5" s="45" t="n">
        <v>12.32</v>
      </c>
      <c r="G5" s="45" t="n">
        <v>84.40000000000001</v>
      </c>
      <c r="H5" s="46" t="inlineStr">
        <is>
          <t>Ind.1/3: source distinguishes narrow 'Contract workers' sub-row (32 persons) from broader 'Non-regular employees' total (59, incl || Ind.1 (Contract Workers%): Claude=6</t>
        </is>
      </c>
      <c r="I5" s="47" t="n">
        <v>12.32</v>
      </c>
      <c r="J5" s="47" t="inlineStr">
        <is>
          <t>ESG Data Pack, p.101 - 'Status of Employees' table: Non-regular employees (59) / Total domestic employees (479), 2023</t>
        </is>
      </c>
      <c r="K5" s="47" t="inlineStr">
        <is>
          <t>Yes</t>
        </is>
      </c>
    </row>
    <row r="6" ht="15" customHeight="1" s="43">
      <c r="A6" s="48" t="inlineStr">
        <is>
          <t>APR</t>
        </is>
      </c>
      <c r="B6" s="48" t="inlineStr">
        <is>
          <t>278470</t>
        </is>
      </c>
      <c r="C6" s="48" t="inlineStr">
        <is>
          <t>2024</t>
        </is>
      </c>
      <c r="D6" s="48" t="inlineStr">
        <is>
          <t>Parental Leave: Female</t>
        </is>
      </c>
      <c r="E6" s="48" t="n">
        <v>14</v>
      </c>
      <c r="F6" s="48" t="n">
        <v>8</v>
      </c>
      <c r="G6" s="48" t="n">
        <v>42.9</v>
      </c>
      <c r="H6" s="46" t="inlineStr">
        <is>
          <t>Ind.16 (Parental Leave F): Claude=14, DeepSeek=8, Diff=42</t>
        </is>
      </c>
      <c r="I6" s="47" t="n">
        <v>14</v>
      </c>
      <c r="J6" s="47" t="inlineStr">
        <is>
          <t>ESG Data Pack, p.103 - 'Employees who took parental leave' table, Female row (2024)</t>
        </is>
      </c>
      <c r="K6" s="47" t="inlineStr">
        <is>
          <t>Yes</t>
        </is>
      </c>
    </row>
    <row r="7" ht="34.5" customHeight="1" s="43">
      <c r="A7" s="48" t="inlineStr">
        <is>
          <t>APR</t>
        </is>
      </c>
      <c r="B7" s="48" t="inlineStr">
        <is>
          <t>278470</t>
        </is>
      </c>
      <c r="C7" s="48" t="inlineStr">
        <is>
          <t>2023</t>
        </is>
      </c>
      <c r="D7" s="48" t="inlineStr">
        <is>
          <t>Parental Leave: Female</t>
        </is>
      </c>
      <c r="E7" s="48" t="n">
        <v>9</v>
      </c>
      <c r="F7" s="48" t="n">
        <v>6</v>
      </c>
      <c r="G7" s="48" t="n">
        <v>33.3</v>
      </c>
      <c r="H7" s="46" t="inlineStr">
        <is>
          <t>Ind.16/17: used 'took parental leave' row, not 'entitled to leave' row (source flags these are easy to conflate) || Ind.16 (Parental Leave F): Claude=9, DeepSeek=6, Diff=33</t>
        </is>
      </c>
      <c r="I7" s="47" t="n">
        <v>9</v>
      </c>
      <c r="J7" s="47" t="inlineStr">
        <is>
          <t>ESG Data Pack, p.103 - 'Employees who took parental leave' table, Female row (2023)</t>
        </is>
      </c>
      <c r="K7" s="47" t="inlineStr">
        <is>
          <t>Yes</t>
        </is>
      </c>
    </row>
    <row r="8" ht="15" customHeight="1" s="43">
      <c r="A8" s="48" t="inlineStr">
        <is>
          <t>APR</t>
        </is>
      </c>
      <c r="B8" s="48" t="inlineStr">
        <is>
          <t>278470</t>
        </is>
      </c>
      <c r="C8" s="48" t="inlineStr">
        <is>
          <t>2024</t>
        </is>
      </c>
      <c r="D8" s="48" t="inlineStr">
        <is>
          <t>Female Contract Workers %</t>
        </is>
      </c>
      <c r="E8" s="48" t="n">
        <v>80</v>
      </c>
      <c r="F8" s="48" t="n">
        <v>100</v>
      </c>
      <c r="G8" s="48" t="n">
        <v>25</v>
      </c>
      <c r="H8" s="46" t="inlineStr">
        <is>
          <t>Ind.3 (Female Contract%): Claude=80, DeepSeek=100</t>
        </is>
      </c>
      <c r="I8" s="47" t="n">
        <v>80</v>
      </c>
      <c r="J8" s="47" t="inlineStr">
        <is>
          <t>ESG Data Pack, p.101 - 'Contract workers' sub-row: Female (4) / Total contract workers (5), 2024</t>
        </is>
      </c>
      <c r="K8" s="47" t="inlineStr">
        <is>
          <t>Yes</t>
        </is>
      </c>
    </row>
    <row r="9" ht="15" customHeight="1" s="43">
      <c r="A9" s="48" t="inlineStr">
        <is>
          <t>APR</t>
        </is>
      </c>
      <c r="B9" s="48" t="inlineStr">
        <is>
          <t>278470</t>
        </is>
      </c>
      <c r="C9" s="48" t="inlineStr">
        <is>
          <t>2024</t>
        </is>
      </c>
      <c r="D9" s="48" t="inlineStr">
        <is>
          <t>% Disabled</t>
        </is>
      </c>
      <c r="E9" s="48" t="n">
        <v>4.523</v>
      </c>
      <c r="F9" s="48" t="n">
        <v>3.554</v>
      </c>
      <c r="G9" s="48" t="n">
        <v>21.4</v>
      </c>
      <c r="H9" s="46" t="inlineStr">
        <is>
          <t>Ind.7/8 recalculated: %Disabled=28/619=4 || Ind.7 (%Disabled): Claude=4</t>
        </is>
      </c>
      <c r="I9" s="47" t="n">
        <v>4.523</v>
      </c>
      <c r="J9" s="47" t="inlineStr">
        <is>
          <t>ESG Data Pack, p.101-102 - Number of employees with disabilities (28) / Total domestic employees (619), 2024; matches disclosed 4.5% ratio</t>
        </is>
      </c>
      <c r="K9" s="47" t="inlineStr">
        <is>
          <t>Yes</t>
        </is>
      </c>
    </row>
    <row r="10" ht="15" customHeight="1" s="43">
      <c r="A10" s="45" t="inlineStr">
        <is>
          <t>COWAY</t>
        </is>
      </c>
      <c r="B10" s="45" t="inlineStr">
        <is>
          <t>021240</t>
        </is>
      </c>
      <c r="C10" s="45" t="inlineStr">
        <is>
          <t>2020</t>
        </is>
      </c>
      <c r="D10" s="45" t="inlineStr">
        <is>
          <t>Voluntary Turnover %</t>
        </is>
      </c>
      <c r="E10" s="45" t="n">
        <v>5.36</v>
      </c>
      <c r="F10" s="45" t="n">
        <v>92.8</v>
      </c>
      <c r="G10" s="45" t="n">
        <v>1631.3</v>
      </c>
      <c r="H10" s="46" t="inlineStr">
        <is>
          <t>Ind.20 (Voluntary Turnover): Claude=5</t>
        </is>
      </c>
      <c r="I10" s="47" t="n">
        <v>5.36</v>
      </c>
      <c r="J10" s="47" t="inlineStr">
        <is>
          <t>COWAY_2022.pdf p.96, 'Employee Retention' table: Turnover rate 5.8% (2020) x Voluntary turnover rate(composition) 92.8% = 5.38% ~= Claude's 5.36% (voluntary departures as % of total workforce). Claude confirmed correct; DeepSeek's 92.8 is the report's own 'Voluntary turnover rate' label, which is actually voluntary departures as a share of TOTAL turnover (composition), not a workforce-based rate - label/scope mismatch.</t>
        </is>
      </c>
      <c r="K10" s="47" t="inlineStr">
        <is>
          <t>Yes</t>
        </is>
      </c>
    </row>
    <row r="11" ht="15" customHeight="1" s="43">
      <c r="A11" s="45" t="inlineStr">
        <is>
          <t>COWAY</t>
        </is>
      </c>
      <c r="B11" s="45" t="inlineStr">
        <is>
          <t>021240</t>
        </is>
      </c>
      <c r="C11" s="45" t="inlineStr">
        <is>
          <t>2020</t>
        </is>
      </c>
      <c r="D11" s="45" t="inlineStr">
        <is>
          <t>Involuntary Turnover %</t>
        </is>
      </c>
      <c r="E11" s="45" t="n">
        <v>0.42</v>
      </c>
      <c r="F11" s="45" t="n">
        <v>7.2</v>
      </c>
      <c r="G11" s="45" t="n">
        <v>1614.3</v>
      </c>
      <c r="H11" s="46" t="inlineStr">
        <is>
          <t>Ind.21 (Involuntary Turnover): Claude=0</t>
        </is>
      </c>
      <c r="I11" s="47" t="n">
        <v>0.42</v>
      </c>
      <c r="J11" s="47" t="inlineStr">
        <is>
          <t>COWAY_2022.pdf p.96: Turnover rate 5.8% x Involuntary turnover rate(composition) 7.2% = 0.42%. Claude confirmed correct; DeepSeek's 7.2 is the raw composition-share value (share of turnover that was involuntary), not a workforce-based rate.</t>
        </is>
      </c>
      <c r="K11" s="47" t="inlineStr">
        <is>
          <t>Yes</t>
        </is>
      </c>
    </row>
    <row r="12" ht="15" customHeight="1" s="43">
      <c r="A12" s="45" t="inlineStr">
        <is>
          <t>COWAY</t>
        </is>
      </c>
      <c r="B12" s="45" t="inlineStr">
        <is>
          <t>021240</t>
        </is>
      </c>
      <c r="C12" s="45" t="inlineStr">
        <is>
          <t>2018</t>
        </is>
      </c>
      <c r="D12" s="45" t="inlineStr">
        <is>
          <t>Voluntary Turnover %</t>
        </is>
      </c>
      <c r="E12" s="45" t="n">
        <v>7.09</v>
      </c>
      <c r="F12" s="45" t="n">
        <v>95.90000000000001</v>
      </c>
      <c r="G12" s="45" t="n">
        <v>1252.6</v>
      </c>
      <c r="H12" s="46" t="inlineStr">
        <is>
          <t>Ind.20 (Voluntary Turnover): Claude=7</t>
        </is>
      </c>
      <c r="I12" s="47" t="n">
        <v>7.09</v>
      </c>
      <c r="J12" s="47" t="inlineStr">
        <is>
          <t>COWAY_2022.pdf p.96: Turnover rate 7.4% (2018) x Voluntary turnover rate(composition) 95.9% = 7.10% ~= Claude's 7.09%. Claude confirmed correct; DeepSeek's 95.9 is the report's raw composition-share label mistaken for a workforce-based rate.</t>
        </is>
      </c>
      <c r="K12" s="47" t="inlineStr">
        <is>
          <t>Yes</t>
        </is>
      </c>
    </row>
    <row r="13" ht="15" customHeight="1" s="43">
      <c r="A13" s="45" t="inlineStr">
        <is>
          <t>COWAY</t>
        </is>
      </c>
      <c r="B13" s="45" t="inlineStr">
        <is>
          <t>021240</t>
        </is>
      </c>
      <c r="C13" s="45" t="inlineStr">
        <is>
          <t>2018</t>
        </is>
      </c>
      <c r="D13" s="45" t="inlineStr">
        <is>
          <t>Involuntary Turnover %</t>
        </is>
      </c>
      <c r="E13" s="45" t="n">
        <v>0.31</v>
      </c>
      <c r="F13" s="45" t="n">
        <v>4.1</v>
      </c>
      <c r="G13" s="45" t="n">
        <v>1222.6</v>
      </c>
      <c r="H13" s="46" t="inlineStr">
        <is>
          <t>Ind.21 (Involuntary Turnover): Claude=0</t>
        </is>
      </c>
      <c r="I13" s="47" t="n">
        <v>0.31</v>
      </c>
      <c r="J13" s="47" t="inlineStr">
        <is>
          <t>COWAY_2022.pdf p.96: Turnover rate 7.4% x Involuntary turnover rate(composition) 4.1% = 0.30% ~= Claude's 0.31%. Claude confirmed correct; DeepSeek's 4.1 is the raw composition-share value.</t>
        </is>
      </c>
      <c r="K13" s="47" t="inlineStr">
        <is>
          <t>Yes</t>
        </is>
      </c>
    </row>
    <row r="14" ht="15" customHeight="1" s="43">
      <c r="A14" s="45" t="inlineStr">
        <is>
          <t>COWAY</t>
        </is>
      </c>
      <c r="B14" s="45" t="inlineStr">
        <is>
          <t>021240</t>
        </is>
      </c>
      <c r="C14" s="45" t="inlineStr">
        <is>
          <t>2019</t>
        </is>
      </c>
      <c r="D14" s="45" t="inlineStr">
        <is>
          <t>Involuntary Turnover %</t>
        </is>
      </c>
      <c r="E14" s="45" t="n">
        <v>0.83</v>
      </c>
      <c r="F14" s="45" t="n">
        <v>7.7</v>
      </c>
      <c r="G14" s="45" t="n">
        <v>827.7</v>
      </c>
      <c r="H14" s="46" t="inlineStr">
        <is>
          <t>Ind.21 (Involuntary Turnover): Claude=0</t>
        </is>
      </c>
      <c r="I14" s="47" t="n">
        <v>0.83</v>
      </c>
      <c r="J14" s="47" t="inlineStr">
        <is>
          <t>COWAY_2022.pdf p.96: Turnover rate 10.8% (2019) x Involuntary turnover rate(composition) 7.7% = 0.83%. Claude confirmed correct; DeepSeek's 7.7 is the raw composition-share value.</t>
        </is>
      </c>
      <c r="K14" s="47" t="inlineStr">
        <is>
          <t>Yes</t>
        </is>
      </c>
    </row>
    <row r="15" ht="15" customHeight="1" s="43">
      <c r="A15" s="45" t="inlineStr">
        <is>
          <t>COWAY</t>
        </is>
      </c>
      <c r="B15" s="45" t="inlineStr">
        <is>
          <t>021240</t>
        </is>
      </c>
      <c r="C15" s="45" t="inlineStr">
        <is>
          <t>2019</t>
        </is>
      </c>
      <c r="D15" s="45" t="inlineStr">
        <is>
          <t>Voluntary Turnover %</t>
        </is>
      </c>
      <c r="E15" s="45" t="n">
        <v>9.960000000000001</v>
      </c>
      <c r="F15" s="45" t="n">
        <v>92.3</v>
      </c>
      <c r="G15" s="45" t="n">
        <v>826.7</v>
      </c>
      <c r="H15" s="46" t="inlineStr">
        <is>
          <t>Ind.20 (Voluntary Turnover): Claude=9</t>
        </is>
      </c>
      <c r="I15" s="47" t="n">
        <v>9.960000000000001</v>
      </c>
      <c r="J15" s="47" t="inlineStr">
        <is>
          <t>COWAY_2022.pdf p.96: Turnover rate 10.8% x Voluntary turnover rate(composition) 92.3% = 9.97% ~= Claude's 9.96%. Claude confirmed correct; DeepSeek's 92.3 is the raw composition-share value.</t>
        </is>
      </c>
      <c r="K15" s="47" t="inlineStr">
        <is>
          <t>Yes</t>
        </is>
      </c>
    </row>
    <row r="16" ht="15" customHeight="1" s="43">
      <c r="A16" s="45" t="inlineStr">
        <is>
          <t>COWAY</t>
        </is>
      </c>
      <c r="B16" s="45" t="inlineStr">
        <is>
          <t>021240</t>
        </is>
      </c>
      <c r="C16" s="45" t="inlineStr">
        <is>
          <t>2021</t>
        </is>
      </c>
      <c r="D16" s="45" t="inlineStr">
        <is>
          <t>Involuntary Turnover %</t>
        </is>
      </c>
      <c r="E16" s="45" t="n">
        <v>0.86</v>
      </c>
      <c r="F16" s="45" t="n">
        <v>7.9</v>
      </c>
      <c r="G16" s="45" t="n">
        <v>818.6</v>
      </c>
      <c r="H16" s="46" t="inlineStr">
        <is>
          <t>Ind.21 (Involuntary Turnover): Claude=0</t>
        </is>
      </c>
      <c r="I16" s="47" t="n">
        <v>0.86</v>
      </c>
      <c r="J16" s="47" t="inlineStr">
        <is>
          <t>COWAY_2022.pdf p.96: Turnover rate 11% (2021) x Involuntary turnover rate(composition) 7.9% = 0.87% ~= Claude's 0.86%. Claude confirmed correct; DeepSeek's 7.9 is the raw composition-share value.</t>
        </is>
      </c>
      <c r="K16" s="47" t="inlineStr">
        <is>
          <t>Yes</t>
        </is>
      </c>
    </row>
    <row r="17" ht="15" customHeight="1" s="43">
      <c r="A17" s="45" t="inlineStr">
        <is>
          <t>COWAY</t>
        </is>
      </c>
      <c r="B17" s="45" t="inlineStr">
        <is>
          <t>021240</t>
        </is>
      </c>
      <c r="C17" s="45" t="inlineStr">
        <is>
          <t>2021</t>
        </is>
      </c>
      <c r="D17" s="45" t="inlineStr">
        <is>
          <t>Voluntary Turnover %</t>
        </is>
      </c>
      <c r="E17" s="45" t="n">
        <v>10.12</v>
      </c>
      <c r="F17" s="45" t="n">
        <v>92.09999999999999</v>
      </c>
      <c r="G17" s="45" t="n">
        <v>810.1</v>
      </c>
      <c r="H17" s="46" t="inlineStr">
        <is>
          <t>Ind.20 (Voluntary Turnover): Claude=10</t>
        </is>
      </c>
      <c r="I17" s="47" t="n">
        <v>10.12</v>
      </c>
      <c r="J17" s="47" t="inlineStr">
        <is>
          <t>COWAY_2022.pdf p.96: Turnover rate 11% x Voluntary turnover rate(composition) 92.1% = 10.13% ~= Claude's 10.12%. Claude confirmed correct; DeepSeek's 92.1 is the raw composition-share value.</t>
        </is>
      </c>
      <c r="K17" s="47" t="inlineStr">
        <is>
          <t>Yes</t>
        </is>
      </c>
    </row>
    <row r="18" ht="15" customHeight="1" s="43">
      <c r="A18" s="45" t="inlineStr">
        <is>
          <t>COWAY</t>
        </is>
      </c>
      <c r="B18" s="45" t="inlineStr">
        <is>
          <t>021240</t>
        </is>
      </c>
      <c r="C18" s="45" t="inlineStr">
        <is>
          <t>2022</t>
        </is>
      </c>
      <c r="D18" s="45" t="inlineStr">
        <is>
          <t>Contract Workers %</t>
        </is>
      </c>
      <c r="E18" s="45" t="n">
        <v>2.58</v>
      </c>
      <c r="F18" s="45" t="n">
        <v>16.2</v>
      </c>
      <c r="G18" s="45" t="n">
        <v>527.9</v>
      </c>
      <c r="H18" s="46" t="inlineStr">
        <is>
          <t>Ind.1 (Contract Workers%): Claude=2</t>
        </is>
      </c>
      <c r="I18" s="47" t="n">
        <v>2.58</v>
      </c>
      <c r="J18" s="47" t="inlineStr">
        <is>
          <t>COWAY_2025.pdf p.106, 'Employee Status' table: Non-regular employees 166 / Total employees 6,442 = 2.58% (2022). Exact match to Claude. DeepSeek's 16.2 does not correspond to any figure on this page.</t>
        </is>
      </c>
      <c r="K18" s="47" t="inlineStr">
        <is>
          <t>Yes</t>
        </is>
      </c>
    </row>
    <row r="19" ht="15" customHeight="1" s="43">
      <c r="A19" s="45" t="inlineStr">
        <is>
          <t>COWAY</t>
        </is>
      </c>
      <c r="B19" s="45" t="inlineStr">
        <is>
          <t>021240</t>
        </is>
      </c>
      <c r="C19" s="45" t="inlineStr">
        <is>
          <t>2023</t>
        </is>
      </c>
      <c r="D19" s="45" t="inlineStr">
        <is>
          <t>Contract Workers %</t>
        </is>
      </c>
      <c r="E19" s="45" t="n">
        <v>3.11</v>
      </c>
      <c r="F19" s="45" t="n">
        <v>15.8</v>
      </c>
      <c r="G19" s="45" t="n">
        <v>408</v>
      </c>
      <c r="H19" s="46" t="inlineStr">
        <is>
          <t>Ind.1 (Contract Workers%): Claude=3</t>
        </is>
      </c>
      <c r="I19" s="47" t="n">
        <v>3.11</v>
      </c>
      <c r="J19" s="47" t="inlineStr">
        <is>
          <t>COWAY_2025.pdf p.106: Non-regular employees 195 / Total employees 6,272 = 3.11% (2023). Exact match to Claude. DeepSeek's 15.8 does not match.</t>
        </is>
      </c>
      <c r="K19" s="47" t="inlineStr">
        <is>
          <t>Yes</t>
        </is>
      </c>
    </row>
    <row r="20" ht="15" customHeight="1" s="43">
      <c r="A20" s="45" t="inlineStr">
        <is>
          <t>COWAY</t>
        </is>
      </c>
      <c r="B20" s="45" t="inlineStr">
        <is>
          <t>021240</t>
        </is>
      </c>
      <c r="C20" s="45" t="inlineStr">
        <is>
          <t>2023</t>
        </is>
      </c>
      <c r="D20" s="45" t="inlineStr">
        <is>
          <t>New Hire Rate %</t>
        </is>
      </c>
      <c r="E20" s="45" t="n">
        <v>5.25</v>
      </c>
      <c r="F20" s="45" t="n">
        <v>20.6</v>
      </c>
      <c r="G20" s="45" t="n">
        <v>292.4</v>
      </c>
      <c r="H20" s="46" t="inlineStr">
        <is>
          <t>Ind.4 (New Hire Rate): Claude=5</t>
        </is>
      </c>
      <c r="I20" s="47" t="n">
        <v>5.25</v>
      </c>
      <c r="J20" s="47" t="inlineStr">
        <is>
          <t>COWAY_2025.pdf p.107: Total new hires 329 / Total employees 6,272 = 5.25% (2023). Exact match to Claude. DeepSeek's 20.6 does not match.</t>
        </is>
      </c>
      <c r="K20" s="47" t="inlineStr">
        <is>
          <t>Yes</t>
        </is>
      </c>
    </row>
    <row r="21" ht="15" customHeight="1" s="43">
      <c r="A21" s="45" t="inlineStr">
        <is>
          <t>COWAY</t>
        </is>
      </c>
      <c r="B21" s="45" t="inlineStr">
        <is>
          <t>021240</t>
        </is>
      </c>
      <c r="C21" s="45" t="inlineStr">
        <is>
          <t>2023</t>
        </is>
      </c>
      <c r="D21" s="45" t="inlineStr">
        <is>
          <t>Voluntary Turnover %</t>
        </is>
      </c>
      <c r="E21" s="45" t="n">
        <v>4.7</v>
      </c>
      <c r="F21" s="45" t="n">
        <v>18.2</v>
      </c>
      <c r="G21" s="45" t="n">
        <v>287.2</v>
      </c>
      <c r="H21" s="46" t="inlineStr">
        <is>
          <t>Ind.20 (Voluntary Turnover): Claude=4</t>
        </is>
      </c>
      <c r="I21" s="47" t="n">
        <v>4.7</v>
      </c>
      <c r="J21" s="47" t="inlineStr">
        <is>
          <t>COWAY_2025.pdf p.107: Voluntary turnover rate (% of total employees) = 4.7% (2023). Exact match to Claude. DeepSeek's 18.2 does not match.</t>
        </is>
      </c>
      <c r="K21" s="47" t="inlineStr">
        <is>
          <t>Yes</t>
        </is>
      </c>
    </row>
    <row r="22" ht="15" customHeight="1" s="43">
      <c r="A22" s="45" t="inlineStr">
        <is>
          <t>COWAY</t>
        </is>
      </c>
      <c r="B22" s="45" t="inlineStr">
        <is>
          <t>021240</t>
        </is>
      </c>
      <c r="C22" s="45" t="inlineStr">
        <is>
          <t>2024</t>
        </is>
      </c>
      <c r="D22" s="45" t="inlineStr">
        <is>
          <t>Voluntary Turnover %</t>
        </is>
      </c>
      <c r="E22" s="45" t="n">
        <v>4.9</v>
      </c>
      <c r="F22" s="45" t="n">
        <v>18.4</v>
      </c>
      <c r="G22" s="45" t="n">
        <v>275.5</v>
      </c>
      <c r="H22" s="46" t="inlineStr">
        <is>
          <t>Ind.20 (Voluntary Turnover): Claude=4</t>
        </is>
      </c>
      <c r="I22" s="47" t="n">
        <v>4.9</v>
      </c>
      <c r="J22" s="47" t="inlineStr">
        <is>
          <t>COWAY_2025.pdf p.107: Voluntary turnover rate (% of total employees) = 4.9% (2024). Exact match to Claude. DeepSeek's 18.4 does not match.</t>
        </is>
      </c>
      <c r="K22" s="47" t="inlineStr">
        <is>
          <t>Yes</t>
        </is>
      </c>
    </row>
    <row r="23" ht="15" customHeight="1" s="43">
      <c r="A23" s="45" t="inlineStr">
        <is>
          <t>COWAY</t>
        </is>
      </c>
      <c r="B23" s="45" t="inlineStr">
        <is>
          <t>021240</t>
        </is>
      </c>
      <c r="C23" s="45" t="inlineStr">
        <is>
          <t>2024</t>
        </is>
      </c>
      <c r="D23" s="45" t="inlineStr">
        <is>
          <t>Contract Workers %</t>
        </is>
      </c>
      <c r="E23" s="45" t="n">
        <v>4.35</v>
      </c>
      <c r="F23" s="45" t="n">
        <v>15.5</v>
      </c>
      <c r="G23" s="45" t="n">
        <v>256.3</v>
      </c>
      <c r="H23" s="46" t="inlineStr">
        <is>
          <t>Ind.1 (Contract Workers%): Claude=4</t>
        </is>
      </c>
      <c r="I23" s="47" t="n">
        <v>4.35</v>
      </c>
      <c r="J23" s="47" t="inlineStr">
        <is>
          <t>COWAY_2025.pdf p.106: Non-regular employees 273 / Total employees 6,282 = 4.35% (2024). Exact match to Claude. DeepSeek's 15.5 does not match.</t>
        </is>
      </c>
      <c r="K23" s="47" t="inlineStr">
        <is>
          <t>Yes</t>
        </is>
      </c>
    </row>
    <row r="24" ht="15" customHeight="1" s="43">
      <c r="A24" s="45" t="inlineStr">
        <is>
          <t>COWAY</t>
        </is>
      </c>
      <c r="B24" s="45" t="inlineStr">
        <is>
          <t>021240</t>
        </is>
      </c>
      <c r="C24" s="45" t="inlineStr">
        <is>
          <t>2022</t>
        </is>
      </c>
      <c r="D24" s="45" t="inlineStr">
        <is>
          <t>New Hire Rate %</t>
        </is>
      </c>
      <c r="E24" s="45" t="n">
        <v>6.63</v>
      </c>
      <c r="F24" s="45" t="n">
        <v>22.1</v>
      </c>
      <c r="G24" s="45" t="n">
        <v>233.3</v>
      </c>
      <c r="H24" s="46" t="inlineStr">
        <is>
          <t>Ind.4 (New Hire Rate): Claude=6</t>
        </is>
      </c>
      <c r="I24" s="47" t="n">
        <v>6.63</v>
      </c>
      <c r="J24" s="47" t="inlineStr">
        <is>
          <t>COWAY_2025.pdf p.107, 'New Hires' table: Total new hires 427 / Total employees 6,442 (p.106) = 6.63% (2022). Exact match to Claude. DeepSeek's 22.1 does not match.</t>
        </is>
      </c>
      <c r="K24" s="47" t="inlineStr">
        <is>
          <t>Yes</t>
        </is>
      </c>
    </row>
    <row r="25" ht="15" customHeight="1" s="43">
      <c r="A25" s="45" t="inlineStr">
        <is>
          <t>COWAY</t>
        </is>
      </c>
      <c r="B25" s="45" t="inlineStr">
        <is>
          <t>021240</t>
        </is>
      </c>
      <c r="C25" s="45" t="inlineStr">
        <is>
          <t>2021</t>
        </is>
      </c>
      <c r="D25" s="45" t="inlineStr">
        <is>
          <t>Contract Workers %</t>
        </is>
      </c>
      <c r="E25" s="45" t="n">
        <v>2</v>
      </c>
      <c r="F25" s="45" t="n">
        <v>4.9</v>
      </c>
      <c r="G25" s="45" t="n">
        <v>145</v>
      </c>
      <c r="H25" s="46" t="inlineStr">
        <is>
          <t>Ind.1 (Contract Workers%): Claude=2, DeepSeek=4</t>
        </is>
      </c>
      <c r="I25" s="47" t="n">
        <v>2</v>
      </c>
      <c r="J25" s="47" t="inlineStr">
        <is>
          <t>COWAY_2022.pdf p.94, 'Total Employee Status' table, 'Percentage of contractors' = 2% (2021), exact match to Claude. DeepSeek's 4.9 does not match any figure on this page.</t>
        </is>
      </c>
      <c r="K25" s="47" t="inlineStr">
        <is>
          <t>Yes</t>
        </is>
      </c>
    </row>
    <row r="26" ht="15" customHeight="1" s="43">
      <c r="A26" s="45" t="inlineStr">
        <is>
          <t>COWAY</t>
        </is>
      </c>
      <c r="B26" s="45" t="inlineStr">
        <is>
          <t>021240</t>
        </is>
      </c>
      <c r="C26" s="45" t="inlineStr">
        <is>
          <t>2024</t>
        </is>
      </c>
      <c r="D26" s="45" t="inlineStr">
        <is>
          <t>New Hire Rate %</t>
        </is>
      </c>
      <c r="E26" s="45" t="n">
        <v>8.18</v>
      </c>
      <c r="F26" s="45" t="n">
        <v>19.5</v>
      </c>
      <c r="G26" s="45" t="n">
        <v>138.4</v>
      </c>
      <c r="H26" s="46" t="inlineStr">
        <is>
          <t>Ind.4 (New Hire Rate): Claude=8</t>
        </is>
      </c>
      <c r="I26" s="47" t="n">
        <v>8.18</v>
      </c>
      <c r="J26" s="47" t="inlineStr">
        <is>
          <t>COWAY_2025.pdf p.107: Total new hires 514 / Total employees 6,282 = 8.18% (2024). Exact match to Claude. DeepSeek's 19.5 does not match.</t>
        </is>
      </c>
      <c r="K26" s="47" t="inlineStr">
        <is>
          <t>Yes</t>
        </is>
      </c>
    </row>
    <row r="27" ht="15" customHeight="1" s="43">
      <c r="A27" s="45" t="inlineStr">
        <is>
          <t>COWAY</t>
        </is>
      </c>
      <c r="B27" s="45" t="inlineStr">
        <is>
          <t>021240</t>
        </is>
      </c>
      <c r="C27" s="45" t="inlineStr">
        <is>
          <t>2022</t>
        </is>
      </c>
      <c r="D27" s="45" t="inlineStr">
        <is>
          <t>Voluntary Turnover %</t>
        </is>
      </c>
      <c r="E27" s="45" t="n">
        <v>6.4</v>
      </c>
      <c r="F27" s="45" t="n">
        <v>14.3</v>
      </c>
      <c r="G27" s="45" t="n">
        <v>123.4</v>
      </c>
      <c r="H27" s="46" t="inlineStr">
        <is>
          <t>Ind.20 (Voluntary Turnover): Claude=6</t>
        </is>
      </c>
      <c r="I27" s="47" t="n">
        <v>6.4</v>
      </c>
      <c r="J27" s="47" t="inlineStr">
        <is>
          <t>COWAY_2025.pdf p.107, 'Employee Turnover and Resignation' table: Voluntary turnover rate, explicitly footnoted as % of TOTAL employees = 6.4% (2022). Exact match to Claude. DeepSeek's 14.3 does not match any figure on this page (this report edition does not have the composition-share ambiguity seen in the 2022-edition report).</t>
        </is>
      </c>
      <c r="K27" s="47" t="inlineStr">
        <is>
          <t>Yes</t>
        </is>
      </c>
    </row>
    <row r="28" ht="15" customHeight="1" s="43">
      <c r="A28" s="45" t="inlineStr">
        <is>
          <t>COWAY</t>
        </is>
      </c>
      <c r="B28" s="45" t="inlineStr">
        <is>
          <t>021240</t>
        </is>
      </c>
      <c r="C28" s="45" t="inlineStr">
        <is>
          <t>2020</t>
        </is>
      </c>
      <c r="D28" s="45" t="inlineStr">
        <is>
          <t>Contract Workers %</t>
        </is>
      </c>
      <c r="E28" s="45" t="n">
        <v>2.1</v>
      </c>
      <c r="F28" s="45" t="n">
        <v>4.52</v>
      </c>
      <c r="G28" s="45" t="n">
        <v>115.2</v>
      </c>
      <c r="H28" s="46" t="inlineStr">
        <is>
          <t>Ind.1 (Contract Workers%): Claude=2</t>
        </is>
      </c>
      <c r="I28" s="47" t="n">
        <v>2.1</v>
      </c>
      <c r="J28" s="47" t="inlineStr">
        <is>
          <t>COWAY_2022.pdf p.94: 'Percentage of contractors' = 2.1% (2020), exact match to Claude. DeepSeek's 4.52 does not match.</t>
        </is>
      </c>
      <c r="K28" s="47" t="inlineStr">
        <is>
          <t>Yes</t>
        </is>
      </c>
    </row>
    <row r="29" ht="15" customHeight="1" s="43">
      <c r="A29" s="45" t="inlineStr">
        <is>
          <t>COWAY</t>
        </is>
      </c>
      <c r="B29" s="45" t="inlineStr">
        <is>
          <t>021240</t>
        </is>
      </c>
      <c r="C29" s="45" t="inlineStr">
        <is>
          <t>2022</t>
        </is>
      </c>
      <c r="D29" s="45" t="inlineStr">
        <is>
          <t>Involuntary Turnover %</t>
        </is>
      </c>
      <c r="E29" s="45" t="n">
        <v>0.65</v>
      </c>
      <c r="F29" s="45" t="n">
        <v>1.2</v>
      </c>
      <c r="G29" s="45" t="n">
        <v>84.59999999999999</v>
      </c>
      <c r="H29" s="46" t="inlineStr">
        <is>
          <t>Ind.21=0 || Ind.21 (Involuntary Turnover): Claude=0</t>
        </is>
      </c>
      <c r="I29" s="47" t="n">
        <v>0.65</v>
      </c>
      <c r="J29" s="47" t="inlineStr">
        <is>
          <t>COWAY_2025.pdf p.107: report gives Total departures (455) and Voluntary departures (413) as headcounts, plus a Total turnover rate of 7.1%; involuntary is not printed separately. Computed: (455-413)=42 involuntary / (455/7.1%=6,408 implied total employees) = 0.65% (2022) - matches Claude almost exactly. DeepSeek's 1.2 does not match.</t>
        </is>
      </c>
      <c r="K29" s="47" t="inlineStr">
        <is>
          <t>Yes</t>
        </is>
      </c>
    </row>
    <row r="30" ht="15" customHeight="1" s="43">
      <c r="A30" s="45" t="inlineStr">
        <is>
          <t>COWAY</t>
        </is>
      </c>
      <c r="B30" s="45" t="inlineStr">
        <is>
          <t>021240</t>
        </is>
      </c>
      <c r="C30" s="45" t="inlineStr">
        <is>
          <t>2023</t>
        </is>
      </c>
      <c r="D30" s="45" t="inlineStr">
        <is>
          <t>Involuntary Turnover %</t>
        </is>
      </c>
      <c r="E30" s="45" t="n">
        <v>4.05</v>
      </c>
      <c r="F30" s="45" t="n">
        <v>1.2</v>
      </c>
      <c r="G30" s="45" t="n">
        <v>70.40000000000001</v>
      </c>
      <c r="H30" s="46" t="inlineStr">
        <is>
          <t>Ind.21=4 || Ind.21 (Involuntary Turnover): Claude=4</t>
        </is>
      </c>
      <c r="I30" s="47" t="n">
        <v>4.05</v>
      </c>
      <c r="J30" s="47" t="inlineStr">
        <is>
          <t>COWAY_2025.pdf p.107: (546 total - 292 voluntary)=254 involuntary / (546/8.7%=6,276 implied total employees) = 4.05% (2023) - matches Claude exactly. DeepSeek's 1.2 does not match.</t>
        </is>
      </c>
      <c r="K30" s="47" t="inlineStr">
        <is>
          <t>Yes</t>
        </is>
      </c>
    </row>
    <row r="31" ht="15" customHeight="1" s="43">
      <c r="A31" s="45" t="inlineStr">
        <is>
          <t>COWAY</t>
        </is>
      </c>
      <c r="B31" s="45" t="inlineStr">
        <is>
          <t>021240</t>
        </is>
      </c>
      <c r="C31" s="45" t="inlineStr">
        <is>
          <t>2024</t>
        </is>
      </c>
      <c r="D31" s="45" t="inlineStr">
        <is>
          <t>Involuntary Turnover %</t>
        </is>
      </c>
      <c r="E31" s="45" t="n">
        <v>3.28</v>
      </c>
      <c r="F31" s="45" t="n">
        <v>1.3</v>
      </c>
      <c r="G31" s="45" t="n">
        <v>60.4</v>
      </c>
      <c r="H31" s="46" t="inlineStr">
        <is>
          <t>Ind.21=3 || Ind.21 (Involuntary Turnover): Claude=3</t>
        </is>
      </c>
      <c r="I31" s="47" t="n">
        <v>3.28</v>
      </c>
      <c r="J31" s="47" t="inlineStr">
        <is>
          <t>COWAY_2025.pdf p.107: (515 total - 309 voluntary)=206 involuntary / (515/8.2%=6,280 implied total employees) = 3.28% (2024) - matches Claude exactly. DeepSeek's 1.3 does not match.</t>
        </is>
      </c>
      <c r="K31" s="47" t="inlineStr">
        <is>
          <t>Yes</t>
        </is>
      </c>
    </row>
    <row r="32" ht="23.25" customHeight="1" s="43">
      <c r="A32" s="45" t="inlineStr">
        <is>
          <t>COWAY</t>
        </is>
      </c>
      <c r="B32" s="45" t="inlineStr">
        <is>
          <t>021240</t>
        </is>
      </c>
      <c r="C32" s="45" t="inlineStr">
        <is>
          <t>2020</t>
        </is>
      </c>
      <c r="D32" s="45" t="inlineStr">
        <is>
          <t>Training Budget per Employee</t>
        </is>
      </c>
      <c r="E32" s="45" t="n">
        <v>432624</v>
      </c>
      <c r="F32" s="45" t="n">
        <v>675754</v>
      </c>
      <c r="G32" s="45" t="n">
        <v>56.2</v>
      </c>
      <c r="H32" s="46" t="inlineStr">
        <is>
          <t>Ind.14 (Training Budget/Employee): Claude=432624, DeepSeek=675754, Diff=56</t>
        </is>
      </c>
      <c r="I32" s="47" t="n">
        <v>432624</v>
      </c>
      <c r="J32" s="47" t="inlineStr">
        <is>
          <t>COWAY_2022.pdf p.96, 'Talent Development' table: 'Training cost per person' = KRW 432,624 (2020), exact match to Claude. DeepSeek's 675,754 = Total training costs company-wide, incl. sales (KRW 4,364M) / Total employees (6,458) = ~675,999 - DeepSeek used the broader company-wide training-cost total instead of the report's own narrower HRD-team-scoped per-person figure.</t>
        </is>
      </c>
      <c r="K32" s="47" t="inlineStr">
        <is>
          <t>Yes</t>
        </is>
      </c>
    </row>
    <row r="33" ht="34.5" customHeight="1" s="43">
      <c r="A33" s="45" t="inlineStr">
        <is>
          <t>COWAY</t>
        </is>
      </c>
      <c r="B33" s="45" t="inlineStr">
        <is>
          <t>021240</t>
        </is>
      </c>
      <c r="C33" s="45" t="inlineStr">
        <is>
          <t>2019</t>
        </is>
      </c>
      <c r="D33" s="45" t="inlineStr">
        <is>
          <t>Training Budget per Employee</t>
        </is>
      </c>
      <c r="E33" s="45" t="n">
        <v>1221331</v>
      </c>
      <c r="F33" s="45" t="n">
        <v>1895322</v>
      </c>
      <c r="G33" s="45" t="n">
        <v>55.2</v>
      </c>
      <c r="H33" s="46" t="inlineStr">
        <is>
          <t>Ind.14 training spend N/A this year per source (metric first tracked 2019, but per-employee KRW value given = 1,221,331 || Ind.14 (Training Budget/Employee): Claude=1221331, DeepSeek=1895322, Diff=55</t>
        </is>
      </c>
      <c r="I33" s="47" t="n">
        <v>1221331</v>
      </c>
      <c r="J33" s="47" t="inlineStr">
        <is>
          <t>COWAY_2022.pdf p.96: 'Training cost per person' = KRW 1,221,331 (2019), exact match to Claude. DeepSeek's 1,895,322 = Total training costs company-wide (KRW 9,397M) / Total employees (4,958) = ~1,895,321 - same company-wide/HRD-scope mismatch as 2020-2021.</t>
        </is>
      </c>
      <c r="K33" s="47" t="inlineStr">
        <is>
          <t>Yes</t>
        </is>
      </c>
    </row>
    <row r="34" ht="15" customHeight="1" s="43">
      <c r="A34" s="45" t="inlineStr">
        <is>
          <t>COWAY</t>
        </is>
      </c>
      <c r="B34" s="45" t="inlineStr">
        <is>
          <t>021240</t>
        </is>
      </c>
      <c r="C34" s="45" t="inlineStr">
        <is>
          <t>2018</t>
        </is>
      </c>
      <c r="D34" s="45" t="inlineStr">
        <is>
          <t>Contract Workers %</t>
        </is>
      </c>
      <c r="E34" s="45" t="n">
        <v>5.5</v>
      </c>
      <c r="F34" s="45" t="n">
        <v>2.59</v>
      </c>
      <c r="G34" s="45" t="n">
        <v>52.9</v>
      </c>
      <c r="H34" s="46" t="inlineStr">
        <is>
          <t>Ind.1 (Contract Workers%): Claude=5</t>
        </is>
      </c>
      <c r="I34" s="47" t="n">
        <v>5.5</v>
      </c>
      <c r="J34" s="47" t="inlineStr">
        <is>
          <t>COWAY_2022.pdf p.94: 'Percentage of contractors' = 5.5% (2018), exact match to Claude. DeepSeek's 2.59 does not match.</t>
        </is>
      </c>
      <c r="K34" s="47" t="inlineStr">
        <is>
          <t>Yes</t>
        </is>
      </c>
    </row>
    <row r="35" ht="15" customHeight="1" s="43">
      <c r="A35" s="48" t="inlineStr">
        <is>
          <t>COWAY</t>
        </is>
      </c>
      <c r="B35" s="48" t="inlineStr">
        <is>
          <t>021240</t>
        </is>
      </c>
      <c r="C35" s="48" t="inlineStr">
        <is>
          <t>2022</t>
        </is>
      </c>
      <c r="D35" s="48" t="inlineStr">
        <is>
          <t>New Hires Female %</t>
        </is>
      </c>
      <c r="E35" s="48" t="n">
        <v>36.5</v>
      </c>
      <c r="F35" s="48" t="n">
        <v>51.6</v>
      </c>
      <c r="G35" s="48" t="n">
        <v>41.4</v>
      </c>
      <c r="H35" s="46" t="inlineStr">
        <is>
          <t>Ind.6 (New Hires Female%): Claude=36</t>
        </is>
      </c>
      <c r="I35" s="47" t="n">
        <v>36.5</v>
      </c>
      <c r="J35" s="47" t="inlineStr">
        <is>
          <t>COWAY_2025.pdf p.107, 'New Hires' table: Female new-hire ratio explicitly stated = 36.5% (2022). Exact match to Claude. DeepSeek's 51.6 does not match.</t>
        </is>
      </c>
      <c r="K35" s="47" t="inlineStr">
        <is>
          <t>Yes</t>
        </is>
      </c>
    </row>
    <row r="36" ht="23.25" customHeight="1" s="43">
      <c r="A36" s="48" t="inlineStr">
        <is>
          <t>COWAY</t>
        </is>
      </c>
      <c r="B36" s="48" t="inlineStr">
        <is>
          <t>021240</t>
        </is>
      </c>
      <c r="C36" s="48" t="inlineStr">
        <is>
          <t>2021</t>
        </is>
      </c>
      <c r="D36" s="48" t="inlineStr">
        <is>
          <t>Training Budget per Employee</t>
        </is>
      </c>
      <c r="E36" s="48" t="n">
        <v>342438</v>
      </c>
      <c r="F36" s="48" t="n">
        <v>472185</v>
      </c>
      <c r="G36" s="48" t="n">
        <v>37.9</v>
      </c>
      <c r="H36" s="46" t="inlineStr">
        <is>
          <t>Ind.14 (Training Budget/Employee): Claude=342438, DeepSeek=472185, Diff=37</t>
        </is>
      </c>
      <c r="I36" s="47" t="n">
        <v>342438</v>
      </c>
      <c r="J36" s="47" t="inlineStr">
        <is>
          <t>COWAY_2022.pdf p.96: 'Training cost per person' = KRW 342,438 (2021), exact match to Claude. DeepSeek's 472,185 = Total training costs company-wide (KRW 3,064M) / Total employees (6,489) = ~472,169 - same scope mismatch.</t>
        </is>
      </c>
      <c r="K36" s="47" t="inlineStr">
        <is>
          <t>Yes</t>
        </is>
      </c>
    </row>
    <row r="37" ht="15" customHeight="1" s="43">
      <c r="A37" s="48" t="inlineStr">
        <is>
          <t>COWAY</t>
        </is>
      </c>
      <c r="B37" s="48" t="inlineStr">
        <is>
          <t>021240</t>
        </is>
      </c>
      <c r="C37" s="48" t="inlineStr">
        <is>
          <t>2019</t>
        </is>
      </c>
      <c r="D37" s="48" t="inlineStr">
        <is>
          <t>Contract Workers %</t>
        </is>
      </c>
      <c r="E37" s="48" t="n">
        <v>4.5</v>
      </c>
      <c r="F37" s="48" t="n">
        <v>2.99</v>
      </c>
      <c r="G37" s="48" t="n">
        <v>33.6</v>
      </c>
      <c r="H37" s="46" t="inlineStr">
        <is>
          <t>Ind.1 (Contract Workers%): Claude=4</t>
        </is>
      </c>
      <c r="I37" s="47" t="n">
        <v>4.5</v>
      </c>
      <c r="J37" s="47" t="inlineStr">
        <is>
          <t>COWAY_2022.pdf p.94: 'Percentage of contractors' = 4.5% (2019), exact match to Claude. DeepSeek's 2.99 does not match.</t>
        </is>
      </c>
      <c r="K37" s="47" t="inlineStr">
        <is>
          <t>Yes</t>
        </is>
      </c>
    </row>
    <row r="38" ht="15" customHeight="1" s="43">
      <c r="A38" s="48" t="inlineStr">
        <is>
          <t>COWAY</t>
        </is>
      </c>
      <c r="B38" s="48" t="inlineStr">
        <is>
          <t>021240</t>
        </is>
      </c>
      <c r="C38" s="48" t="inlineStr">
        <is>
          <t>2022</t>
        </is>
      </c>
      <c r="D38" s="48" t="inlineStr">
        <is>
          <t>Female Permanent Workers %</t>
        </is>
      </c>
      <c r="E38" s="48" t="n">
        <v>45.11</v>
      </c>
      <c r="F38" s="48" t="n">
        <v>33.8</v>
      </c>
      <c r="G38" s="48" t="n">
        <v>25.1</v>
      </c>
      <c r="H38" s="46" t="inlineStr">
        <is>
          <t>Ind.2 (Female Permanent%): Claude=45</t>
        </is>
      </c>
      <c r="I38" s="47" t="n">
        <v>45.11</v>
      </c>
      <c r="J38" s="47" t="inlineStr">
        <is>
          <t>COWAY_2025.pdf p.106, 'Employee Status' table: Regular(permanent) employees, Female 2,831 / Total regular 6,276 = 45.11% (2022). Exact match to Claude. DeepSeek's 33.8 does not correspond to this ratio or the overall female-employee ratio (45.6%) shown on the same page.</t>
        </is>
      </c>
      <c r="K38" s="47" t="inlineStr">
        <is>
          <t>Yes</t>
        </is>
      </c>
    </row>
    <row r="39" ht="15" customHeight="1" s="43">
      <c r="A39" s="48" t="inlineStr">
        <is>
          <t>COWAY</t>
        </is>
      </c>
      <c r="B39" s="48" t="inlineStr">
        <is>
          <t>021240</t>
        </is>
      </c>
      <c r="C39" s="48" t="inlineStr">
        <is>
          <t>2023</t>
        </is>
      </c>
      <c r="D39" s="48" t="inlineStr">
        <is>
          <t>Female Permanent Workers %</t>
        </is>
      </c>
      <c r="E39" s="48" t="n">
        <v>43.84</v>
      </c>
      <c r="F39" s="48" t="n">
        <v>34.5</v>
      </c>
      <c r="G39" s="48" t="n">
        <v>21.3</v>
      </c>
      <c r="H39" s="46" t="inlineStr">
        <is>
          <t>Ind.2 (Female Permanent%): Claude=43</t>
        </is>
      </c>
      <c r="I39" s="47" t="n">
        <v>43.84</v>
      </c>
      <c r="J39" s="47" t="inlineStr">
        <is>
          <t>COWAY_2025.pdf p.106: Regular employees, Female 2,664 / Total regular 6,077 = 43.84% (2023). Exact match to Claude. DeepSeek's 34.5 does not match.</t>
        </is>
      </c>
      <c r="K39" s="47" t="inlineStr">
        <is>
          <t>Yes</t>
        </is>
      </c>
    </row>
    <row r="40" ht="15" customHeight="1" s="43">
      <c r="A40" s="48" t="inlineStr">
        <is>
          <t>COWAY</t>
        </is>
      </c>
      <c r="B40" s="48" t="inlineStr">
        <is>
          <t>021240</t>
        </is>
      </c>
      <c r="C40" s="48" t="inlineStr">
        <is>
          <t>2024</t>
        </is>
      </c>
      <c r="D40" s="48" t="inlineStr">
        <is>
          <t>Female Permanent Workers %</t>
        </is>
      </c>
      <c r="E40" s="48" t="n">
        <v>43.24</v>
      </c>
      <c r="F40" s="48" t="n">
        <v>34.6</v>
      </c>
      <c r="G40" s="48" t="n">
        <v>20</v>
      </c>
      <c r="H40" s="46" t="inlineStr">
        <is>
          <t>Ind.2 (Female Permanent%): Claude=43</t>
        </is>
      </c>
      <c r="I40" s="47" t="n">
        <v>43.24</v>
      </c>
      <c r="J40" s="47" t="inlineStr">
        <is>
          <t>COWAY_2025.pdf p.106: Regular employees, Female 2,598 / Total regular 6,009 = 43.24% (2024). Exact match to Claude. DeepSeek's 34.6 does not match.</t>
        </is>
      </c>
      <c r="K40" s="47" t="inlineStr">
        <is>
          <t>Yes</t>
        </is>
      </c>
    </row>
    <row r="41" ht="15" customHeight="1" s="43">
      <c r="A41" s="48" t="inlineStr">
        <is>
          <t>COWAY</t>
        </is>
      </c>
      <c r="B41" s="48" t="inlineStr">
        <is>
          <t>021240</t>
        </is>
      </c>
      <c r="C41" s="48" t="inlineStr">
        <is>
          <t>2024</t>
        </is>
      </c>
      <c r="D41" s="48" t="inlineStr">
        <is>
          <t>New Hires Female %</t>
        </is>
      </c>
      <c r="E41" s="48" t="n">
        <v>43.8</v>
      </c>
      <c r="F41" s="48" t="n">
        <v>51.5</v>
      </c>
      <c r="G41" s="48" t="n">
        <v>17.6</v>
      </c>
      <c r="H41" s="46" t="inlineStr">
        <is>
          <t>Ind.6 (New Hires Female%): Claude=43</t>
        </is>
      </c>
      <c r="I41" s="47" t="n">
        <v>43.8</v>
      </c>
      <c r="J41" s="47" t="inlineStr">
        <is>
          <t>COWAY_2025.pdf p.107: Female new-hire ratio explicitly stated = 43.8% (2024). Exact match to Claude. DeepSeek's 51.5 does not match.</t>
        </is>
      </c>
      <c r="K41" s="47" t="inlineStr">
        <is>
          <t>Yes</t>
        </is>
      </c>
    </row>
    <row r="42" ht="15" customHeight="1" s="43">
      <c r="A42" s="48" t="inlineStr">
        <is>
          <t>COWAY</t>
        </is>
      </c>
      <c r="B42" s="48" t="inlineStr">
        <is>
          <t>021240</t>
        </is>
      </c>
      <c r="C42" s="48" t="inlineStr">
        <is>
          <t>2022</t>
        </is>
      </c>
      <c r="D42" s="48" t="inlineStr">
        <is>
          <t>Annual Pay</t>
        </is>
      </c>
      <c r="E42" s="48" t="n">
        <v>59950000</v>
      </c>
      <c r="F42" s="48" t="n">
        <v>69432314</v>
      </c>
      <c r="G42" s="48" t="n">
        <v>15.8</v>
      </c>
      <c r="H42" s="46" t="inlineStr">
        <is>
          <t>Ind.12 (Annual Pay): Claude=59950000, DeepSeek=69432314, Diff=15</t>
        </is>
      </c>
      <c r="I42" s="47" t="n">
        <v>59950000</v>
      </c>
      <c r="J42" s="47" t="inlineStr">
        <is>
          <t>COWAY_2025.pdf p.114, 'Board Remuneration' table: 'Average employee compensation' = KRW 59,950 thousand = 59,950,000 (2022). Exact match to Claude. DeepSeek's 69,432,314 approximates the broader 'personnel-related expense' line (KRW 445,200,000,000, incl. payroll taxes/benefits/retirement) divided by total headcount (~69,113,000) rather than the report's own narrower per-employee compensation figure.</t>
        </is>
      </c>
      <c r="K42" s="47" t="inlineStr">
        <is>
          <t>Yes</t>
        </is>
      </c>
    </row>
    <row r="43" ht="15" customHeight="1" s="43">
      <c r="A43" s="48" t="inlineStr">
        <is>
          <t>COWAY</t>
        </is>
      </c>
      <c r="B43" s="48" t="inlineStr">
        <is>
          <t>021240</t>
        </is>
      </c>
      <c r="C43" s="48" t="inlineStr">
        <is>
          <t>2024</t>
        </is>
      </c>
      <c r="D43" s="48" t="inlineStr">
        <is>
          <t>Annual Pay</t>
        </is>
      </c>
      <c r="E43" s="48" t="n">
        <v>64033000</v>
      </c>
      <c r="F43" s="48" t="n">
        <v>73877729</v>
      </c>
      <c r="G43" s="48" t="n">
        <v>15.4</v>
      </c>
      <c r="H43" s="46" t="inlineStr">
        <is>
          <t>Ind.12 (Annual Pay): Claude=64033000, DeepSeek=73877729, Diff=15</t>
        </is>
      </c>
      <c r="I43" s="47" t="n">
        <v>64033000</v>
      </c>
      <c r="J43" s="47" t="inlineStr">
        <is>
          <t>COWAY_2025.pdf p.114: 'Average employee compensation' = KRW 64,033,000 (2024). Exact match to Claude. DeepSeek's 73,877,729 similarly approximates personnel-related expense / headcount rather than the disclosed compensation-per-employee figure.</t>
        </is>
      </c>
      <c r="K43" s="47" t="inlineStr">
        <is>
          <t>Yes</t>
        </is>
      </c>
    </row>
    <row r="44" ht="15" customHeight="1" s="43">
      <c r="A44" s="48" t="inlineStr">
        <is>
          <t>COWAY</t>
        </is>
      </c>
      <c r="B44" s="48" t="inlineStr">
        <is>
          <t>021240</t>
        </is>
      </c>
      <c r="C44" s="48" t="inlineStr">
        <is>
          <t>2023</t>
        </is>
      </c>
      <c r="D44" s="48" t="inlineStr">
        <is>
          <t>Annual Pay</t>
        </is>
      </c>
      <c r="E44" s="48" t="n">
        <v>63256000</v>
      </c>
      <c r="F44" s="48" t="n">
        <v>71835839</v>
      </c>
      <c r="G44" s="48" t="n">
        <v>13.6</v>
      </c>
      <c r="H44" s="46" t="inlineStr">
        <is>
          <t>Ind.12 (Annual Pay): Claude=63256000, DeepSeek=71835839, Diff=13</t>
        </is>
      </c>
      <c r="I44" s="47" t="n">
        <v>63256000</v>
      </c>
      <c r="J44" s="47" t="inlineStr">
        <is>
          <t>COWAY_2025.pdf p.114: 'Average employee compensation' = KRW 63,256,000 (2023). Exact match to Claude. DeepSeek's 71,835,839 similarly approximates personnel-related expense / headcount rather than the disclosed compensation-per-employee figure.</t>
        </is>
      </c>
      <c r="K44" s="47" t="inlineStr">
        <is>
          <t>Yes</t>
        </is>
      </c>
    </row>
    <row r="45" ht="15" customHeight="1" s="43">
      <c r="A45" s="48" t="inlineStr">
        <is>
          <t>COWAY</t>
        </is>
      </c>
      <c r="B45" s="48" t="inlineStr">
        <is>
          <t>021240</t>
        </is>
      </c>
      <c r="C45" s="48" t="inlineStr">
        <is>
          <t>2022</t>
        </is>
      </c>
      <c r="D45" s="48" t="inlineStr">
        <is>
          <t>Female Contract Workers %</t>
        </is>
      </c>
      <c r="E45" s="48" t="n">
        <v>63.86</v>
      </c>
      <c r="F45" s="48" t="n">
        <v>58.1</v>
      </c>
      <c r="G45" s="48" t="n">
        <v>9</v>
      </c>
      <c r="H45" s="46" t="inlineStr">
        <is>
          <t>Ind.3 (Female Contract%): Claude=63</t>
        </is>
      </c>
      <c r="I45" s="47" t="n">
        <v>63.86</v>
      </c>
      <c r="J45" s="47" t="inlineStr">
        <is>
          <t>COWAY_2025.pdf p.106: Non-regular employees, Female 106 / Total non-regular 166 = 63.86% (2022). Exact match to Claude. DeepSeek's 58.1 does not match.</t>
        </is>
      </c>
      <c r="K45" s="47" t="inlineStr">
        <is>
          <t>Yes</t>
        </is>
      </c>
    </row>
    <row r="46" ht="15" customHeight="1" s="43">
      <c r="A46" s="48" t="inlineStr">
        <is>
          <t>COWAY</t>
        </is>
      </c>
      <c r="B46" s="48" t="inlineStr">
        <is>
          <t>021240</t>
        </is>
      </c>
      <c r="C46" s="48" t="inlineStr">
        <is>
          <t>2024</t>
        </is>
      </c>
      <c r="D46" s="48" t="inlineStr">
        <is>
          <t>Female Contract Workers %</t>
        </is>
      </c>
      <c r="E46" s="48" t="n">
        <v>53.11</v>
      </c>
      <c r="F46" s="48" t="n">
        <v>57.4</v>
      </c>
      <c r="G46" s="48" t="n">
        <v>8.1</v>
      </c>
      <c r="H46" s="46" t="inlineStr">
        <is>
          <t>Ind.3 (Female Contract%): Claude=53</t>
        </is>
      </c>
      <c r="I46" s="47" t="n">
        <v>53.11</v>
      </c>
      <c r="J46" s="47" t="inlineStr">
        <is>
          <t>COWAY_2025.pdf p.106: Non-regular employees, Female 145 / Total non-regular 273 = 53.11% (2024). Exact match to Claude. DeepSeek's 57.4 does not match.</t>
        </is>
      </c>
      <c r="K46" s="47" t="inlineStr">
        <is>
          <t>Yes</t>
        </is>
      </c>
    </row>
    <row r="47" ht="15" customHeight="1" s="43">
      <c r="A47" s="48" t="inlineStr">
        <is>
          <t>COWAY</t>
        </is>
      </c>
      <c r="B47" s="48" t="inlineStr">
        <is>
          <t>021240</t>
        </is>
      </c>
      <c r="C47" s="48" t="inlineStr">
        <is>
          <t>2022</t>
        </is>
      </c>
      <c r="D47" s="48" t="inlineStr">
        <is>
          <t>Training Hours per Employee</t>
        </is>
      </c>
      <c r="E47" s="48" t="n">
        <v>20</v>
      </c>
      <c r="F47" s="48" t="n">
        <v>18.8</v>
      </c>
      <c r="G47" s="48" t="n">
        <v>6</v>
      </c>
      <c r="H47" s="46" t="inlineStr">
        <is>
          <t>Ind.15 (Training Hours/Employee): Claude=20, DeepSeek=18</t>
        </is>
      </c>
      <c r="I47" s="47" t="n">
        <v>20</v>
      </c>
      <c r="J47" s="47" t="inlineStr">
        <is>
          <t>COWAY_2025.pdf p.109, 'Talent Development' table: 'Training hours per person' = 20 hours (2022). Exact match to Claude. DeepSeek's 18.8 does not match.</t>
        </is>
      </c>
      <c r="K47" s="47" t="inlineStr">
        <is>
          <t>Yes</t>
        </is>
      </c>
    </row>
    <row r="48" ht="15" customHeight="1" s="43">
      <c r="A48" s="48" t="inlineStr">
        <is>
          <t>COWAY</t>
        </is>
      </c>
      <c r="B48" s="48" t="inlineStr">
        <is>
          <t>021240</t>
        </is>
      </c>
      <c r="C48" s="48" t="inlineStr">
        <is>
          <t>2023</t>
        </is>
      </c>
      <c r="D48" s="48" t="inlineStr">
        <is>
          <t>New Hires Female %</t>
        </is>
      </c>
      <c r="E48" s="48" t="n">
        <v>55.6</v>
      </c>
      <c r="F48" s="48" t="n">
        <v>52.4</v>
      </c>
      <c r="G48" s="48" t="n">
        <v>5.8</v>
      </c>
      <c r="H48" s="46" t="inlineStr">
        <is>
          <t>Ind.6 (New Hires Female%): Claude=55</t>
        </is>
      </c>
      <c r="I48" s="47" t="n">
        <v>55.6</v>
      </c>
      <c r="J48" s="47" t="inlineStr">
        <is>
          <t>COWAY_2025.pdf p.107: Female new-hire ratio explicitly stated = 55.6% (2023). Exact match to Claude. DeepSeek's 52.4 does not match.</t>
        </is>
      </c>
      <c r="K48" s="47" t="inlineStr">
        <is>
          <t>Yes</t>
        </is>
      </c>
    </row>
    <row r="49" ht="15" customHeight="1" s="43">
      <c r="A49" s="48" t="inlineStr">
        <is>
          <t>COWAY</t>
        </is>
      </c>
      <c r="B49" s="48" t="inlineStr">
        <is>
          <t>021240</t>
        </is>
      </c>
      <c r="C49" s="48" t="inlineStr">
        <is>
          <t>2023</t>
        </is>
      </c>
      <c r="D49" s="48" t="inlineStr">
        <is>
          <t>Training Hours per Employee</t>
        </is>
      </c>
      <c r="E49" s="48" t="n">
        <v>21</v>
      </c>
      <c r="F49" s="48" t="n">
        <v>19.8</v>
      </c>
      <c r="G49" s="48" t="n">
        <v>5.7</v>
      </c>
      <c r="H49" s="46" t="inlineStr">
        <is>
          <t>Ind.15 (Training Hours/Employee): Claude=21, DeepSeek=19</t>
        </is>
      </c>
      <c r="I49" s="47" t="n">
        <v>21</v>
      </c>
      <c r="J49" s="47" t="inlineStr">
        <is>
          <t>COWAY_2025.pdf p.109: 'Training hours per person' = 21 hours (2023). Exact match to Claude. DeepSeek's 19.8 does not match.</t>
        </is>
      </c>
      <c r="K49" s="47" t="inlineStr">
        <is>
          <t>Yes</t>
        </is>
      </c>
    </row>
    <row r="50" ht="23.25" customHeight="1" s="43">
      <c r="A50" s="45" t="inlineStr">
        <is>
          <t>DOOSAN BOBCAT</t>
        </is>
      </c>
      <c r="B50" s="45" t="inlineStr">
        <is>
          <t>241560</t>
        </is>
      </c>
      <c r="C50" s="45" t="inlineStr">
        <is>
          <t>2022</t>
        </is>
      </c>
      <c r="D50" s="45" t="inlineStr">
        <is>
          <t>Female Executives %</t>
        </is>
      </c>
      <c r="E50" s="45" t="n">
        <v>5.45</v>
      </c>
      <c r="F50" s="45" t="n">
        <v>60</v>
      </c>
      <c r="G50" s="45" t="n">
        <v>1000.9</v>
      </c>
      <c r="H50" s="46" t="inlineStr">
        <is>
          <t>Ind.10 (Female Executives): Claude=5 || Ind.10 (Female Executives) 2022 DeepSeek value (60</t>
        </is>
      </c>
      <c r="I50" s="47" t="n">
        <v>5.45</v>
      </c>
      <c r="J50" s="47" t="inlineStr">
        <is>
          <t>DOOSAN_BOBCAT_2024.pdf, p.98 - 'Employment' table, 'Top management positions (Registered executives)' row: Female=3, Total=55 (2022) -&gt; 3/55=5.45%. Confirms Claude; DeepSeek's 60.0 is the known extraction error (per Extraction Log note, same pattern as DeepSeek batch4 2023/2024 errors).</t>
        </is>
      </c>
      <c r="K50" s="47" t="inlineStr">
        <is>
          <t>Yes</t>
        </is>
      </c>
    </row>
    <row r="51" ht="15" customHeight="1" s="43">
      <c r="A51" s="48" t="inlineStr">
        <is>
          <t>DOOSAN BOBCAT</t>
        </is>
      </c>
      <c r="B51" s="48" t="inlineStr">
        <is>
          <t>241560</t>
        </is>
      </c>
      <c r="C51" s="48" t="inlineStr">
        <is>
          <t>2019</t>
        </is>
      </c>
      <c r="D51" s="48" t="inlineStr">
        <is>
          <t>Contract Workers %</t>
        </is>
      </c>
      <c r="E51" s="48" t="n">
        <v>3.73</v>
      </c>
      <c r="F51" s="48" t="n">
        <v>2.81</v>
      </c>
      <c r="G51" s="48" t="n">
        <v>24.7</v>
      </c>
      <c r="H51" s="46" t="inlineStr">
        <is>
          <t>Ind.1=3 || Ind.1 (Contract Workers%): Claude=3</t>
        </is>
      </c>
      <c r="I51" s="47" t="n">
        <v>3.73</v>
      </c>
      <c r="J51" s="47" t="inlineStr">
        <is>
          <t>DOOSAN_BOBCAT_2020-2021.pdf, p.92 - 'Employment Status' table (Doosan Bobcat Worldwide), 2019 column: Temporary=245, Total Employees=6,576 -&gt; 245/6,576=3.73%. Confirms Claude. DeepSeek's 2.81 does not match any denominator combination in this table.</t>
        </is>
      </c>
      <c r="K51" s="47" t="inlineStr">
        <is>
          <t>Yes</t>
        </is>
      </c>
    </row>
    <row r="52" ht="15" customHeight="1" s="43">
      <c r="A52" s="48" t="inlineStr">
        <is>
          <t>DOOSAN BOBCAT</t>
        </is>
      </c>
      <c r="B52" s="48" t="inlineStr">
        <is>
          <t>241560</t>
        </is>
      </c>
      <c r="C52" s="48" t="inlineStr">
        <is>
          <t>2020</t>
        </is>
      </c>
      <c r="D52" s="48" t="inlineStr">
        <is>
          <t>Contract Workers %</t>
        </is>
      </c>
      <c r="E52" s="48" t="n">
        <v>3.06</v>
      </c>
      <c r="F52" s="48" t="n">
        <v>3.56</v>
      </c>
      <c r="G52" s="48" t="n">
        <v>16.3</v>
      </c>
      <c r="H52" s="46" t="inlineStr">
        <is>
          <t>Ind.1 (Contract Workers%): Claude=3</t>
        </is>
      </c>
      <c r="I52" s="47" t="n">
        <v>3.06</v>
      </c>
      <c r="J52" s="47" t="inlineStr">
        <is>
          <t>DOOSAN_BOBCAT_2020-2021.pdf, p.92 - 'Employment Status' table (Doosan Bobcat Worldwide), 2020 column: Temporary=211, Total Employees=6,885 -&gt; 211/6,885=3.06%. Confirms Claude. DeepSeek's 3.56 does not match any denominator combination in this table.</t>
        </is>
      </c>
      <c r="K52" s="47" t="inlineStr">
        <is>
          <t>Yes</t>
        </is>
      </c>
    </row>
    <row r="53" ht="15" customHeight="1" s="43">
      <c r="A53" s="48" t="inlineStr">
        <is>
          <t>DOOSAN BOBCAT</t>
        </is>
      </c>
      <c r="B53" s="48" t="inlineStr">
        <is>
          <t>241560</t>
        </is>
      </c>
      <c r="C53" s="48" t="inlineStr">
        <is>
          <t>2020</t>
        </is>
      </c>
      <c r="D53" s="48" t="inlineStr">
        <is>
          <t>Training Hours per Employee</t>
        </is>
      </c>
      <c r="E53" s="48" t="n">
        <v>11.48</v>
      </c>
      <c r="F53" s="48" t="n">
        <v>13</v>
      </c>
      <c r="G53" s="48" t="n">
        <v>13.2</v>
      </c>
      <c r="H53" s="46" t="inlineStr">
        <is>
          <t>Ind.15=11 || Ind.15 (Training Hours/Employee): Claude=11</t>
        </is>
      </c>
      <c r="I53" s="47" t="n">
        <v>11.48</v>
      </c>
      <c r="J53" s="47" t="inlineStr">
        <is>
          <t>DOOSAN_BOBCAT_2020-2021.pdf, p.92 - 'Talent Development' table, 2020 column: Total Hour of Training=79,007; Total no. of employees trained=5,887; Total Number of Employees (Employment Status table, same page)=6,885. Report's own 'Average Training Hours per Employee'=13 is actually Total Hours / Employees TRAINED (79,007/5,887=13.42-&gt;13), a mislabeled per-trainee figure, not per-employee. True per-employee figure = 79,007/6,885=11.48, confirming Claude. DeepSeek's 13 is the report's mislabeled figure, not a true per-employee rate.</t>
        </is>
      </c>
      <c r="K53" s="47" t="inlineStr">
        <is>
          <t>Yes</t>
        </is>
      </c>
    </row>
    <row r="54" ht="15" customHeight="1" s="43">
      <c r="A54" s="45" t="inlineStr">
        <is>
          <t>DWEC</t>
        </is>
      </c>
      <c r="B54" s="45" t="inlineStr">
        <is>
          <t>047040</t>
        </is>
      </c>
      <c r="C54" s="45" t="inlineStr">
        <is>
          <t>2021</t>
        </is>
      </c>
      <c r="D54" s="45" t="inlineStr">
        <is>
          <t>Female Middle Managers %</t>
        </is>
      </c>
      <c r="E54" s="45" t="n">
        <v>4.55</v>
      </c>
      <c r="F54" s="45" t="n">
        <v>73.64</v>
      </c>
      <c r="G54" s="45" t="n">
        <v>1518.5</v>
      </c>
      <c r="H54" s="46" t="inlineStr">
        <is>
          <t>Ind.9=4 || Ind.9 (Female Middle Mgrs): Claude=4</t>
        </is>
      </c>
      <c r="I54" s="47" t="n">
        <v>4.55</v>
      </c>
      <c r="J54" s="47" t="inlineStr">
        <is>
          <t>DWEC_2022.pdf p.110: 129 / 2,835 = 4.55%. Claude confirmed correct.</t>
        </is>
      </c>
      <c r="K54" s="47" t="inlineStr">
        <is>
          <t>Yes</t>
        </is>
      </c>
    </row>
    <row r="55" ht="15" customHeight="1" s="43">
      <c r="A55" s="45" t="inlineStr">
        <is>
          <t>DWEC</t>
        </is>
      </c>
      <c r="B55" s="45" t="inlineStr">
        <is>
          <t>047040</t>
        </is>
      </c>
      <c r="C55" s="45" t="inlineStr">
        <is>
          <t>2019</t>
        </is>
      </c>
      <c r="D55" s="45" t="inlineStr">
        <is>
          <t>Female Middle Managers %</t>
        </is>
      </c>
      <c r="E55" s="45" t="n">
        <v>4.22</v>
      </c>
      <c r="F55" s="45" t="n">
        <v>66.09</v>
      </c>
      <c r="G55" s="45" t="n">
        <v>1466.1</v>
      </c>
      <c r="H55" s="46" t="inlineStr">
        <is>
          <t>Ind.9 (Female Middle Mgrs): Claude=4</t>
        </is>
      </c>
      <c r="I55" s="47" t="n">
        <v>4.22</v>
      </c>
      <c r="J55" s="47" t="inlineStr">
        <is>
          <t>DWEC_2022.pdf p.110, 'Managerial positions status' table: Female managerial positions 115 / Total managerial positions 2,725 = 4.22%. Claude confirmed correct; DeepSeek's 66.09 does not match any ratio in the report.</t>
        </is>
      </c>
      <c r="K55" s="47" t="inlineStr">
        <is>
          <t>Yes</t>
        </is>
      </c>
    </row>
    <row r="56" ht="15" customHeight="1" s="43">
      <c r="A56" s="45" t="inlineStr">
        <is>
          <t>DWEC</t>
        </is>
      </c>
      <c r="B56" s="45" t="inlineStr">
        <is>
          <t>047040</t>
        </is>
      </c>
      <c r="C56" s="45" t="inlineStr">
        <is>
          <t>2021</t>
        </is>
      </c>
      <c r="D56" s="45" t="inlineStr">
        <is>
          <t>Fatality Rate</t>
        </is>
      </c>
      <c r="E56" s="45" t="n">
        <v>0.73</v>
      </c>
      <c r="F56" s="45" t="n">
        <v>10.73</v>
      </c>
      <c r="G56" s="45" t="n">
        <v>1369.9</v>
      </c>
      <c r="H56" s="46" t="inlineStr">
        <is>
          <t>Ind.24=0 || Ind.24 (Fatality Rate): Claude=0</t>
        </is>
      </c>
      <c r="I56" s="47" t="n">
        <v>0.73</v>
      </c>
      <c r="J56" s="47" t="inlineStr">
        <is>
          <t>DWEC_2022.pdf p.113: 'Mortality per 10,000 workers' = 0.73 (2021, marked '(Prediction)' in the report - i.e., a projected/estimated figure at time of publication). Claude confirmed correct; note the underlying figure itself is a company estimate, not a finalized actual.</t>
        </is>
      </c>
      <c r="K56" s="47" t="inlineStr">
        <is>
          <t>Yes</t>
        </is>
      </c>
    </row>
    <row r="57" ht="15" customHeight="1" s="43">
      <c r="A57" s="45" t="inlineStr">
        <is>
          <t>DWEC</t>
        </is>
      </c>
      <c r="B57" s="45" t="inlineStr">
        <is>
          <t>047040</t>
        </is>
      </c>
      <c r="C57" s="45" t="inlineStr">
        <is>
          <t>2020</t>
        </is>
      </c>
      <c r="D57" s="45" t="inlineStr">
        <is>
          <t>Female Middle Managers %</t>
        </is>
      </c>
      <c r="E57" s="45" t="n">
        <v>4.29</v>
      </c>
      <c r="F57" s="45" t="n">
        <v>63.03</v>
      </c>
      <c r="G57" s="45" t="n">
        <v>1369.2</v>
      </c>
      <c r="H57" s="46" t="inlineStr">
        <is>
          <t>Ind.9 (Female Middle Mgrs): Claude=4</t>
        </is>
      </c>
      <c r="I57" s="47" t="n">
        <v>4.29</v>
      </c>
      <c r="J57" s="47" t="inlineStr">
        <is>
          <t>DWEC_2022.pdf p.110, 'Managerial positions status' table: 119 / 2,773 = 4.29%. Claude confirmed correct.</t>
        </is>
      </c>
      <c r="K57" s="47" t="inlineStr">
        <is>
          <t>Yes</t>
        </is>
      </c>
    </row>
    <row r="58" ht="23.25" customHeight="1" s="43">
      <c r="A58" s="45" t="inlineStr">
        <is>
          <t>DWEC</t>
        </is>
      </c>
      <c r="B58" s="45" t="inlineStr">
        <is>
          <t>047040</t>
        </is>
      </c>
      <c r="C58" s="45" t="inlineStr">
        <is>
          <t>2019</t>
        </is>
      </c>
      <c r="D58" s="45" t="inlineStr">
        <is>
          <t>Contract Workers %</t>
        </is>
      </c>
      <c r="E58" s="45" t="n">
        <v>6.89</v>
      </c>
      <c r="F58" s="45" t="n">
        <v>64.44</v>
      </c>
      <c r="G58" s="45" t="n">
        <v>835.3</v>
      </c>
      <c r="H58" s="46" t="inlineStr">
        <is>
          <t>Ind.1/2/3/4/6/9/10/15/18/22 all MATCH the 2021 report exactly - good consistency || Ind.1 (Contract Workers%): Claude=6</t>
        </is>
      </c>
      <c r="I58" s="47" t="n">
        <v>6.89</v>
      </c>
      <c r="J58" s="47" t="inlineStr">
        <is>
          <t>DWEC_2022.pdf p.110, 'Employees by employment type' table: Contract employees 371 / Total employees 5,385 = 6.89%. Claude confirmed correct.</t>
        </is>
      </c>
      <c r="K58" s="47" t="inlineStr">
        <is>
          <t>Yes</t>
        </is>
      </c>
    </row>
    <row r="59" ht="15" customHeight="1" s="43">
      <c r="A59" s="45" t="inlineStr">
        <is>
          <t>DWEC</t>
        </is>
      </c>
      <c r="B59" s="45" t="inlineStr">
        <is>
          <t>047040</t>
        </is>
      </c>
      <c r="C59" s="45" t="inlineStr">
        <is>
          <t>2020</t>
        </is>
      </c>
      <c r="D59" s="45" t="inlineStr">
        <is>
          <t>Contract Workers %</t>
        </is>
      </c>
      <c r="E59" s="45" t="n">
        <v>8.970000000000001</v>
      </c>
      <c r="F59" s="45" t="n">
        <v>63.39</v>
      </c>
      <c r="G59" s="45" t="n">
        <v>606.7</v>
      </c>
      <c r="H59" s="46" t="inlineStr">
        <is>
          <t>Ind.1 (Contract Workers%): Claude=8</t>
        </is>
      </c>
      <c r="I59" s="47" t="n">
        <v>8.970000000000001</v>
      </c>
      <c r="J59" s="47" t="inlineStr">
        <is>
          <t>DWEC_2022.pdf p.110: Contract employees 489 / Total employees 5,452 = 8.97%. Claude confirmed correct.</t>
        </is>
      </c>
      <c r="K59" s="47" t="inlineStr">
        <is>
          <t>Yes</t>
        </is>
      </c>
    </row>
    <row r="60" ht="15" customHeight="1" s="43">
      <c r="A60" s="45" t="inlineStr">
        <is>
          <t>DWEC</t>
        </is>
      </c>
      <c r="B60" s="45" t="inlineStr">
        <is>
          <t>047040</t>
        </is>
      </c>
      <c r="C60" s="45" t="inlineStr">
        <is>
          <t>2021</t>
        </is>
      </c>
      <c r="D60" s="45" t="inlineStr">
        <is>
          <t>New Hires Female %</t>
        </is>
      </c>
      <c r="E60" s="45" t="n">
        <v>10.16</v>
      </c>
      <c r="F60" s="45" t="n">
        <v>58.93</v>
      </c>
      <c r="G60" s="45" t="n">
        <v>480</v>
      </c>
      <c r="H60" s="46" t="inlineStr">
        <is>
          <t>Ind.6 (New Hires Female%): Claude=10</t>
        </is>
      </c>
      <c r="I60" s="47" t="n">
        <v>10.16</v>
      </c>
      <c r="J60" s="47" t="inlineStr">
        <is>
          <t>DWEC_2022.pdf p.110: Female new hires 19 / (Female 19 + Male 168) = 10.16%. Claude confirmed correct.</t>
        </is>
      </c>
      <c r="K60" s="47" t="inlineStr">
        <is>
          <t>Yes</t>
        </is>
      </c>
    </row>
    <row r="61" ht="15" customHeight="1" s="43">
      <c r="A61" s="45" t="inlineStr">
        <is>
          <t>DWEC</t>
        </is>
      </c>
      <c r="B61" s="45" t="inlineStr">
        <is>
          <t>047040</t>
        </is>
      </c>
      <c r="C61" s="45" t="inlineStr">
        <is>
          <t>2020</t>
        </is>
      </c>
      <c r="D61" s="45" t="inlineStr">
        <is>
          <t>New Hires Female %</t>
        </is>
      </c>
      <c r="E61" s="45" t="n">
        <v>16.3</v>
      </c>
      <c r="F61" s="45" t="n">
        <v>88.5</v>
      </c>
      <c r="G61" s="45" t="n">
        <v>442.9</v>
      </c>
      <c r="H61" s="46" t="inlineStr">
        <is>
          <t>Ind.6 (New Hires Female%): Claude=16</t>
        </is>
      </c>
      <c r="I61" s="47" t="n">
        <v>16.3</v>
      </c>
      <c r="J61" s="47" t="inlineStr">
        <is>
          <t>DWEC_2022.pdf p.110, 'New recruitment' table: Female new hires 22 / (Female 22 + Male 113) = 16.30%. Claude confirmed correct.</t>
        </is>
      </c>
      <c r="K61" s="47" t="inlineStr">
        <is>
          <t>Yes</t>
        </is>
      </c>
    </row>
    <row r="62" ht="15" customHeight="1" s="43">
      <c r="A62" s="45" t="inlineStr">
        <is>
          <t>DWEC</t>
        </is>
      </c>
      <c r="B62" s="45" t="inlineStr">
        <is>
          <t>047040</t>
        </is>
      </c>
      <c r="C62" s="45" t="inlineStr">
        <is>
          <t>2020</t>
        </is>
      </c>
      <c r="D62" s="45" t="inlineStr">
        <is>
          <t>Female Contract Workers %</t>
        </is>
      </c>
      <c r="E62" s="45" t="n">
        <v>2.66</v>
      </c>
      <c r="F62" s="45" t="n">
        <v>14.15</v>
      </c>
      <c r="G62" s="45" t="n">
        <v>432</v>
      </c>
      <c r="H62" s="46" t="inlineStr">
        <is>
          <t>Ind.3 (Female Contract%): Claude=2</t>
        </is>
      </c>
      <c r="I62" s="47" t="n">
        <v>2.66</v>
      </c>
      <c r="J62" s="47" t="inlineStr">
        <is>
          <t>DWEC_2022.pdf p.110: Contract employees Female 13 / Contract employees Total 489 = 2.66%. Claude confirmed correct.</t>
        </is>
      </c>
      <c r="K62" s="47" t="inlineStr">
        <is>
          <t>Yes</t>
        </is>
      </c>
    </row>
    <row r="63" ht="15" customHeight="1" s="43">
      <c r="A63" s="45" t="inlineStr">
        <is>
          <t>DWEC</t>
        </is>
      </c>
      <c r="B63" s="45" t="inlineStr">
        <is>
          <t>047040</t>
        </is>
      </c>
      <c r="C63" s="45" t="inlineStr">
        <is>
          <t>2021</t>
        </is>
      </c>
      <c r="D63" s="45" t="inlineStr">
        <is>
          <t>Contract Workers %</t>
        </is>
      </c>
      <c r="E63" s="45" t="n">
        <v>12.57</v>
      </c>
      <c r="F63" s="45" t="n">
        <v>61.94</v>
      </c>
      <c r="G63" s="45" t="n">
        <v>392.8</v>
      </c>
      <c r="H63" s="46" t="inlineStr">
        <is>
          <t>Ind.1 (Contract Workers%): Claude=12</t>
        </is>
      </c>
      <c r="I63" s="47" t="n">
        <v>12.57</v>
      </c>
      <c r="J63" s="47" t="inlineStr">
        <is>
          <t>DWEC_2022.pdf p.110: Contract employees 683 / Total employees 5,433 = 12.57%. Claude confirmed correct.</t>
        </is>
      </c>
      <c r="K63" s="47" t="inlineStr">
        <is>
          <t>Yes</t>
        </is>
      </c>
    </row>
    <row r="64" ht="15" customHeight="1" s="43">
      <c r="A64" s="45" t="inlineStr">
        <is>
          <t>DWEC</t>
        </is>
      </c>
      <c r="B64" s="45" t="inlineStr">
        <is>
          <t>047040</t>
        </is>
      </c>
      <c r="C64" s="45" t="inlineStr">
        <is>
          <t>2023</t>
        </is>
      </c>
      <c r="D64" s="45" t="inlineStr">
        <is>
          <t>Parental Leave: Male</t>
        </is>
      </c>
      <c r="E64" s="45" t="n">
        <v>28</v>
      </c>
      <c r="F64" s="45" t="n">
        <v>131</v>
      </c>
      <c r="G64" s="45" t="n">
        <v>367.9</v>
      </c>
      <c r="H64" s="46" t="inlineStr">
        <is>
          <t>Ind.17 (Parental Leave M): Claude=28, DeepSeek=131, Diff=367</t>
        </is>
      </c>
      <c r="I64" s="47" t="n">
        <v>28</v>
      </c>
      <c r="J64" s="47" t="inlineStr">
        <is>
          <t>DWEC_2025.pdf (Daewoo E&amp;C 2025 Sustainability Report) p.149, Human Resources Management table, 'Employees on parental leave (b)', Male = 28 (2023). Claude confirmed correct; DeepSeek's 131 instead matches 'Status of maternity leave - Male' 2023 = 131 (same table) - DeepSeek pulled from the maternity-leave headcount row instead of the parental-leave row.</t>
        </is>
      </c>
      <c r="K64" s="47" t="inlineStr">
        <is>
          <t>Yes</t>
        </is>
      </c>
    </row>
    <row r="65" ht="15" customHeight="1" s="43">
      <c r="A65" s="45" t="inlineStr">
        <is>
          <t>DWEC</t>
        </is>
      </c>
      <c r="B65" s="45" t="inlineStr">
        <is>
          <t>047040</t>
        </is>
      </c>
      <c r="C65" s="45" t="inlineStr">
        <is>
          <t>2024</t>
        </is>
      </c>
      <c r="D65" s="45" t="inlineStr">
        <is>
          <t>Parental Leave: Male</t>
        </is>
      </c>
      <c r="E65" s="45" t="n">
        <v>28</v>
      </c>
      <c r="F65" s="45" t="n">
        <v>118</v>
      </c>
      <c r="G65" s="45" t="n">
        <v>321.4</v>
      </c>
      <c r="H65" s="46" t="inlineStr">
        <is>
          <t>Ind.17 (Parental Leave M): Claude=28, DeepSeek=118, Diff=321</t>
        </is>
      </c>
      <c r="I65" s="47" t="n">
        <v>28</v>
      </c>
      <c r="J65" s="47" t="inlineStr">
        <is>
          <t>DWEC_2025.pdf (Daewoo E&amp;C 2025 Sustainability Report) p.149, Human Resources Management table, 'Employees on parental leave (b)', Male = 28 (2024). Claude confirmed correct; DeepSeek's 118 instead matches 'Status of maternity leave - Male' 2024 = 118 - same maternity/parental scope-mismatch pattern as 2022-2023.</t>
        </is>
      </c>
      <c r="K65" s="47" t="inlineStr">
        <is>
          <t>Yes</t>
        </is>
      </c>
    </row>
    <row r="66" ht="15" customHeight="1" s="43">
      <c r="A66" s="45" t="inlineStr">
        <is>
          <t>DWEC</t>
        </is>
      </c>
      <c r="B66" s="45" t="inlineStr">
        <is>
          <t>047040</t>
        </is>
      </c>
      <c r="C66" s="45" t="inlineStr">
        <is>
          <t>2019</t>
        </is>
      </c>
      <c r="D66" s="45" t="inlineStr">
        <is>
          <t>Female Contract Workers %</t>
        </is>
      </c>
      <c r="E66" s="45" t="n">
        <v>2.7</v>
      </c>
      <c r="F66" s="45" t="n">
        <v>10.69</v>
      </c>
      <c r="G66" s="45" t="n">
        <v>295.9</v>
      </c>
      <c r="H66" s="46" t="inlineStr">
        <is>
          <t>Ind.3 (Female Contract%): Claude=2</t>
        </is>
      </c>
      <c r="I66" s="47" t="n">
        <v>2.7</v>
      </c>
      <c r="J66" s="47" t="inlineStr">
        <is>
          <t>DWEC_2022.pdf p.110, 'Employees by employment type' table: Contract employees Female 10 / Contract employees Total 371 = 2.70%. Claude confirmed correct (indicator = female share WITHIN contract workforce, not of all female employees).</t>
        </is>
      </c>
      <c r="K66" s="47" t="inlineStr">
        <is>
          <t>Yes</t>
        </is>
      </c>
    </row>
    <row r="67" ht="15" customHeight="1" s="43">
      <c r="A67" s="45" t="inlineStr">
        <is>
          <t>DWEC</t>
        </is>
      </c>
      <c r="B67" s="45" t="inlineStr">
        <is>
          <t>047040</t>
        </is>
      </c>
      <c r="C67" s="45" t="inlineStr">
        <is>
          <t>2023</t>
        </is>
      </c>
      <c r="D67" s="45" t="inlineStr">
        <is>
          <t>Fatality Rate</t>
        </is>
      </c>
      <c r="E67" s="45" t="n">
        <v>0.52</v>
      </c>
      <c r="F67" s="45" t="n">
        <v>2</v>
      </c>
      <c r="G67" s="45" t="n">
        <v>284.6</v>
      </c>
      <c r="H67" s="46" t="inlineStr">
        <is>
          <t>Ind.24 (Fatality Rate): Claude=0</t>
        </is>
      </c>
      <c r="I67" s="47" t="n">
        <v>0.52</v>
      </c>
      <c r="J67" s="47" t="inlineStr">
        <is>
          <t>DWEC_2025.pdf p.146, Occupational Safety and Health Management table (domestic), 'Fatality rate per 10,000 Workers' = 0.52 (2023). Claude confirmed correct; DeepSeek's 2 matches the raw 'Number of fatalities' count for 2023 (2 persons), not the per-10,000-workers rate - unit mismatch (count vs. rate).</t>
        </is>
      </c>
      <c r="K67" s="47" t="inlineStr">
        <is>
          <t>Yes</t>
        </is>
      </c>
    </row>
    <row r="68" ht="57" customHeight="1" s="43">
      <c r="A68" s="45" t="inlineStr">
        <is>
          <t>DWEC</t>
        </is>
      </c>
      <c r="B68" s="45" t="inlineStr">
        <is>
          <t>047040</t>
        </is>
      </c>
      <c r="C68" s="45" t="inlineStr">
        <is>
          <t>2022</t>
        </is>
      </c>
      <c r="D68" s="45" t="inlineStr">
        <is>
          <t>Fatality Rate</t>
        </is>
      </c>
      <c r="E68" s="45" t="n">
        <v>0.9</v>
      </c>
      <c r="F68" s="45" t="n">
        <v>3</v>
      </c>
      <c r="G68" s="45" t="n">
        <v>233.3</v>
      </c>
      <c r="H68" s="46" t="inlineStr">
        <is>
          <t>Ind.24=0 || Ind.24 (Fatality Rate): Claude=0 || Ind.24 (Fatality Rate) shows a possible YEAR-MISALIGNMENT between DeepSeek's batch values and Claude's - recommend checking whether DeepSeek's reported year-values are shifted by one year relative to Claude's, similar to an issue found in another company's DeepSeek batches</t>
        </is>
      </c>
      <c r="I68" s="47" t="n">
        <v>0.9</v>
      </c>
      <c r="J68" s="47" t="inlineStr">
        <is>
          <t>DWEC_2025.pdf p.146, Occupational Safety and Health Management table (domestic), 'Fatality rate per 10,000 Workers' = 0.90 (2022). Claude confirmed correct; DeepSeek's 3 matches the raw 'Number of fatalities' count for 2022 (3 persons) - same unit mismatch as 2023, not a year-misalignment issue as originally hypothesized.</t>
        </is>
      </c>
      <c r="K68" s="47" t="inlineStr">
        <is>
          <t>Yes</t>
        </is>
      </c>
    </row>
    <row r="69" ht="15" customHeight="1" s="43">
      <c r="A69" s="45" t="inlineStr">
        <is>
          <t>DWEC</t>
        </is>
      </c>
      <c r="B69" s="45" t="inlineStr">
        <is>
          <t>047040</t>
        </is>
      </c>
      <c r="C69" s="45" t="inlineStr">
        <is>
          <t>2021</t>
        </is>
      </c>
      <c r="D69" s="45" t="inlineStr">
        <is>
          <t>Female Contract Workers %</t>
        </is>
      </c>
      <c r="E69" s="45" t="n">
        <v>6.3</v>
      </c>
      <c r="F69" s="45" t="n">
        <v>20.3</v>
      </c>
      <c r="G69" s="45" t="n">
        <v>222.2</v>
      </c>
      <c r="H69" s="46" t="inlineStr">
        <is>
          <t>Ind.3 (Female Contract%): Claude=6</t>
        </is>
      </c>
      <c r="I69" s="47" t="n">
        <v>6.3</v>
      </c>
      <c r="J69" s="47" t="inlineStr">
        <is>
          <t>DWEC_2022.pdf p.110: Contract employees Female 43 / Contract employees Total 683 = 6.30%. Claude confirmed correct.</t>
        </is>
      </c>
      <c r="K69" s="47" t="inlineStr">
        <is>
          <t>Yes</t>
        </is>
      </c>
    </row>
    <row r="70" ht="23.25" customHeight="1" s="43">
      <c r="A70" s="45" t="inlineStr">
        <is>
          <t>DWEC</t>
        </is>
      </c>
      <c r="B70" s="45" t="inlineStr">
        <is>
          <t>047040</t>
        </is>
      </c>
      <c r="C70" s="45" t="inlineStr">
        <is>
          <t>2022</t>
        </is>
      </c>
      <c r="D70" s="45" t="inlineStr">
        <is>
          <t>Parental Leave: Male</t>
        </is>
      </c>
      <c r="E70" s="45" t="n">
        <v>48</v>
      </c>
      <c r="F70" s="45" t="n">
        <v>145</v>
      </c>
      <c r="G70" s="45" t="n">
        <v>202.1</v>
      </c>
      <c r="H70" s="46" t="inlineStr">
        <is>
          <t>Ind.17 (Parental Leave M): Claude=48, DeepSeek=145, Diff=202 || Ind.17 continues the large gap flagged for 2021</t>
        </is>
      </c>
      <c r="I70" s="47" t="n">
        <v>48</v>
      </c>
      <c r="J70" s="47" t="inlineStr">
        <is>
          <t>DWEC_2025.pdf (Daewoo E&amp;C 2025 Sustainability Report) p.149, Human Resources Management table, 'Employees on parental leave (b)', Male = 48 (2022). Claude confirmed correct; DeepSeek's 145 matches 'Status of maternity leave - Male' 2022 = 145 - DeepSeek used the maternity-leave row instead of the parental-leave row.</t>
        </is>
      </c>
      <c r="K70" s="47" t="inlineStr">
        <is>
          <t>Yes</t>
        </is>
      </c>
    </row>
    <row r="71" ht="15" customHeight="1" s="43">
      <c r="A71" s="45" t="inlineStr">
        <is>
          <t>DWEC</t>
        </is>
      </c>
      <c r="B71" s="45" t="inlineStr">
        <is>
          <t>047040</t>
        </is>
      </c>
      <c r="C71" s="45" t="inlineStr">
        <is>
          <t>2019</t>
        </is>
      </c>
      <c r="D71" s="45" t="inlineStr">
        <is>
          <t>Fatality Rate</t>
        </is>
      </c>
      <c r="E71" s="45" t="n">
        <v>1.77</v>
      </c>
      <c r="F71" s="45" t="n">
        <v>0</v>
      </c>
      <c r="G71" s="45" t="n">
        <v>100</v>
      </c>
      <c r="H71" s="46" t="inlineStr">
        <is>
          <t>Ind.24=1 || Ind.24 (Fatality Rate): Claude=1</t>
        </is>
      </c>
      <c r="I71" s="47" t="n">
        <v>1.77</v>
      </c>
      <c r="J71" s="47" t="inlineStr">
        <is>
          <t>DWEC_2022.pdf p.113, Health and Safety table, 'Mortality per 10,000 workers' = 1.77 (2019). Claude confirmed correct.</t>
        </is>
      </c>
      <c r="K71" s="47" t="inlineStr">
        <is>
          <t>Yes</t>
        </is>
      </c>
    </row>
    <row r="72" ht="15" customHeight="1" s="43">
      <c r="A72" s="45" t="inlineStr">
        <is>
          <t>DWEC</t>
        </is>
      </c>
      <c r="B72" s="45" t="inlineStr">
        <is>
          <t>047040</t>
        </is>
      </c>
      <c r="C72" s="45" t="inlineStr">
        <is>
          <t>2022</t>
        </is>
      </c>
      <c r="D72" s="45" t="inlineStr">
        <is>
          <t>Female Board Directors %</t>
        </is>
      </c>
      <c r="E72" s="45" t="n">
        <v>16.67</v>
      </c>
      <c r="F72" s="45" t="n">
        <v>0</v>
      </c>
      <c r="G72" s="45" t="n">
        <v>100</v>
      </c>
      <c r="H72" s="46" t="inlineStr">
        <is>
          <t>Ind.11 (Female Board Directors): Claude=16</t>
        </is>
      </c>
      <c r="I72" s="47" t="n">
        <v>16.67</v>
      </c>
      <c r="J72" s="47" t="inlineStr">
        <is>
          <t>DWEC_2025.pdf p.153, Governance Performance / Board of Directors table: 'Number of female directors in the BOD' = 1, 'Number of the BOD members' = 6 -&gt; 1/6 = 16.67% (2022). Claude confirmed correct; DeepSeek's 0 does not match (report shows 1 female director in 2022, not 0).</t>
        </is>
      </c>
      <c r="K72" s="47" t="inlineStr">
        <is>
          <t>Yes</t>
        </is>
      </c>
    </row>
    <row r="73" ht="23.25" customHeight="1" s="43">
      <c r="A73" s="45" t="inlineStr">
        <is>
          <t>DWEC</t>
        </is>
      </c>
      <c r="B73" s="45" t="inlineStr">
        <is>
          <t>047040</t>
        </is>
      </c>
      <c r="C73" s="45" t="inlineStr">
        <is>
          <t>2020</t>
        </is>
      </c>
      <c r="D73" s="45" t="inlineStr">
        <is>
          <t>Fatality Rate</t>
        </is>
      </c>
      <c r="E73" s="45" t="n">
        <v>1</v>
      </c>
      <c r="F73" s="45" t="n">
        <v>1.77</v>
      </c>
      <c r="G73" s="45" t="n">
        <v>77</v>
      </c>
      <c r="H73" s="46" t="inlineStr">
        <is>
          <t>Ind.24=1, matches 2021 report's 1 || Ind.24 (Fatality Rate): Claude=1, DeepSeek=1</t>
        </is>
      </c>
      <c r="I73" s="47" t="n">
        <v>1</v>
      </c>
      <c r="J73" s="47" t="inlineStr">
        <is>
          <t>DWEC_2022.pdf p.113, 'Mortality per 10,000 workers' = 1 (2020). Claude confirmed correct.</t>
        </is>
      </c>
      <c r="K73" s="47" t="inlineStr">
        <is>
          <t>Yes</t>
        </is>
      </c>
    </row>
    <row r="74" ht="15" customHeight="1" s="43">
      <c r="A74" s="45" t="inlineStr">
        <is>
          <t>DWEC</t>
        </is>
      </c>
      <c r="B74" s="45" t="inlineStr">
        <is>
          <t>047040</t>
        </is>
      </c>
      <c r="C74" s="45" t="inlineStr">
        <is>
          <t>2020</t>
        </is>
      </c>
      <c r="D74" s="45" t="inlineStr">
        <is>
          <t>Return to Work %</t>
        </is>
      </c>
      <c r="E74" s="45" t="n">
        <v>65</v>
      </c>
      <c r="F74" s="45" t="n">
        <v>99</v>
      </c>
      <c r="G74" s="45" t="n">
        <v>52.3</v>
      </c>
      <c r="H74" s="46" t="inlineStr">
        <is>
          <t>Ind.18 (Return to Work): Claude=65, DeepSeek=99, Diff=52</t>
        </is>
      </c>
      <c r="I74" s="47" t="n">
        <v>65</v>
      </c>
      <c r="J74" s="47" t="inlineStr">
        <is>
          <t>DWEC_2022.pdf p.111, 'Return to work and retention rates of employees that took parental leave (c/b)' Total row = 65 (2020). Claude confirmed correct. DeepSeek's 99 matches the separate 'Return rate after maternity leave %' row instead (99% in 2020) - confirms diagnostic note's SCOPE MISMATCH hypothesis (maternity-only return rate vs. parental-leave return-to-work rate).</t>
        </is>
      </c>
      <c r="K74" s="47" t="inlineStr">
        <is>
          <t>Yes</t>
        </is>
      </c>
    </row>
    <row r="75" ht="15" customHeight="1" s="43">
      <c r="A75" s="45" t="inlineStr">
        <is>
          <t>DWEC</t>
        </is>
      </c>
      <c r="B75" s="45" t="inlineStr">
        <is>
          <t>047040</t>
        </is>
      </c>
      <c r="C75" s="45" t="inlineStr">
        <is>
          <t>2023</t>
        </is>
      </c>
      <c r="D75" s="45" t="inlineStr">
        <is>
          <t>Female Board Directors %</t>
        </is>
      </c>
      <c r="E75" s="45" t="n">
        <v>25</v>
      </c>
      <c r="F75" s="45" t="n">
        <v>12.5</v>
      </c>
      <c r="G75" s="45" t="n">
        <v>50</v>
      </c>
      <c r="H75" s="46" t="inlineStr">
        <is>
          <t>Ind.11 (Female Board Directors): Claude=25, DeepSeek=12</t>
        </is>
      </c>
      <c r="I75" s="47" t="n">
        <v>25</v>
      </c>
      <c r="J75" s="47" t="inlineStr">
        <is>
          <t>DWEC_2025.pdf p.153, Governance Performance / Board of Directors table: female directors = 2, total BOD members = 8 -&gt; 2/8 = 25% (2023). Claude confirmed correct; DeepSeek's 12.5 = 1/8, undercounting female directors by one.</t>
        </is>
      </c>
      <c r="K75" s="47" t="inlineStr">
        <is>
          <t>Yes</t>
        </is>
      </c>
    </row>
    <row r="76" ht="15" customHeight="1" s="43">
      <c r="A76" s="45" t="inlineStr">
        <is>
          <t>DWEC</t>
        </is>
      </c>
      <c r="B76" s="45" t="inlineStr">
        <is>
          <t>047040</t>
        </is>
      </c>
      <c r="C76" s="45" t="inlineStr">
        <is>
          <t>2024</t>
        </is>
      </c>
      <c r="D76" s="45" t="inlineStr">
        <is>
          <t>Female Board Directors %</t>
        </is>
      </c>
      <c r="E76" s="45" t="n">
        <v>28.57</v>
      </c>
      <c r="F76" s="45" t="n">
        <v>14.29</v>
      </c>
      <c r="G76" s="45" t="n">
        <v>50</v>
      </c>
      <c r="H76" s="46" t="inlineStr">
        <is>
          <t>Ind.11 (Female Board Directors): Claude=28</t>
        </is>
      </c>
      <c r="I76" s="47" t="n">
        <v>28.57</v>
      </c>
      <c r="J76" s="47" t="inlineStr">
        <is>
          <t>DWEC_2025.pdf p.153, Governance Performance / Board of Directors table: female directors = 2, total BOD members = 7 -&gt; 2/7 = 28.57% (2024). Claude confirmed correct; DeepSeek's 14.29 = 1/7 - likely derived from the named BOD-roster table on p.114-115 (as of Dec 31, 2024), which lists only 1 female director, but the report's own governance summary statistics on p.153 state 2 female directors for 2024.</t>
        </is>
      </c>
      <c r="K76" s="47" t="inlineStr">
        <is>
          <t>Yes</t>
        </is>
      </c>
    </row>
    <row r="77" ht="79.5" customHeight="1" s="43">
      <c r="A77" s="48" t="inlineStr">
        <is>
          <t>DWEC</t>
        </is>
      </c>
      <c r="B77" s="48" t="inlineStr">
        <is>
          <t>047040</t>
        </is>
      </c>
      <c r="C77" s="48" t="inlineStr">
        <is>
          <t>2021</t>
        </is>
      </c>
      <c r="D77" s="48" t="inlineStr">
        <is>
          <t>Return to Work %</t>
        </is>
      </c>
      <c r="E77" s="48" t="n">
        <v>67</v>
      </c>
      <c r="F77" s="48" t="n">
        <v>99</v>
      </c>
      <c r="G77" s="48" t="n">
        <v>47.8</v>
      </c>
      <c r="H77" s="46" t="inlineStr">
        <is>
          <t>Ind.18=67, PROXY (table blends return-to-work AND retention, not a pure return-to-work-only metric || Ind.18 (Return to Work): Claude=67, DeepSeek=99, Diff=47 || Ind.18 (Return to Work) consistently ~30-50pts higher in DeepSeek across 2020-2022, possibly reflecting a maternity-specific rate rather than general parental leave (DeepSeek's own batch2 notes mention 'Return rate after maternity leave' as its source row) - likely a SCOPE MISMATCH (maternity vs</t>
        </is>
      </c>
      <c r="I77" s="47" t="n">
        <v>67</v>
      </c>
      <c r="J77" s="47" t="inlineStr">
        <is>
          <t>DWEC_2022.pdf p.111: 'Return to work and retention rates...(c/b)' Total row = 67 (2021). Claude confirmed correct. Same maternity-vs-parental scope mismatch as 2020/2022 explains DeepSeek's 99.</t>
        </is>
      </c>
      <c r="K77" s="47" t="inlineStr">
        <is>
          <t>Yes</t>
        </is>
      </c>
    </row>
    <row r="78" ht="15" customHeight="1" s="43">
      <c r="A78" s="48" t="inlineStr">
        <is>
          <t>DWEC</t>
        </is>
      </c>
      <c r="B78" s="48" t="inlineStr">
        <is>
          <t>047040</t>
        </is>
      </c>
      <c r="C78" s="48" t="inlineStr">
        <is>
          <t>2022</t>
        </is>
      </c>
      <c r="D78" s="48" t="inlineStr">
        <is>
          <t>Female Permanent Workers %</t>
        </is>
      </c>
      <c r="E78" s="48" t="n">
        <v>9.77</v>
      </c>
      <c r="F78" s="48" t="n">
        <v>12.91</v>
      </c>
      <c r="G78" s="48" t="n">
        <v>32.1</v>
      </c>
      <c r="H78" s="46" t="inlineStr">
        <is>
          <t>Ind.2 (Female Permanent%): Claude=9</t>
        </is>
      </c>
      <c r="I78" s="47" t="n">
        <v>9.77</v>
      </c>
      <c r="J78" s="47" t="inlineStr">
        <is>
          <t>DWEC_2025.pdf p.147, Human Resources Management table, 'Employees without fixed term contracts': Female 359 / (Male 3,316 + Female 359) = 359/3,675 = 9.77% (2022). Claude confirmed correct; DeepSeek's 12.91 matches the overall Female % of ALL employees (754/5,842 = 12.91%, from the 'Number of employees' row on the same page) rather than the permanent-only subset - denominator/scope mismatch.</t>
        </is>
      </c>
      <c r="K78" s="47" t="inlineStr">
        <is>
          <t>Yes</t>
        </is>
      </c>
    </row>
    <row r="79" ht="15" customHeight="1" s="43">
      <c r="A79" s="48" t="inlineStr">
        <is>
          <t>DWEC</t>
        </is>
      </c>
      <c r="B79" s="48" t="inlineStr">
        <is>
          <t>047040</t>
        </is>
      </c>
      <c r="C79" s="48" t="inlineStr">
        <is>
          <t>2022</t>
        </is>
      </c>
      <c r="D79" s="48" t="inlineStr">
        <is>
          <t>Return to Work %</t>
        </is>
      </c>
      <c r="E79" s="48" t="n">
        <v>75.36</v>
      </c>
      <c r="F79" s="48" t="n">
        <v>99.41</v>
      </c>
      <c r="G79" s="48" t="n">
        <v>31.9</v>
      </c>
      <c r="H79" s="46" t="inlineStr">
        <is>
          <t>Ind.18 (Return to Work): Claude=75</t>
        </is>
      </c>
      <c r="I79" s="47" t="n">
        <v>75.36</v>
      </c>
      <c r="J79" s="47" t="inlineStr">
        <is>
          <t>DWEC_2025.pdf p.149, Human Resources Management table, 'Percentage of return from parental leave (c/b)' Total = 75.36% (2022). Claude confirmed correct; DeepSeek's 99.41 matches 'Rate of reinstatement of maternity leave' 2022 = 99.41% (same page) - same maternity-vs-parental-leave scope mismatch identified for 2020/2021 in the prior report edition.</t>
        </is>
      </c>
      <c r="K79" s="47" t="inlineStr">
        <is>
          <t>Yes</t>
        </is>
      </c>
    </row>
    <row r="80" ht="15" customHeight="1" s="43">
      <c r="A80" s="48" t="inlineStr">
        <is>
          <t>DWEC</t>
        </is>
      </c>
      <c r="B80" s="48" t="inlineStr">
        <is>
          <t>047040</t>
        </is>
      </c>
      <c r="C80" s="48" t="inlineStr">
        <is>
          <t>2023</t>
        </is>
      </c>
      <c r="D80" s="48" t="inlineStr">
        <is>
          <t>Parental Leave: Female</t>
        </is>
      </c>
      <c r="E80" s="48" t="n">
        <v>32</v>
      </c>
      <c r="F80" s="48" t="n">
        <v>22</v>
      </c>
      <c r="G80" s="48" t="n">
        <v>31.2</v>
      </c>
      <c r="H80" s="46" t="inlineStr">
        <is>
          <t>Ind.16 (Parental Leave F): Claude=32, DeepSeek=22, Diff=31</t>
        </is>
      </c>
      <c r="I80" s="47" t="n">
        <v>32</v>
      </c>
      <c r="J80" s="47" t="inlineStr">
        <is>
          <t>DWEC_2025.pdf (Daewoo E&amp;C 2025 Sustainability Report) p.149, Human Resources Management table, 'Employees on parental leave (b)', Female = 32 (2023). Claude confirmed correct; DeepSeek's 22 matches 'Status of maternity leave - Female' 2023 = 22 - same maternity/parental scope-mismatch pattern as the Male indicator.</t>
        </is>
      </c>
      <c r="K80" s="47" t="inlineStr">
        <is>
          <t>Yes</t>
        </is>
      </c>
    </row>
    <row r="81" ht="15" customHeight="1" s="43">
      <c r="A81" s="48" t="inlineStr">
        <is>
          <t>DWEC</t>
        </is>
      </c>
      <c r="B81" s="48" t="inlineStr">
        <is>
          <t>047040</t>
        </is>
      </c>
      <c r="C81" s="48" t="inlineStr">
        <is>
          <t>2020</t>
        </is>
      </c>
      <c r="D81" s="48" t="inlineStr">
        <is>
          <t>Parental Leave: Male</t>
        </is>
      </c>
      <c r="E81" s="48" t="n">
        <v>20</v>
      </c>
      <c r="F81" s="48" t="n">
        <v>26</v>
      </c>
      <c r="G81" s="48" t="n">
        <v>30</v>
      </c>
      <c r="H81" s="46" t="inlineStr">
        <is>
          <t>Ind.17 (Parental Leave M): Claude=20, DeepSeek=26, Diff=30</t>
        </is>
      </c>
      <c r="I81" s="47" t="n">
        <v>20</v>
      </c>
      <c r="J81" s="47" t="inlineStr">
        <is>
          <t>DWEC_2022.pdf p.111: Male (b) = 20 (2020). Claude confirmed correct; DeepSeek swapped Male/Female.</t>
        </is>
      </c>
      <c r="K81" s="47" t="inlineStr">
        <is>
          <t>Yes</t>
        </is>
      </c>
    </row>
    <row r="82" ht="79.5" customHeight="1" s="43">
      <c r="A82" s="48" t="inlineStr">
        <is>
          <t>DWEC</t>
        </is>
      </c>
      <c r="B82" s="48" t="inlineStr">
        <is>
          <t>047040</t>
        </is>
      </c>
      <c r="C82" s="48" t="inlineStr">
        <is>
          <t>2019</t>
        </is>
      </c>
      <c r="D82" s="48" t="inlineStr">
        <is>
          <t>Parental Leave: Female</t>
        </is>
      </c>
      <c r="E82" s="48" t="n">
        <v>17</v>
      </c>
      <c r="F82" s="48" t="n">
        <v>22</v>
      </c>
      <c r="G82" s="48" t="n">
        <v>29.4</v>
      </c>
      <c r="H82" s="46" t="inlineStr">
        <is>
          <t>Ind.16/17 (Parental Leave F/M): 2021 report had F=22/M=17 || Ind.16 (Parental Leave F): Claude=17, DeepSeek=22, Diff=29 || Ind.16/17 discrepancy (Claude F=17/M=22 vs DeepSeek F=22/M=17) matches a PREVIOUSLY IDENTIFIED swap ambiguity between Claude's own two DWEC report editions - DeepSeek's batch1/batch2 both align with the EARLIER (pre-correction) labeling Claude itself flagged as possibly swapped</t>
        </is>
      </c>
      <c r="I82" s="47" t="n">
        <v>17</v>
      </c>
      <c r="J82" s="47" t="inlineStr">
        <is>
          <t>DWEC_2022.pdf p.111, Parental leave table: 'Total number of employees that took parental leave, by gender (b)' Female = 17 (2019). Claude confirmed correct.</t>
        </is>
      </c>
      <c r="K82" s="47" t="inlineStr">
        <is>
          <t>Yes</t>
        </is>
      </c>
    </row>
    <row r="83" ht="15" customHeight="1" s="43">
      <c r="A83" s="48" t="inlineStr">
        <is>
          <t>DWEC</t>
        </is>
      </c>
      <c r="B83" s="48" t="inlineStr">
        <is>
          <t>047040</t>
        </is>
      </c>
      <c r="C83" s="48" t="inlineStr">
        <is>
          <t>2023</t>
        </is>
      </c>
      <c r="D83" s="48" t="inlineStr">
        <is>
          <t>Female Permanent Workers %</t>
        </is>
      </c>
      <c r="E83" s="48" t="n">
        <v>9.66</v>
      </c>
      <c r="F83" s="48" t="n">
        <v>12.38</v>
      </c>
      <c r="G83" s="48" t="n">
        <v>28.2</v>
      </c>
      <c r="H83" s="46" t="inlineStr">
        <is>
          <t>Ind.2 (Female Permanent%): Claude=9</t>
        </is>
      </c>
      <c r="I83" s="47" t="n">
        <v>9.66</v>
      </c>
      <c r="J83" s="47" t="inlineStr">
        <is>
          <t>DWEC_2025.pdf p.147, Human Resources Management table, 'Employees without fixed term contracts': Female 351 / (Male 3,282 + Female 351) = 351/3,633 = 9.66% (2023). Claude confirmed correct; DeepSeek's 12.38 = overall Female % of total employees (733/5,921 = 12.38%).</t>
        </is>
      </c>
      <c r="K83" s="47" t="inlineStr">
        <is>
          <t>Yes</t>
        </is>
      </c>
    </row>
    <row r="84" ht="15" customHeight="1" s="43">
      <c r="A84" s="48" t="inlineStr">
        <is>
          <t>DWEC</t>
        </is>
      </c>
      <c r="B84" s="48" t="inlineStr">
        <is>
          <t>047040</t>
        </is>
      </c>
      <c r="C84" s="48" t="inlineStr">
        <is>
          <t>2024</t>
        </is>
      </c>
      <c r="D84" s="48" t="inlineStr">
        <is>
          <t>Female Permanent Workers %</t>
        </is>
      </c>
      <c r="E84" s="48" t="n">
        <v>9.93</v>
      </c>
      <c r="F84" s="48" t="n">
        <v>12.36</v>
      </c>
      <c r="G84" s="48" t="n">
        <v>24.5</v>
      </c>
      <c r="H84" s="46" t="inlineStr">
        <is>
          <t>Ind.2 (Female Permanent%): Claude=9</t>
        </is>
      </c>
      <c r="I84" s="47" t="n">
        <v>9.93</v>
      </c>
      <c r="J84" s="47" t="inlineStr">
        <is>
          <t>DWEC_2025.pdf p.147, Human Resources Management table, 'Employees without fixed term contracts': Female 355 / (Male 3,220 + Female 355) = 355/3,575 = 9.93% (2024). Claude confirmed correct; DeepSeek's 12.36 = overall Female % of total employees (680/5,503 = 12.36%).</t>
        </is>
      </c>
      <c r="K84" s="47" t="inlineStr">
        <is>
          <t>Yes</t>
        </is>
      </c>
    </row>
    <row r="85" ht="23.25" customHeight="1" s="43">
      <c r="A85" s="48" t="inlineStr">
        <is>
          <t>DWEC</t>
        </is>
      </c>
      <c r="B85" s="48" t="inlineStr">
        <is>
          <t>047040</t>
        </is>
      </c>
      <c r="C85" s="48" t="inlineStr">
        <is>
          <t>2020</t>
        </is>
      </c>
      <c r="D85" s="48" t="inlineStr">
        <is>
          <t>Parental Leave: Female</t>
        </is>
      </c>
      <c r="E85" s="48" t="n">
        <v>26</v>
      </c>
      <c r="F85" s="48" t="n">
        <v>20</v>
      </c>
      <c r="G85" s="48" t="n">
        <v>23.1</v>
      </c>
      <c r="H85" s="46" t="inlineStr">
        <is>
          <t>Ind.16/17: SAME SWAP PATTERN as 2019 - 2021 report had F=20/M=26 || Ind.16 (Parental Leave F): Claude=26, DeepSeek=20, Diff=23</t>
        </is>
      </c>
      <c r="I85" s="47" t="n">
        <v>26</v>
      </c>
      <c r="J85" s="47" t="inlineStr">
        <is>
          <t>DWEC_2022.pdf p.111: Female (b) = 26 (2020). Claude confirmed correct.</t>
        </is>
      </c>
      <c r="K85" s="47" t="inlineStr">
        <is>
          <t>Yes</t>
        </is>
      </c>
    </row>
    <row r="86" ht="15" customHeight="1" s="43">
      <c r="A86" s="48" t="inlineStr">
        <is>
          <t>DWEC</t>
        </is>
      </c>
      <c r="B86" s="48" t="inlineStr">
        <is>
          <t>047040</t>
        </is>
      </c>
      <c r="C86" s="48" t="inlineStr">
        <is>
          <t>2019</t>
        </is>
      </c>
      <c r="D86" s="48" t="inlineStr">
        <is>
          <t>Parental Leave: Male</t>
        </is>
      </c>
      <c r="E86" s="48" t="n">
        <v>22</v>
      </c>
      <c r="F86" s="48" t="n">
        <v>17</v>
      </c>
      <c r="G86" s="48" t="n">
        <v>22.7</v>
      </c>
      <c r="H86" s="46" t="inlineStr">
        <is>
          <t>Ind.17 (Parental Leave M): Claude=22, DeepSeek=17, Diff=22</t>
        </is>
      </c>
      <c r="I86" s="47" t="n">
        <v>22</v>
      </c>
      <c r="J86" s="47" t="inlineStr">
        <is>
          <t>DWEC_2022.pdf p.111, same table, Male (b) = 22 (2019). Claude confirmed correct; DeepSeek appears to have swapped the Male/Female columns.</t>
        </is>
      </c>
      <c r="K86" s="47" t="inlineStr">
        <is>
          <t>Yes</t>
        </is>
      </c>
    </row>
    <row r="87" ht="15" customHeight="1" s="43">
      <c r="A87" s="48" t="inlineStr">
        <is>
          <t>DWEC</t>
        </is>
      </c>
      <c r="B87" s="48" t="inlineStr">
        <is>
          <t>047040</t>
        </is>
      </c>
      <c r="C87" s="48" t="inlineStr">
        <is>
          <t>2022</t>
        </is>
      </c>
      <c r="D87" s="48" t="inlineStr">
        <is>
          <t>Parental Leave: Female</t>
        </is>
      </c>
      <c r="E87" s="48" t="n">
        <v>21</v>
      </c>
      <c r="F87" s="48" t="n">
        <v>25</v>
      </c>
      <c r="G87" s="48" t="n">
        <v>19</v>
      </c>
      <c r="H87" s="46" t="inlineStr">
        <is>
          <t>Ind.16 (Parental Leave F): Claude=21, DeepSeek=25, Diff=19</t>
        </is>
      </c>
      <c r="I87" s="47" t="n">
        <v>21</v>
      </c>
      <c r="J87" s="47" t="inlineStr">
        <is>
          <t>DWEC_2025.pdf (Daewoo E&amp;C 2025 Sustainability Report) p.149, Human Resources Management table, 'Employees on parental leave (b)', Female = 21 (2022). Claude confirmed correct; DeepSeek's 25 matches 'Status of maternity leave - Female' 2022 = 25.</t>
        </is>
      </c>
      <c r="K87" s="47" t="inlineStr">
        <is>
          <t>Yes</t>
        </is>
      </c>
    </row>
    <row r="88" ht="15" customHeight="1" s="43">
      <c r="A88" s="48" t="inlineStr">
        <is>
          <t>DWEC</t>
        </is>
      </c>
      <c r="B88" s="48" t="inlineStr">
        <is>
          <t>047040</t>
        </is>
      </c>
      <c r="C88" s="48" t="inlineStr">
        <is>
          <t>2023</t>
        </is>
      </c>
      <c r="D88" s="48" t="inlineStr">
        <is>
          <t>Return to Work %</t>
        </is>
      </c>
      <c r="E88" s="48" t="n">
        <v>83.33</v>
      </c>
      <c r="F88" s="48" t="n">
        <v>98.69</v>
      </c>
      <c r="G88" s="48" t="n">
        <v>18.4</v>
      </c>
      <c r="H88" s="46" t="inlineStr">
        <is>
          <t>Ind.18 (Return to Work): Claude=83</t>
        </is>
      </c>
      <c r="I88" s="47" t="n">
        <v>83.33</v>
      </c>
      <c r="J88" s="47" t="inlineStr">
        <is>
          <t>DWEC_2025.pdf p.149, Human Resources Management table, 'Percentage of return from parental leave (c/b)' Total = 83.33% (2023). Claude confirmed correct; DeepSeek's 98.69 matches 'Rate of reinstatement of maternity leave' 2023 = 98.69%.</t>
        </is>
      </c>
      <c r="K88" s="47" t="inlineStr">
        <is>
          <t>Yes</t>
        </is>
      </c>
    </row>
    <row r="89" ht="15" customHeight="1" s="43">
      <c r="A89" s="48" t="inlineStr">
        <is>
          <t>DWEC</t>
        </is>
      </c>
      <c r="B89" s="48" t="inlineStr">
        <is>
          <t>047040</t>
        </is>
      </c>
      <c r="C89" s="48" t="inlineStr">
        <is>
          <t>2018</t>
        </is>
      </c>
      <c r="D89" s="48" t="inlineStr">
        <is>
          <t>New Hire Rate %</t>
        </is>
      </c>
      <c r="E89" s="48" t="n">
        <v>0.97</v>
      </c>
      <c r="F89" s="48" t="n">
        <v>1.14</v>
      </c>
      <c r="G89" s="48" t="n">
        <v>17.5</v>
      </c>
      <c r="H89" s="46" t="inlineStr">
        <is>
          <t>Ind.4 (New Hire Rate): Claude=0</t>
        </is>
      </c>
      <c r="I89" s="47" t="n">
        <v>0.97</v>
      </c>
      <c r="J89" s="47" t="inlineStr">
        <is>
          <t>DWEC_2021.pdf, p.85 (Appendix - Facts &amp; Figures, Employment table: New employment Female 6 + Male 46 = 52 hires / Total employees 5,359 = 0.97%)</t>
        </is>
      </c>
      <c r="K89" s="47" t="inlineStr">
        <is>
          <t>Yes</t>
        </is>
      </c>
    </row>
    <row r="90" ht="15" customHeight="1" s="43">
      <c r="A90" s="48" t="inlineStr">
        <is>
          <t>DWEC</t>
        </is>
      </c>
      <c r="B90" s="48" t="inlineStr">
        <is>
          <t>047040</t>
        </is>
      </c>
      <c r="C90" s="48" t="inlineStr">
        <is>
          <t>2020</t>
        </is>
      </c>
      <c r="D90" s="48" t="inlineStr">
        <is>
          <t>New Hire Rate %</t>
        </is>
      </c>
      <c r="E90" s="48" t="n">
        <v>2.48</v>
      </c>
      <c r="F90" s="48" t="n">
        <v>2.07</v>
      </c>
      <c r="G90" s="48" t="n">
        <v>16.5</v>
      </c>
      <c r="H90" s="46" t="inlineStr">
        <is>
          <t>Ind.4 (New Hire Rate): Claude=2</t>
        </is>
      </c>
      <c r="I90" s="47" t="n">
        <v>2.48</v>
      </c>
      <c r="J90" s="47" t="inlineStr">
        <is>
          <t>DWEC_2022.pdf p.110: (Female 22 + Male 113) = 135 / Total employees 5,452 = 2.48%. Claude confirmed correct.</t>
        </is>
      </c>
      <c r="K90" s="47" t="inlineStr">
        <is>
          <t>Yes</t>
        </is>
      </c>
    </row>
    <row r="91" ht="15" customHeight="1" s="43">
      <c r="A91" s="48" t="inlineStr">
        <is>
          <t>DWEC</t>
        </is>
      </c>
      <c r="B91" s="48" t="inlineStr">
        <is>
          <t>047040</t>
        </is>
      </c>
      <c r="C91" s="48" t="inlineStr">
        <is>
          <t>2019</t>
        </is>
      </c>
      <c r="D91" s="48" t="inlineStr">
        <is>
          <t>New Hire Rate %</t>
        </is>
      </c>
      <c r="E91" s="48" t="n">
        <v>2.23</v>
      </c>
      <c r="F91" s="48" t="n">
        <v>1.88</v>
      </c>
      <c r="G91" s="48" t="n">
        <v>15.7</v>
      </c>
      <c r="H91" s="46" t="inlineStr">
        <is>
          <t>Ind.4 (New Hire Rate): Claude=2</t>
        </is>
      </c>
      <c r="I91" s="47" t="n">
        <v>2.23</v>
      </c>
      <c r="J91" s="47" t="inlineStr">
        <is>
          <t>DWEC_2022.pdf p.110, 'New recruitment and voluntary turnover' table: (Female 19 + Male 101) new hires = 120 / Total employees 5,385 = 2.23%. Claude confirmed correct.</t>
        </is>
      </c>
      <c r="K91" s="47" t="inlineStr">
        <is>
          <t>Yes</t>
        </is>
      </c>
    </row>
    <row r="92" ht="15" customHeight="1" s="43">
      <c r="A92" s="48" t="inlineStr">
        <is>
          <t>DWEC</t>
        </is>
      </c>
      <c r="B92" s="48" t="inlineStr">
        <is>
          <t>047040</t>
        </is>
      </c>
      <c r="C92" s="48" t="inlineStr">
        <is>
          <t>2021</t>
        </is>
      </c>
      <c r="D92" s="48" t="inlineStr">
        <is>
          <t>New Hire Rate %</t>
        </is>
      </c>
      <c r="E92" s="48" t="n">
        <v>3.44</v>
      </c>
      <c r="F92" s="48" t="n">
        <v>3.09</v>
      </c>
      <c r="G92" s="48" t="n">
        <v>10.2</v>
      </c>
      <c r="H92" s="46" t="inlineStr">
        <is>
          <t>Ind.4 (New Hire Rate): Claude=3</t>
        </is>
      </c>
      <c r="I92" s="47" t="n">
        <v>3.44</v>
      </c>
      <c r="J92" s="47" t="inlineStr">
        <is>
          <t>DWEC_2022.pdf p.110: (Female 19 + Male 168) = 187 / Total employees 5,433 = 3.44%. Claude confirmed correct.</t>
        </is>
      </c>
      <c r="K92" s="47" t="inlineStr">
        <is>
          <t>Yes</t>
        </is>
      </c>
    </row>
    <row r="93" ht="23.25" customHeight="1" s="43">
      <c r="A93" s="48" t="inlineStr">
        <is>
          <t>DWEC</t>
        </is>
      </c>
      <c r="B93" s="48" t="inlineStr">
        <is>
          <t>047040</t>
        </is>
      </c>
      <c r="C93" s="48" t="inlineStr">
        <is>
          <t>2020</t>
        </is>
      </c>
      <c r="D93" s="48" t="inlineStr">
        <is>
          <t>COVID-19 Response</t>
        </is>
      </c>
      <c r="E93" s="48" t="n">
        <v>10</v>
      </c>
      <c r="F93" s="48" t="n">
        <v>11</v>
      </c>
      <c r="G93" s="48" t="n">
        <v>10</v>
      </c>
      <c r="H93" s="46" t="inlineStr">
        <is>
          <t>Ind.25 (COVID Response): 2021 report had a specific count of 10 for this year || Ind.25 (COVID Response): Claude=10, DeepSeek=11, Diff=10</t>
        </is>
      </c>
      <c r="I93" s="47" t="n">
        <v>10</v>
      </c>
      <c r="J93" s="47" t="inlineStr">
        <is>
          <t>UNRESOLVED - Indicator 25 (Covid Response Policies) is a purple/external-source indicator per project instructions ('Cannot be extracted from company reports... mark ND'). The report describes several COVID-19 measures (Telecommuting, Self-quarantine Facility, Examination Fee Support, Vaccination Leave, MIND CARE counseling, Home Visit Event, etc.) but does not state a single numeric 'count' of 10 or 11 anywhere - both Claude's and DeepSeek's figures appear to be derived counts/interpretations rather than a disclosed statistic. Leaving unresolved; recommend treating as ND or resolving via the external methodology used for indicators 25-30.</t>
        </is>
      </c>
      <c r="K93" s="47" t="inlineStr">
        <is>
          <t>FINAL: Claude value retained (source inconclusive; see note)</t>
        </is>
      </c>
    </row>
    <row r="94" ht="15" customHeight="1" s="43">
      <c r="A94" s="48" t="inlineStr">
        <is>
          <t>DWEC</t>
        </is>
      </c>
      <c r="B94" s="48" t="inlineStr">
        <is>
          <t>047040</t>
        </is>
      </c>
      <c r="C94" s="48" t="inlineStr">
        <is>
          <t>2024</t>
        </is>
      </c>
      <c r="D94" s="48" t="inlineStr">
        <is>
          <t>Return to Work %</t>
        </is>
      </c>
      <c r="E94" s="48" t="n">
        <v>101.92</v>
      </c>
      <c r="F94" s="48" t="n">
        <v>96.5</v>
      </c>
      <c r="G94" s="48" t="n">
        <v>5.3</v>
      </c>
      <c r="H94" s="46" t="inlineStr">
        <is>
          <t>Ind.18=101 || Ind.18 (Return to Work): Claude=101</t>
        </is>
      </c>
      <c r="I94" s="47" t="n">
        <v>101.92</v>
      </c>
      <c r="J94" s="47" t="inlineStr">
        <is>
          <t>DWEC_2025.pdf p.149, Human Resources Management table, 'Percentage of return from parental leave (c/b)' Total = 101.92% (2024) - figure exceeds 100% because the numerator (employees returning in the reporting year) can include those whose leave began in a prior year; this pattern is consistent across the time series. Claude confirmed correct; DeepSeek's 96.5 matches 'Rate of reinstatement of maternity leave' 2024 = 96.5%.</t>
        </is>
      </c>
      <c r="K94" s="47" t="inlineStr">
        <is>
          <t>Yes</t>
        </is>
      </c>
    </row>
    <row r="95" ht="23.25" customHeight="1" s="43">
      <c r="A95" s="45" t="inlineStr">
        <is>
          <t>HANMI PHARM</t>
        </is>
      </c>
      <c r="B95" s="45" t="inlineStr">
        <is>
          <t>128940</t>
        </is>
      </c>
      <c r="C95" s="45" t="inlineStr">
        <is>
          <t>2018</t>
        </is>
      </c>
      <c r="D95" s="45" t="inlineStr">
        <is>
          <t>Training Budget per Employee</t>
        </is>
      </c>
      <c r="E95" s="45" t="n">
        <v>958733</v>
      </c>
      <c r="F95" s="45" t="n">
        <v>9671</v>
      </c>
      <c r="G95" s="45" t="n">
        <v>99</v>
      </c>
      <c r="H95" s="46" t="inlineStr">
        <is>
          <t>Ind.14 (Training Budget/Employee): Claude=958733, DeepSeek=9671, Diff=99</t>
        </is>
      </c>
      <c r="I95" s="47" t="n">
        <v>958733</v>
      </c>
      <c r="J95" s="47" t="inlineStr">
        <is>
          <t>2020-21 CSR Report, p.80 'Hanmi Pharm: Economic Value Created and Distributed' table - Employee training expenses = KRW23 (100 millions) = KRW2,300,000,000; Total Employees = 2,399 (p.84, 'Hanmi Pharm Employee Status' table). KRW2,300,000,000 / 2,399 = KRW958,734/employee (rounds to Claude's 958,733). DeepSeek's 9,671 is off by ~100x - consistent with misreading the 'KRW100 million' unit header as 'KRW million'.</t>
        </is>
      </c>
      <c r="K95" s="47" t="inlineStr">
        <is>
          <t>Yes</t>
        </is>
      </c>
    </row>
    <row r="96" ht="23.25" customHeight="1" s="43">
      <c r="A96" s="48" t="inlineStr">
        <is>
          <t>HANMI PHARM</t>
        </is>
      </c>
      <c r="B96" s="48" t="inlineStr">
        <is>
          <t>128940</t>
        </is>
      </c>
      <c r="C96" s="48" t="inlineStr">
        <is>
          <t>2020</t>
        </is>
      </c>
      <c r="D96" s="48" t="inlineStr">
        <is>
          <t>Training Budget per Employee</t>
        </is>
      </c>
      <c r="E96" s="48" t="n">
        <v>469283</v>
      </c>
      <c r="F96" s="48" t="n">
        <v>597269</v>
      </c>
      <c r="G96" s="48" t="n">
        <v>27.3</v>
      </c>
      <c r="H96" s="46" t="inlineStr">
        <is>
          <t>Ind.14 (Training Budget/Employee): Claude=469283, DeepSeek=597269, Diff=27</t>
        </is>
      </c>
      <c r="I96" s="47" t="n">
        <v>469283</v>
      </c>
      <c r="J96" s="47" t="inlineStr">
        <is>
          <t>2020-21 CSR Report, p.80 table - Employee training expenses = KRW11 (100 millions) = KRW1,100,000,000; Total Employees = 2,344 (p.84). KRW1,100,000,000 / 2,344 = KRW469,284/employee, matching Claude's 469,283 (rounding). NOTE: Extraction Log's Source column lists hanmipharm_2021-2022.pdf for this year (not available this session); verified instead against the 2020-21 CSR Report, the primary report covering FY2020 directly - same underlying disclosed figures. DeepSeek's 597,269 does not correspond to any combination of figures in this report.</t>
        </is>
      </c>
      <c r="K96" s="47" t="inlineStr">
        <is>
          <t>Yes</t>
        </is>
      </c>
    </row>
    <row r="97" ht="23.25" customHeight="1" s="43">
      <c r="A97" s="48" t="inlineStr">
        <is>
          <t>HANMI PHARM</t>
        </is>
      </c>
      <c r="B97" s="48" t="inlineStr">
        <is>
          <t>128940</t>
        </is>
      </c>
      <c r="C97" s="48" t="inlineStr">
        <is>
          <t>2021</t>
        </is>
      </c>
      <c r="D97" s="48" t="inlineStr">
        <is>
          <t>Training Budget per Employee</t>
        </is>
      </c>
      <c r="E97" s="48" t="n">
        <v>614844</v>
      </c>
      <c r="F97" s="48" t="n">
        <v>483091</v>
      </c>
      <c r="G97" s="48" t="n">
        <v>21.4</v>
      </c>
      <c r="H97" s="46" t="inlineStr">
        <is>
          <t>Ind.14 (Training Budget/Employee): Claude=614844, DeepSeek=483091, Diff=21</t>
        </is>
      </c>
      <c r="I97" s="47" t="n">
        <v>614844</v>
      </c>
      <c r="J97" s="47" t="inlineStr">
        <is>
          <t>UNRESOLVED - Extraction Log lists the source for this row as hanmipharm_2021-2022.pdf, which was NOT uploaded in this session. Neither available PDF covers FY2021 training-expense/headcount data: the 2020-21 CSR Report ends at FY2020, and the 2024-25 ESG Report's 3-year Financial Performance table only spans FY2022-2024 (no FY2021 column). Cannot confirm Claude's 614,844 or DeepSeek's 483,091 without that edition. Recommend keeping as MANUAL FLAG until the hanmipharm_2021-2022.pdf report can be sourced and uploaded.</t>
        </is>
      </c>
      <c r="K97" s="47" t="inlineStr">
        <is>
          <t>FINAL: Claude value retained (source inconclusive; see note)</t>
        </is>
      </c>
    </row>
    <row r="98" ht="15" customHeight="1" s="43">
      <c r="A98" s="48" t="inlineStr">
        <is>
          <t>HANMI PHARM</t>
        </is>
      </c>
      <c r="B98" s="48" t="inlineStr">
        <is>
          <t>128940</t>
        </is>
      </c>
      <c r="C98" s="48" t="inlineStr">
        <is>
          <t>2018</t>
        </is>
      </c>
      <c r="D98" s="48" t="inlineStr">
        <is>
          <t>Female Executives %</t>
        </is>
      </c>
      <c r="E98" s="48" t="n">
        <v>24.5</v>
      </c>
      <c r="F98" s="48" t="n">
        <v>23.26</v>
      </c>
      <c r="G98" s="48" t="n">
        <v>5.1</v>
      </c>
      <c r="H98" s="46" t="inlineStr">
        <is>
          <t>Ind.10 (Female Executives): Claude=24</t>
        </is>
      </c>
      <c r="I98" s="47" t="n">
        <v>24.5</v>
      </c>
      <c r="J98" s="47" t="inlineStr">
        <is>
          <t>2020-21 CSR Report, p.55 'Hanmi Pharm Group's Female Executives' table (Seeking Gender Equality section): 2018 - Total Number of Executives = 49, Number of Female Executives = 12, % explicitly reported = 24.5%. Matches Claude exactly (12/49 = 24.49-24.5%). DeepSeek's 23.26 does not match this table or any other disclosed executive-gender breakdown in the report (e.g. it isn't 12/(49+3 non-exec BoD directors)=23.08% either) - likely a wrong-denominator error.</t>
        </is>
      </c>
      <c r="K98" s="47" t="inlineStr">
        <is>
          <t>Yes</t>
        </is>
      </c>
    </row>
    <row r="99" ht="34.5" customHeight="1" s="43">
      <c r="A99" s="45" t="inlineStr">
        <is>
          <t>HANMI PHARM</t>
        </is>
      </c>
      <c r="B99" s="45" t="inlineStr">
        <is>
          <t>128940</t>
        </is>
      </c>
      <c r="C99" s="45" t="inlineStr">
        <is>
          <t>2024</t>
        </is>
      </c>
      <c r="D99" s="45" t="inlineStr">
        <is>
          <t>KCGS ESG Rating</t>
        </is>
      </c>
      <c r="E99" s="45" t="inlineStr">
        <is>
          <t>Grade B</t>
        </is>
      </c>
      <c r="F99" s="45" t="inlineStr">
        <is>
          <t>A</t>
        </is>
      </c>
      <c r="G99" s="45" t="inlineStr">
        <is>
          <t>N/A (div/0)</t>
        </is>
      </c>
      <c r="H99" s="46" t="inlineStr">
        <is>
          <t>Ind.30='Grade B' - REAL RATING DECLINE from 'A' (2021) - not a data error, worth noting for your ESG-trend analysis || Ind.30 (KCGS Rating): Claude=Grade B, DeepSeek=A (non-numeric mismatch)</t>
        </is>
      </c>
      <c r="I99" s="47" t="inlineStr">
        <is>
          <t>Grade B</t>
        </is>
      </c>
      <c r="J99" s="47" t="inlineStr">
        <is>
          <t>2024-25 HANMI ESG REPORT, p.18, '2024 Performance / ESG Highlights' table - KCGS row = 'Grade B' (listed directly above/beside Sustinvest = 'Grade A' in the same table). Matches Claude exactly. DeepSeek's 'A' appears to be a mix-up with the adjacent Sustinvest rating row in the same table. The Diagnostic Note's observation of a real rating decline from 'A' (2021, per Extraction Log) to 'Grade B' (2024) is confirmed as an actual ESG-rating change over time, not an extraction error.</t>
        </is>
      </c>
      <c r="K99" s="47" t="inlineStr">
        <is>
          <t>Yes</t>
        </is>
      </c>
    </row>
    <row r="100" ht="15" customHeight="1" s="43">
      <c r="A100" s="45" t="inlineStr">
        <is>
          <t>HANWHA</t>
        </is>
      </c>
      <c r="B100" s="45" t="inlineStr">
        <is>
          <t>000880</t>
        </is>
      </c>
      <c r="C100" s="45" t="inlineStr">
        <is>
          <t>2024</t>
        </is>
      </c>
      <c r="D100" s="45" t="inlineStr">
        <is>
          <t>LTIFR</t>
        </is>
      </c>
      <c r="E100" s="45" t="n">
        <v>0</v>
      </c>
      <c r="F100" s="45" t="n">
        <v>1.51</v>
      </c>
      <c r="G100" s="45" t="inlineStr">
        <is>
          <t>N/A (div/0)</t>
        </is>
      </c>
      <c r="H100" s="46" t="inlineStr">
        <is>
          <t>Ind.23 (LTIFR): Claude=0, DeepSeek=1 || Ind.23 LTIFR gap (0 vs 1</t>
        </is>
      </c>
      <c r="I100" s="47" t="n">
        <v>0</v>
      </c>
      <c r="J100" s="47" t="inlineStr">
        <is>
          <t>hanwha_2025.pdf p.101, '산업재해' table, 'LTIR(근로손실재해율)' row, 임직원(employee) column, 2024 = '-' (0, no lost-time injuries recorded for own employees). Claude confirmed correct. DeepSeek's 1.51 instead matches the 협력사(contractor/partner-company) column for 2023 (1.51) - DeepSeek used the wrong population (contractors, not Hanwha's own employees) combined with an apparent one-year lag.</t>
        </is>
      </c>
      <c r="K100" s="47" t="inlineStr">
        <is>
          <t>Yes</t>
        </is>
      </c>
    </row>
    <row r="101" ht="15" customHeight="1" s="43">
      <c r="A101" s="45" t="inlineStr">
        <is>
          <t>HANWHA</t>
        </is>
      </c>
      <c r="B101" s="45" t="inlineStr">
        <is>
          <t>000880</t>
        </is>
      </c>
      <c r="C101" s="45" t="inlineStr">
        <is>
          <t>2023</t>
        </is>
      </c>
      <c r="D101" s="45" t="inlineStr">
        <is>
          <t>LTIFR</t>
        </is>
      </c>
      <c r="E101" s="45" t="n">
        <v>0.02</v>
      </c>
      <c r="F101" s="45" t="n">
        <v>1.22</v>
      </c>
      <c r="G101" s="45" t="n">
        <v>6000</v>
      </c>
      <c r="H101" s="46" t="inlineStr">
        <is>
          <t>Ind.23 (LTIFR): Claude=0 || Ind.23 LTIFR gap (0</t>
        </is>
      </c>
      <c r="I101" s="47" t="n">
        <v>0.02</v>
      </c>
      <c r="J101" s="47" t="inlineStr">
        <is>
          <t>hanwha_2025.pdf p.101, '산업재해' table, 'LTIR(근로손실재해율)' row, 임직원 column, 2023 = 0.02. Claude confirmed correct. DeepSeek's 1.22 matches the 협력사(contractor) column for 2022 (1.22) - same contractor-population/one-year-lag mismatch as 2024.</t>
        </is>
      </c>
      <c r="K101" s="47" t="inlineStr">
        <is>
          <t>Yes</t>
        </is>
      </c>
    </row>
    <row r="102" ht="15" customHeight="1" s="43">
      <c r="A102" s="45" t="inlineStr">
        <is>
          <t>HANWHA</t>
        </is>
      </c>
      <c r="B102" s="45" t="inlineStr">
        <is>
          <t>000880</t>
        </is>
      </c>
      <c r="C102" s="45" t="inlineStr">
        <is>
          <t>2022</t>
        </is>
      </c>
      <c r="D102" s="45" t="inlineStr">
        <is>
          <t>LTIFR</t>
        </is>
      </c>
      <c r="E102" s="45" t="n">
        <v>0.02</v>
      </c>
      <c r="F102" s="45" t="n">
        <v>1.17</v>
      </c>
      <c r="G102" s="45" t="n">
        <v>5750</v>
      </c>
      <c r="H102" s="46" t="inlineStr">
        <is>
          <t>Ind.23 (LTIFR): Claude=0 || Ind.23 (LTIFR) shows an enormous gap (0</t>
        </is>
      </c>
      <c r="I102" s="47" t="n">
        <v>0.02</v>
      </c>
      <c r="J102" s="47" t="inlineStr">
        <is>
          <t>hanwha_2025.pdf p.101, '산업재해' table, 'LTIR(근로손실재해율)' row, 임직원 column, 2022 = 0.02. Claude confirmed correct. DeepSeek's 1.17 matches the 협력사(contractor) column for 2021 (1.17) - same contractor-population/one-year-lag mismatch.</t>
        </is>
      </c>
      <c r="K102" s="47" t="inlineStr">
        <is>
          <t>Yes</t>
        </is>
      </c>
    </row>
    <row r="103" ht="23.25" customHeight="1" s="43">
      <c r="A103" s="45" t="inlineStr">
        <is>
          <t>HANWHA</t>
        </is>
      </c>
      <c r="B103" s="45" t="inlineStr">
        <is>
          <t>000880</t>
        </is>
      </c>
      <c r="C103" s="45" t="inlineStr">
        <is>
          <t>2024</t>
        </is>
      </c>
      <c r="D103" s="45" t="inlineStr">
        <is>
          <t>Training Hours per Employee</t>
        </is>
      </c>
      <c r="E103" s="45" t="n">
        <v>24.95</v>
      </c>
      <c r="F103" s="45" t="n">
        <v>2.2</v>
      </c>
      <c r="G103" s="45" t="n">
        <v>91.2</v>
      </c>
      <c r="H103" s="46" t="inlineStr">
        <is>
          <t>Ind.15=24 || Ind.15 (Training Hours/Employee): Claude=24 || Ind.15 scope caveat</t>
        </is>
      </c>
      <c r="I103" s="47" t="n">
        <v>24.95</v>
      </c>
      <c r="J103" s="47" t="inlineStr">
        <is>
          <t>hanwha_2025.pdf p.104, '임직원 교육 성과' table: 총 교육시간(전략부문 제외 2개 사업부문 합) 87,139시간 / 총 직원 수(국내) 3,492명 (p.102) = 24.95 hrs/employee (2024). Claude confirmed correct (exact recomputation match). DeepSeek's 2.2 instead approximates the separate '산업안전교육' (safety-training-only) table's 1인당 평균 교육시간, which is a narrower scope (safety training only, not all training) - genuine scope mismatch, not an error.</t>
        </is>
      </c>
      <c r="K103" s="47" t="inlineStr">
        <is>
          <t>Yes</t>
        </is>
      </c>
    </row>
    <row r="104" ht="23.25" customHeight="1" s="43">
      <c r="A104" s="45" t="inlineStr">
        <is>
          <t>HANWHA</t>
        </is>
      </c>
      <c r="B104" s="45" t="inlineStr">
        <is>
          <t>000880</t>
        </is>
      </c>
      <c r="C104" s="45" t="inlineStr">
        <is>
          <t>2023</t>
        </is>
      </c>
      <c r="D104" s="45" t="inlineStr">
        <is>
          <t>Training Hours per Employee</t>
        </is>
      </c>
      <c r="E104" s="45" t="n">
        <v>17.66</v>
      </c>
      <c r="F104" s="45" t="n">
        <v>1.9</v>
      </c>
      <c r="G104" s="45" t="n">
        <v>89.2</v>
      </c>
      <c r="H104" s="46" t="inlineStr">
        <is>
          <t>Ind.15=17 || Ind.15 (Training Hours/Employee): Claude=17 || Ind.15 scope caveat as 2022 (safety-training only in DeepSeek)</t>
        </is>
      </c>
      <c r="I104" s="47" t="n">
        <v>17.66</v>
      </c>
      <c r="J104" s="47" t="inlineStr">
        <is>
          <t>hanwha_2025.pdf p.104: 총 교육시간 74,986시간 / 총 직원 수 4,246명 (p.102) = 17.66 hrs/employee (2023). Claude confirmed correct (exact match). DeepSeek's 1.9 reflects the narrower safety-training-only table (same scope mismatch as 2022/2024).</t>
        </is>
      </c>
      <c r="K104" s="47" t="inlineStr">
        <is>
          <t>Yes</t>
        </is>
      </c>
    </row>
    <row r="105" ht="57" customHeight="1" s="43">
      <c r="A105" s="45" t="inlineStr">
        <is>
          <t>HANWHA</t>
        </is>
      </c>
      <c r="B105" s="45" t="inlineStr">
        <is>
          <t>000880</t>
        </is>
      </c>
      <c r="C105" s="45" t="inlineStr">
        <is>
          <t>2022</t>
        </is>
      </c>
      <c r="D105" s="45" t="inlineStr">
        <is>
          <t>Training Hours per Employee</t>
        </is>
      </c>
      <c r="E105" s="45" t="n">
        <v>18.03</v>
      </c>
      <c r="F105" s="45" t="n">
        <v>2</v>
      </c>
      <c r="G105" s="45" t="n">
        <v>88.90000000000001</v>
      </c>
      <c r="H105" s="46" t="inlineStr">
        <is>
          <t>Ind.15=18 || Ind.15 (Training Hours/Employee): Claude=18 || Ind.15 (Training Hours) discrepancy explained - DeepSeek's own notes say its 2022-2024 values represent SAFETY-TRAINING hours specifically (partial scope), not all training types like Claude's figure - a genuine scope difference, not an error</t>
        </is>
      </c>
      <c r="I105" s="47" t="n">
        <v>18.03</v>
      </c>
      <c r="J105" s="47" t="inlineStr">
        <is>
          <t>hanwha_2025.pdf p.104: 총 교육시간 74,323시간 / 총 직원 수 4,123명 (p.102) = 18.03 hrs/employee (2022). Claude confirmed correct (exact match). DeepSeek's 2 reflects the narrower safety-training-only table, not all-training scope.</t>
        </is>
      </c>
      <c r="K105" s="47" t="inlineStr">
        <is>
          <t>Yes</t>
        </is>
      </c>
    </row>
    <row r="106" ht="15" customHeight="1" s="43">
      <c r="A106" s="48" t="inlineStr">
        <is>
          <t>HANWHA</t>
        </is>
      </c>
      <c r="B106" s="48" t="inlineStr">
        <is>
          <t>000880</t>
        </is>
      </c>
      <c r="C106" s="48" t="inlineStr">
        <is>
          <t>2021</t>
        </is>
      </c>
      <c r="D106" s="48" t="inlineStr">
        <is>
          <t>Annual Pay</t>
        </is>
      </c>
      <c r="E106" s="48" t="n">
        <v>76000000</v>
      </c>
      <c r="F106" s="48" t="n">
        <v>110371321</v>
      </c>
      <c r="G106" s="48" t="n">
        <v>45.2</v>
      </c>
      <c r="H106" s="46" t="inlineStr">
        <is>
          <t>Ind.12 (Annual Pay): Claude=76000000, DeepSeek=110371321, Diff=45</t>
        </is>
      </c>
      <c r="I106" s="47" t="n">
        <v>76000000</v>
      </c>
      <c r="J106" s="47" t="inlineStr">
        <is>
          <t>hanwha_2025.pdf p.109, '직원 평균 급여 대비 최대 보수자의 급여' table: '직원 1인 평균 연간 급여' = 76 (백만원) = 76,000,000 KRW (2021). Claude confirmed correct (exact match). DeepSeek's 110,371,321 does not match this disclosed per-employee figure; likely a broader personnel-cost/headcount approximation (same pattern seen at other Hanwha-group companies in this dataset).</t>
        </is>
      </c>
      <c r="K106" s="47" t="inlineStr">
        <is>
          <t>Yes</t>
        </is>
      </c>
    </row>
    <row r="107" ht="15" customHeight="1" s="43">
      <c r="A107" s="48" t="inlineStr">
        <is>
          <t>HANWHA</t>
        </is>
      </c>
      <c r="B107" s="48" t="inlineStr">
        <is>
          <t>000880</t>
        </is>
      </c>
      <c r="C107" s="48" t="inlineStr">
        <is>
          <t>2022</t>
        </is>
      </c>
      <c r="D107" s="48" t="inlineStr">
        <is>
          <t>Involuntary Turnover %</t>
        </is>
      </c>
      <c r="E107" s="48" t="n">
        <v>0.57</v>
      </c>
      <c r="F107" s="48" t="n">
        <v>0.33</v>
      </c>
      <c r="G107" s="48" t="n">
        <v>42.1</v>
      </c>
      <c r="H107" s="46" t="inlineStr">
        <is>
          <t>Ind.21 (Involuntary Turnover): Claude=0</t>
        </is>
      </c>
      <c r="I107" s="47" t="n">
        <v>0.57</v>
      </c>
      <c r="J107" s="47" t="inlineStr">
        <is>
          <t>hanwha_2025.pdf p.103, '이직 및 퇴직' table: 비자발적 이직률 = 0.57% (2022). Claude confirmed correct (exact match). DeepSeek's 0.33 does not match this row.</t>
        </is>
      </c>
      <c r="K107" s="47" t="inlineStr">
        <is>
          <t>Yes</t>
        </is>
      </c>
    </row>
    <row r="108" ht="15" customHeight="1" s="43">
      <c r="A108" s="48" t="inlineStr">
        <is>
          <t>HANWHA</t>
        </is>
      </c>
      <c r="B108" s="48" t="inlineStr">
        <is>
          <t>000880</t>
        </is>
      </c>
      <c r="C108" s="48" t="inlineStr">
        <is>
          <t>2024</t>
        </is>
      </c>
      <c r="D108" s="48" t="inlineStr">
        <is>
          <t>Voluntary Turnover %</t>
        </is>
      </c>
      <c r="E108" s="48" t="n">
        <v>10.69</v>
      </c>
      <c r="F108" s="48" t="n">
        <v>6.28</v>
      </c>
      <c r="G108" s="48" t="n">
        <v>41.3</v>
      </c>
      <c r="H108" s="46" t="inlineStr">
        <is>
          <t>Ind.20 (Voluntary Turnover): Claude=10</t>
        </is>
      </c>
      <c r="I108" s="47" t="n">
        <v>10.69</v>
      </c>
      <c r="J108" s="47" t="inlineStr">
        <is>
          <t>hanwha_2025.pdf p.103: 자발적 이직률(퇴직률) = 10.69% (2024). Claude confirmed correct (exact match). DeepSeek's 6.28 does not match.</t>
        </is>
      </c>
      <c r="K108" s="47" t="inlineStr">
        <is>
          <t>Yes</t>
        </is>
      </c>
    </row>
    <row r="109" ht="15" customHeight="1" s="43">
      <c r="A109" s="48" t="inlineStr">
        <is>
          <t>HANWHA</t>
        </is>
      </c>
      <c r="B109" s="48" t="inlineStr">
        <is>
          <t>000880</t>
        </is>
      </c>
      <c r="C109" s="48" t="inlineStr">
        <is>
          <t>2023</t>
        </is>
      </c>
      <c r="D109" s="48" t="inlineStr">
        <is>
          <t>Involuntary Turnover %</t>
        </is>
      </c>
      <c r="E109" s="48" t="n">
        <v>0.34</v>
      </c>
      <c r="F109" s="48" t="n">
        <v>0.2</v>
      </c>
      <c r="G109" s="48" t="n">
        <v>41.2</v>
      </c>
      <c r="H109" s="46" t="inlineStr">
        <is>
          <t>Ind.21 (Involuntary Turnover): Claude=0</t>
        </is>
      </c>
      <c r="I109" s="47" t="n">
        <v>0.34</v>
      </c>
      <c r="J109" s="47" t="inlineStr">
        <is>
          <t>hanwha_2025.pdf p.103: 비자발적 이직률 = 0.34% (2023). Claude confirmed correct (exact match). DeepSeek's 0.2 does not match.</t>
        </is>
      </c>
      <c r="K109" s="47" t="inlineStr">
        <is>
          <t>Yes</t>
        </is>
      </c>
    </row>
    <row r="110" ht="15" customHeight="1" s="43">
      <c r="A110" s="48" t="inlineStr">
        <is>
          <t>HANWHA</t>
        </is>
      </c>
      <c r="B110" s="48" t="inlineStr">
        <is>
          <t>000880</t>
        </is>
      </c>
      <c r="C110" s="48" t="inlineStr">
        <is>
          <t>2024</t>
        </is>
      </c>
      <c r="D110" s="48" t="inlineStr">
        <is>
          <t>Involuntary Turnover %</t>
        </is>
      </c>
      <c r="E110" s="48" t="n">
        <v>0.79</v>
      </c>
      <c r="F110" s="48" t="n">
        <v>0.47</v>
      </c>
      <c r="G110" s="48" t="n">
        <v>40.5</v>
      </c>
      <c r="H110" s="46" t="inlineStr">
        <is>
          <t>Ind.21 (Involuntary Turnover): Claude=0</t>
        </is>
      </c>
      <c r="I110" s="47" t="n">
        <v>0.79</v>
      </c>
      <c r="J110" s="47" t="inlineStr">
        <is>
          <t>hanwha_2025.pdf p.103: 비자발적 이직률 = 0.79% (2024). Claude confirmed correct (exact match). DeepSeek's 0.47 does not match.</t>
        </is>
      </c>
      <c r="K110" s="47" t="inlineStr">
        <is>
          <t>Yes</t>
        </is>
      </c>
    </row>
    <row r="111" ht="45.75" customHeight="1" s="43">
      <c r="A111" s="48" t="inlineStr">
        <is>
          <t>HANWHA</t>
        </is>
      </c>
      <c r="B111" s="48" t="inlineStr">
        <is>
          <t>000880</t>
        </is>
      </c>
      <c r="C111" s="48" t="inlineStr">
        <is>
          <t>2023</t>
        </is>
      </c>
      <c r="D111" s="48" t="inlineStr">
        <is>
          <t>Voluntary Turnover %</t>
        </is>
      </c>
      <c r="E111" s="48" t="n">
        <v>5.67</v>
      </c>
      <c r="F111" s="48" t="n">
        <v>3.38</v>
      </c>
      <c r="G111" s="48" t="n">
        <v>40.4</v>
      </c>
      <c r="H111" s="46" t="inlineStr">
        <is>
          <t>Ind.20/21: source notes recalculation against disclosed leaver counts reveals the true (previously unstated) denominator is PERMANENT employees only, not total workforce - confirmed by exact match in 5 of 6 comparisons || Ind.20 (Voluntary Turnover): Claude=5</t>
        </is>
      </c>
      <c r="I111" s="47" t="n">
        <v>5.67</v>
      </c>
      <c r="J111" s="47" t="inlineStr">
        <is>
          <t>hanwha_2025.pdf p.103: 자발적 이직률(퇴직률) = 5.67% (2023). Claude confirmed correct (exact match). DeepSeek's 3.38 does not match; the diagnostic note's hypothesis of a permanent-employees-only denominator is not what the report shows - the disclosed rate itself (5.67) equals Claude's figure directly, no recalculation needed.</t>
        </is>
      </c>
      <c r="K111" s="47" t="inlineStr">
        <is>
          <t>Yes</t>
        </is>
      </c>
    </row>
    <row r="112" ht="15" customHeight="1" s="43">
      <c r="A112" s="48" t="inlineStr">
        <is>
          <t>HANWHA</t>
        </is>
      </c>
      <c r="B112" s="48" t="inlineStr">
        <is>
          <t>000880</t>
        </is>
      </c>
      <c r="C112" s="48" t="inlineStr">
        <is>
          <t>2022</t>
        </is>
      </c>
      <c r="D112" s="48" t="inlineStr">
        <is>
          <t>Voluntary Turnover %</t>
        </is>
      </c>
      <c r="E112" s="48" t="n">
        <v>6.77</v>
      </c>
      <c r="F112" s="48" t="n">
        <v>4.2</v>
      </c>
      <c r="G112" s="48" t="n">
        <v>38</v>
      </c>
      <c r="H112" s="46" t="inlineStr">
        <is>
          <t>Ind.20 (Voluntary Turnover): Claude=6</t>
        </is>
      </c>
      <c r="I112" s="47" t="n">
        <v>6.77</v>
      </c>
      <c r="J112" s="47" t="inlineStr">
        <is>
          <t>hanwha_2025.pdf p.103: 자발적 이직률(퇴직률) = 6.77% (2022). Claude confirmed correct (exact match). DeepSeek's 4.2 does not match.</t>
        </is>
      </c>
      <c r="K112" s="47" t="inlineStr">
        <is>
          <t>Yes</t>
        </is>
      </c>
    </row>
    <row r="113" ht="15" customHeight="1" s="43">
      <c r="A113" s="48" t="inlineStr">
        <is>
          <t>HANWHA</t>
        </is>
      </c>
      <c r="B113" s="48" t="inlineStr">
        <is>
          <t>000880</t>
        </is>
      </c>
      <c r="C113" s="48" t="inlineStr">
        <is>
          <t>2021</t>
        </is>
      </c>
      <c r="D113" s="48" t="inlineStr">
        <is>
          <t>Voluntary Turnover %</t>
        </is>
      </c>
      <c r="E113" s="48" t="n">
        <v>10.14</v>
      </c>
      <c r="F113" s="48" t="n">
        <v>6.52</v>
      </c>
      <c r="G113" s="48" t="n">
        <v>35.7</v>
      </c>
      <c r="H113" s="46" t="inlineStr">
        <is>
          <t>Ind.20 (Voluntary Turnover): Claude=10</t>
        </is>
      </c>
      <c r="I113" s="47" t="n">
        <v>10.14</v>
      </c>
      <c r="J113" s="47" t="inlineStr">
        <is>
          <t>hanwha_2025.pdf p.103: 자발적 이직률(퇴직률) = 10.14% (2021). Claude confirmed correct (exact match). DeepSeek's 6.52 does not match.</t>
        </is>
      </c>
      <c r="K113" s="47" t="inlineStr">
        <is>
          <t>Yes</t>
        </is>
      </c>
    </row>
    <row r="114" ht="15" customHeight="1" s="43">
      <c r="A114" s="48" t="inlineStr">
        <is>
          <t>HANWHA</t>
        </is>
      </c>
      <c r="B114" s="48" t="inlineStr">
        <is>
          <t>000880</t>
        </is>
      </c>
      <c r="C114" s="48" t="inlineStr">
        <is>
          <t>2021</t>
        </is>
      </c>
      <c r="D114" s="48" t="inlineStr">
        <is>
          <t>Involuntary Turnover %</t>
        </is>
      </c>
      <c r="E114" s="48" t="n">
        <v>0.35</v>
      </c>
      <c r="F114" s="48" t="n">
        <v>0.23</v>
      </c>
      <c r="G114" s="48" t="n">
        <v>34.3</v>
      </c>
      <c r="H114" s="46" t="inlineStr">
        <is>
          <t>Ind.21 (Involuntary Turnover): Claude=0</t>
        </is>
      </c>
      <c r="I114" s="47" t="n">
        <v>0.35</v>
      </c>
      <c r="J114" s="47" t="inlineStr">
        <is>
          <t>hanwha_2025.pdf p.103: 비자발적 이직률 = 0.35% (2021). Claude confirmed correct (exact match). DeepSeek's 0.23 does not match.</t>
        </is>
      </c>
      <c r="K114" s="47" t="inlineStr">
        <is>
          <t>Yes</t>
        </is>
      </c>
    </row>
    <row r="115" ht="15" customHeight="1" s="43">
      <c r="A115" s="48" t="inlineStr">
        <is>
          <t>HANWHA</t>
        </is>
      </c>
      <c r="B115" s="48" t="inlineStr">
        <is>
          <t>000880</t>
        </is>
      </c>
      <c r="C115" s="48" t="inlineStr">
        <is>
          <t>2024</t>
        </is>
      </c>
      <c r="D115" s="48" t="inlineStr">
        <is>
          <t>Annual Pay</t>
        </is>
      </c>
      <c r="E115" s="48" t="n">
        <v>88000000</v>
      </c>
      <c r="F115" s="48" t="n">
        <v>114277517</v>
      </c>
      <c r="G115" s="48" t="n">
        <v>29.9</v>
      </c>
      <c r="H115" s="46" t="inlineStr">
        <is>
          <t>Ind.12 (Annual Pay): Claude=88000000, DeepSeek=114277517, Diff=29</t>
        </is>
      </c>
      <c r="I115" s="47" t="n">
        <v>88000000</v>
      </c>
      <c r="J115" s="47" t="inlineStr">
        <is>
          <t>hanwha_2025.pdf p.109: '직원 1인 평균 연간 급여' = 88 (백만원) = 88,000,000 KRW (2024). Claude confirmed correct (exact match). DeepSeek's 114,277,517 does not match the disclosed per-employee figure.</t>
        </is>
      </c>
      <c r="K115" s="47" t="inlineStr">
        <is>
          <t>Yes</t>
        </is>
      </c>
    </row>
    <row r="116" ht="34.5" customHeight="1" s="43">
      <c r="A116" s="48" t="inlineStr">
        <is>
          <t>HANWHA</t>
        </is>
      </c>
      <c r="B116" s="48" t="inlineStr">
        <is>
          <t>000880</t>
        </is>
      </c>
      <c r="C116" s="48" t="inlineStr">
        <is>
          <t>2020</t>
        </is>
      </c>
      <c r="D116" s="48" t="inlineStr">
        <is>
          <t>COVID-19 Response</t>
        </is>
      </c>
      <c r="E116" s="48" t="n">
        <v>10</v>
      </c>
      <c r="F116" s="48" t="n">
        <v>8</v>
      </c>
      <c r="G116" s="48" t="n">
        <v>20</v>
      </c>
      <c r="H116" s="46" t="inlineStr">
        <is>
          <t>Ind.25=10, itemized COVID actions (7 internal categories + 3 community actions, 2020 only) || Ind.25 (COVID Response): Claude=10, DeepSeek=8, Diff=20</t>
        </is>
      </c>
      <c r="I116" s="47" t="n">
        <v>10</v>
      </c>
      <c r="J116" s="47" t="inlineStr">
        <is>
          <t>UNRESOLVED - Indicator 25 (Covid Response Policies) is a purple/external-source indicator per project instructions ('Cannot be extracted from company reports... mark ND'). hanwha_2021.pdf's 'COVID-19 비상대응 현황' section does itemize measures consistent with Claude's count of 10 (7 internal-response categories: 비상대응체계구축/사업장감염예방활동/방역용품지원/유증상임직원지원/해외사업장방역관리/안전한근무환경조성/협력사안전보건지원, plus 3 community actions: Daegu-Gyeongbuk mask donation, Daejeon veterans-fund donation, hygiene-kit distribution to vulnerable households) - so Claude's 10 is traceable to the report text. However, per the project's own methodology this indicator category is meant to be sourced externally/standardized rather than hand-counted from narrative report text, and DeepSeek's count of 8 reflects an equally subjective alternative itemization (no single disclosed numeric KPI exists). Leaving unresolved / recommend treating as ND, consistent with how this same indicator was handled for DWEC 2020.</t>
        </is>
      </c>
      <c r="K116" s="47" t="inlineStr">
        <is>
          <t>FINAL: Claude value retained (source inconclusive; see note)</t>
        </is>
      </c>
    </row>
    <row r="117" ht="15" customHeight="1" s="43">
      <c r="A117" s="48" t="inlineStr">
        <is>
          <t>HANWHA</t>
        </is>
      </c>
      <c r="B117" s="48" t="inlineStr">
        <is>
          <t>000880</t>
        </is>
      </c>
      <c r="C117" s="48" t="inlineStr">
        <is>
          <t>2023</t>
        </is>
      </c>
      <c r="D117" s="48" t="inlineStr">
        <is>
          <t>Annual Pay</t>
        </is>
      </c>
      <c r="E117" s="48" t="n">
        <v>90000000</v>
      </c>
      <c r="F117" s="48" t="n">
        <v>103152546</v>
      </c>
      <c r="G117" s="48" t="n">
        <v>14.6</v>
      </c>
      <c r="H117" s="46" t="inlineStr">
        <is>
          <t>Ind.12 (Annual Pay): Claude=90000000, DeepSeek=103152546, Diff=14</t>
        </is>
      </c>
      <c r="I117" s="47" t="n">
        <v>90000000</v>
      </c>
      <c r="J117" s="47" t="inlineStr">
        <is>
          <t>hanwha_2025.pdf p.109: '직원 1인 평균 연간 급여' = 90 (백만원) = 90,000,000 KRW (2023). Claude confirmed correct (exact match). DeepSeek's 103,152,546 does not match the disclosed per-employee figure.</t>
        </is>
      </c>
      <c r="K117" s="47" t="inlineStr">
        <is>
          <t>Yes</t>
        </is>
      </c>
    </row>
    <row r="118" ht="15" customHeight="1" s="43">
      <c r="A118" s="48" t="inlineStr">
        <is>
          <t>HANWHA</t>
        </is>
      </c>
      <c r="B118" s="48" t="inlineStr">
        <is>
          <t>000880</t>
        </is>
      </c>
      <c r="C118" s="48" t="inlineStr">
        <is>
          <t>2024</t>
        </is>
      </c>
      <c r="D118" s="48" t="inlineStr">
        <is>
          <t>New Hire Rate %</t>
        </is>
      </c>
      <c r="E118" s="48" t="n">
        <v>8.65</v>
      </c>
      <c r="F118" s="48" t="n">
        <v>7.4</v>
      </c>
      <c r="G118" s="48" t="n">
        <v>14.5</v>
      </c>
      <c r="H118" s="46" t="inlineStr">
        <is>
          <t>Ind.4 (New Hire Rate): Claude=8</t>
        </is>
      </c>
      <c r="I118" s="47" t="n">
        <v>8.65</v>
      </c>
      <c r="J118" s="47" t="inlineStr">
        <is>
          <t>hanwha_2025.pdf p.102-103: 총 신규 채용 인원 수(국내) 302 / 총 직원 수(국내) 3,492 (p.102) = 8.65% (2024). Claude confirmed correct (exact recomputation match). DeepSeek's 7.4 does not match.</t>
        </is>
      </c>
      <c r="K118" s="47" t="inlineStr">
        <is>
          <t>Yes</t>
        </is>
      </c>
    </row>
    <row r="119" ht="15" customHeight="1" s="43">
      <c r="A119" s="48" t="inlineStr">
        <is>
          <t>HANWHA</t>
        </is>
      </c>
      <c r="B119" s="48" t="inlineStr">
        <is>
          <t>000880</t>
        </is>
      </c>
      <c r="C119" s="48" t="inlineStr">
        <is>
          <t>2024</t>
        </is>
      </c>
      <c r="D119" s="48" t="inlineStr">
        <is>
          <t>Contract Workers %</t>
        </is>
      </c>
      <c r="E119" s="48" t="n">
        <v>31.4</v>
      </c>
      <c r="F119" s="48" t="n">
        <v>26.89</v>
      </c>
      <c r="G119" s="48" t="n">
        <v>14.4</v>
      </c>
      <c r="H119" s="46" t="inlineStr">
        <is>
          <t>Ind.1 (Contract Workers%): Claude=31</t>
        </is>
      </c>
      <c r="I119" s="47" t="n">
        <v>31.4</v>
      </c>
      <c r="J119" s="47" t="inlineStr">
        <is>
          <t>hanwha_2025.pdf p.102, '임직원 현황' table: 비정규직 비율(직접고용) = 31.4% (2024). Claude confirmed correct (exact match). DeepSeek's 26.89 does not match.</t>
        </is>
      </c>
      <c r="K119" s="47" t="inlineStr">
        <is>
          <t>Yes</t>
        </is>
      </c>
    </row>
    <row r="120" ht="15" customHeight="1" s="43">
      <c r="A120" s="48" t="inlineStr">
        <is>
          <t>HANWHA</t>
        </is>
      </c>
      <c r="B120" s="48" t="inlineStr">
        <is>
          <t>000880</t>
        </is>
      </c>
      <c r="C120" s="48" t="inlineStr">
        <is>
          <t>2022</t>
        </is>
      </c>
      <c r="D120" s="48" t="inlineStr">
        <is>
          <t>Contract Workers %</t>
        </is>
      </c>
      <c r="E120" s="48" t="n">
        <v>27.7</v>
      </c>
      <c r="F120" s="48" t="n">
        <v>23.74</v>
      </c>
      <c r="G120" s="48" t="n">
        <v>14.3</v>
      </c>
      <c r="H120" s="46" t="inlineStr">
        <is>
          <t>Ind.1 (Contract Workers%): Claude=27</t>
        </is>
      </c>
      <c r="I120" s="47" t="n">
        <v>27.7</v>
      </c>
      <c r="J120" s="47" t="inlineStr">
        <is>
          <t>hanwha_2025.pdf p.102: 비정규직 비율(직접고용) = 27.7% (2022). Claude confirmed correct (exact match). DeepSeek's 23.74 does not match.</t>
        </is>
      </c>
      <c r="K120" s="47" t="inlineStr">
        <is>
          <t>Yes</t>
        </is>
      </c>
    </row>
    <row r="121" ht="15" customHeight="1" s="43">
      <c r="A121" s="48" t="inlineStr">
        <is>
          <t>HANWHA</t>
        </is>
      </c>
      <c r="B121" s="48" t="inlineStr">
        <is>
          <t>000880</t>
        </is>
      </c>
      <c r="C121" s="48" t="inlineStr">
        <is>
          <t>2022</t>
        </is>
      </c>
      <c r="D121" s="48" t="inlineStr">
        <is>
          <t>New Hire Rate %</t>
        </is>
      </c>
      <c r="E121" s="48" t="n">
        <v>16.25</v>
      </c>
      <c r="F121" s="48" t="n">
        <v>13.94</v>
      </c>
      <c r="G121" s="48" t="n">
        <v>14.2</v>
      </c>
      <c r="H121" s="46" t="inlineStr">
        <is>
          <t>Ind.4 (New Hire Rate): Claude=16</t>
        </is>
      </c>
      <c r="I121" s="47" t="n">
        <v>16.25</v>
      </c>
      <c r="J121" s="47" t="inlineStr">
        <is>
          <t>hanwha_2025.pdf p.102-103: 총 신규 채용 인원 수 670 / 총 직원 수 4,123 = 16.25% (2022). Claude confirmed correct (exact match). DeepSeek's 13.94 does not match.</t>
        </is>
      </c>
      <c r="K121" s="47" t="inlineStr">
        <is>
          <t>Yes</t>
        </is>
      </c>
    </row>
    <row r="122" ht="15" customHeight="1" s="43">
      <c r="A122" s="48" t="inlineStr">
        <is>
          <t>HANWHA</t>
        </is>
      </c>
      <c r="B122" s="48" t="inlineStr">
        <is>
          <t>000880</t>
        </is>
      </c>
      <c r="C122" s="48" t="inlineStr">
        <is>
          <t>2023</t>
        </is>
      </c>
      <c r="D122" s="48" t="inlineStr">
        <is>
          <t>New Hire Rate %</t>
        </is>
      </c>
      <c r="E122" s="48" t="n">
        <v>10.95</v>
      </c>
      <c r="F122" s="48" t="n">
        <v>9.470000000000001</v>
      </c>
      <c r="G122" s="48" t="n">
        <v>13.5</v>
      </c>
      <c r="H122" s="46" t="inlineStr">
        <is>
          <t>Ind.4 (New Hire Rate): Claude=10</t>
        </is>
      </c>
      <c r="I122" s="47" t="n">
        <v>10.95</v>
      </c>
      <c r="J122" s="47" t="inlineStr">
        <is>
          <t>hanwha_2025.pdf p.102-103: 총 신규 채용 인원 수 465 / 총 직원 수 4,246 = 10.95% (2023). Claude confirmed correct (exact match). DeepSeek's 9.47 does not match.</t>
        </is>
      </c>
      <c r="K122" s="47" t="inlineStr">
        <is>
          <t>Yes</t>
        </is>
      </c>
    </row>
    <row r="123" ht="15" customHeight="1" s="43">
      <c r="A123" s="48" t="inlineStr">
        <is>
          <t>HANWHA</t>
        </is>
      </c>
      <c r="B123" s="48" t="inlineStr">
        <is>
          <t>000880</t>
        </is>
      </c>
      <c r="C123" s="48" t="inlineStr">
        <is>
          <t>2023</t>
        </is>
      </c>
      <c r="D123" s="48" t="inlineStr">
        <is>
          <t>Contract Workers %</t>
        </is>
      </c>
      <c r="E123" s="48" t="n">
        <v>31</v>
      </c>
      <c r="F123" s="48" t="n">
        <v>26.82</v>
      </c>
      <c r="G123" s="48" t="n">
        <v>13.5</v>
      </c>
      <c r="H123" s="46" t="inlineStr">
        <is>
          <t>Ind.1 (Contract Workers%): Claude=31, DeepSeek=26</t>
        </is>
      </c>
      <c r="I123" s="47" t="n">
        <v>31</v>
      </c>
      <c r="J123" s="47" t="inlineStr">
        <is>
          <t>hanwha_2025.pdf p.102: 비정규직 비율(직접고용) = 31.0% (2023). Claude confirmed correct (exact match). DeepSeek's 26.82 does not match.</t>
        </is>
      </c>
      <c r="K123" s="47" t="inlineStr">
        <is>
          <t>Yes</t>
        </is>
      </c>
    </row>
    <row r="124" ht="23.25" customHeight="1" s="43">
      <c r="A124" s="48" t="inlineStr">
        <is>
          <t>HANWHA</t>
        </is>
      </c>
      <c r="B124" s="48" t="inlineStr">
        <is>
          <t>000880</t>
        </is>
      </c>
      <c r="C124" s="48" t="inlineStr">
        <is>
          <t>2021</t>
        </is>
      </c>
      <c r="D124" s="48" t="inlineStr">
        <is>
          <t>Contract Workers %</t>
        </is>
      </c>
      <c r="E124" s="48" t="n">
        <v>26.3</v>
      </c>
      <c r="F124" s="48" t="n">
        <v>22.94</v>
      </c>
      <c r="G124" s="48" t="n">
        <v>12.8</v>
      </c>
      <c r="H124" s="46" t="inlineStr">
        <is>
          <t>Ind.1 (Contract Workers %)=26 || Ind.1 (and likely Ind || Ind.1 (Contract Workers%): Claude=26</t>
        </is>
      </c>
      <c r="I124" s="47" t="n">
        <v>26.3</v>
      </c>
      <c r="J124" s="47" t="inlineStr">
        <is>
          <t>hanwha_2025.pdf p.102: 비정규직 비율(직접고용) = 26.3% (2021). Claude confirmed correct (exact match). DeepSeek's 22.94 does not match.</t>
        </is>
      </c>
      <c r="K124" s="47" t="inlineStr">
        <is>
          <t>Yes</t>
        </is>
      </c>
    </row>
    <row r="125" ht="15" customHeight="1" s="43">
      <c r="A125" s="48" t="inlineStr">
        <is>
          <t>HANWHA</t>
        </is>
      </c>
      <c r="B125" s="48" t="inlineStr">
        <is>
          <t>000880</t>
        </is>
      </c>
      <c r="C125" s="48" t="inlineStr">
        <is>
          <t>2021</t>
        </is>
      </c>
      <c r="D125" s="48" t="inlineStr">
        <is>
          <t>New Hire Rate %</t>
        </is>
      </c>
      <c r="E125" s="48" t="n">
        <v>10.96</v>
      </c>
      <c r="F125" s="48" t="n">
        <v>9.56</v>
      </c>
      <c r="G125" s="48" t="n">
        <v>12.8</v>
      </c>
      <c r="H125" s="46" t="inlineStr">
        <is>
          <t>Ind.4 (New Hire Rate): Claude=10</t>
        </is>
      </c>
      <c r="I125" s="47" t="n">
        <v>10.96</v>
      </c>
      <c r="J125" s="47" t="inlineStr">
        <is>
          <t>hanwha_2025.pdf p.102-103: 총 신규 채용 인원 수 380 / 총 직원 수 3,466 = 10.96% (2021). Claude confirmed correct (exact match). DeepSeek's 9.56 does not match.</t>
        </is>
      </c>
      <c r="K125" s="47" t="inlineStr">
        <is>
          <t>Yes</t>
        </is>
      </c>
    </row>
    <row r="126" ht="15" customHeight="1" s="43">
      <c r="A126" s="48" t="inlineStr">
        <is>
          <t>HANWHA</t>
        </is>
      </c>
      <c r="B126" s="48" t="inlineStr">
        <is>
          <t>000880</t>
        </is>
      </c>
      <c r="C126" s="48" t="inlineStr">
        <is>
          <t>2019</t>
        </is>
      </c>
      <c r="D126" s="48" t="inlineStr">
        <is>
          <t>Contract Workers %</t>
        </is>
      </c>
      <c r="E126" s="48" t="n">
        <v>7</v>
      </c>
      <c r="F126" s="48" t="n">
        <v>6.54</v>
      </c>
      <c r="G126" s="48" t="n">
        <v>6.6</v>
      </c>
      <c r="H126" s="46" t="inlineStr">
        <is>
          <t>Ind.1 (Contract Workers%): Claude=7, DeepSeek=6</t>
        </is>
      </c>
      <c r="I126" s="47" t="n">
        <v>7</v>
      </c>
      <c r="J126" s="47" t="inlineStr">
        <is>
          <t>hanwha_2021.pdf p.102-103, ESG Factbook 'Social/인원 현황' table: 비정규직 인원 비율 = 7% (2019) (headcount basis: 365 non-regular / 5,583 total = 6.54%, rounded to 7% as printed in the report). Claude confirmed correct - matches the report's own disclosed whole-number label. DeepSeek's 6.54 is the underlying precise ratio rather than the disclosed rounded figure; flagging as a rounding nuance rather than an error, but keeping Claude's value since it matches the report's stated statistic.</t>
        </is>
      </c>
      <c r="K126" s="47" t="inlineStr">
        <is>
          <t>Yes</t>
        </is>
      </c>
    </row>
    <row r="127" ht="15" customHeight="1" s="43">
      <c r="A127" s="48" t="inlineStr">
        <is>
          <t>HANWHA</t>
        </is>
      </c>
      <c r="B127" s="48" t="inlineStr">
        <is>
          <t>000880</t>
        </is>
      </c>
      <c r="C127" s="48" t="inlineStr">
        <is>
          <t>2022</t>
        </is>
      </c>
      <c r="D127" s="48" t="inlineStr">
        <is>
          <t>Annual Pay</t>
        </is>
      </c>
      <c r="E127" s="48" t="n">
        <v>85000000</v>
      </c>
      <c r="F127" s="48" t="n">
        <v>90334305</v>
      </c>
      <c r="G127" s="48" t="n">
        <v>6.3</v>
      </c>
      <c r="H127" s="46" t="inlineStr">
        <is>
          <t>Ind.12 (Annual Pay): Claude=85000000, DeepSeek=90334305, Diff=6</t>
        </is>
      </c>
      <c r="I127" s="47" t="n">
        <v>85000000</v>
      </c>
      <c r="J127" s="47" t="inlineStr">
        <is>
          <t>hanwha_2025.pdf p.109: '직원 1인 평균 연간 급여' = 85 (백만원) = 85,000,000 KRW (2022). Claude confirmed correct (exact match). DeepSeek's 90,334,305 does not match the disclosed per-employee figure.</t>
        </is>
      </c>
      <c r="K127" s="47" t="inlineStr">
        <is>
          <t>Yes</t>
        </is>
      </c>
    </row>
    <row r="128" ht="15" customHeight="1" s="43">
      <c r="A128" s="45" t="inlineStr">
        <is>
          <t>HANWHA AEROSPACE</t>
        </is>
      </c>
      <c r="B128" s="45" t="inlineStr">
        <is>
          <t>012450</t>
        </is>
      </c>
      <c r="C128" s="45" t="inlineStr">
        <is>
          <t>2024</t>
        </is>
      </c>
      <c r="D128" s="45" t="inlineStr">
        <is>
          <t>Female Executives %</t>
        </is>
      </c>
      <c r="E128" s="45" t="n">
        <v>2.7</v>
      </c>
      <c r="F128" s="45" t="n">
        <v>42.8571</v>
      </c>
      <c r="G128" s="45" t="n">
        <v>1487.3</v>
      </c>
      <c r="H128" s="46" t="inlineStr">
        <is>
          <t>Ind.10 (Female Executives): Claude=2</t>
        </is>
      </c>
      <c r="I128" s="47" t="n">
        <v>2.7</v>
      </c>
      <c r="J128" s="47" t="inlineStr">
        <is>
          <t>Hanwha Aerospace Sustainability Report 2025, p.94 - 'Employee Status' table, Executives sub-table, Female row: 3 persons (2.7%) of 111 total. Matches Claude. DeepSeek used denominator=7 registered executives (3/7=42.9%, same as 2023 figure by coincidence) - scope mismatch confirmed.</t>
        </is>
      </c>
      <c r="K128" s="47" t="inlineStr">
        <is>
          <t>Yes</t>
        </is>
      </c>
    </row>
    <row r="129" ht="15" customHeight="1" s="43">
      <c r="A129" s="45" t="inlineStr">
        <is>
          <t>HANWHA AEROSPACE</t>
        </is>
      </c>
      <c r="B129" s="45" t="inlineStr">
        <is>
          <t>012450</t>
        </is>
      </c>
      <c r="C129" s="45" t="inlineStr">
        <is>
          <t>2023</t>
        </is>
      </c>
      <c r="D129" s="45" t="inlineStr">
        <is>
          <t>Female Executives %</t>
        </is>
      </c>
      <c r="E129" s="45" t="n">
        <v>2.9</v>
      </c>
      <c r="F129" s="45" t="n">
        <v>42.8571</v>
      </c>
      <c r="G129" s="45" t="n">
        <v>1377.8</v>
      </c>
      <c r="H129" s="46" t="inlineStr">
        <is>
          <t>Ind.10 (Female Executives): Claude=2 || Ind.10 and Ind</t>
        </is>
      </c>
      <c r="I129" s="47" t="n">
        <v>2.9</v>
      </c>
      <c r="J129" s="47" t="inlineStr">
        <is>
          <t>Hanwha Aerospace Sustainability Report 2025, p.94 - 'Employee Status' table, Executives sub-table, Female row: 3 persons (2.9%) of 102 total. Matches Claude. DeepSeek used denominator=7 registered executives (3/7=42.9%) - same scope mismatch as 2022/2024.</t>
        </is>
      </c>
      <c r="K129" s="47" t="inlineStr">
        <is>
          <t>Yes</t>
        </is>
      </c>
    </row>
    <row r="130" ht="23.25" customHeight="1" s="43">
      <c r="A130" s="45" t="inlineStr">
        <is>
          <t>HANWHA AEROSPACE</t>
        </is>
      </c>
      <c r="B130" s="45" t="inlineStr">
        <is>
          <t>012450</t>
        </is>
      </c>
      <c r="C130" s="45" t="inlineStr">
        <is>
          <t>2022</t>
        </is>
      </c>
      <c r="D130" s="45" t="inlineStr">
        <is>
          <t>Female Executives %</t>
        </is>
      </c>
      <c r="E130" s="45" t="n">
        <v>1.3</v>
      </c>
      <c r="F130" s="45" t="n">
        <v>14.2857</v>
      </c>
      <c r="G130" s="45" t="n">
        <v>998.9</v>
      </c>
      <c r="H130" s="46" t="inlineStr">
        <is>
          <t>Ind.10 (Female Executives): Claude=1 || Ind.10 (Female Executives) and Ind</t>
        </is>
      </c>
      <c r="I130" s="47" t="n">
        <v>1.3</v>
      </c>
      <c r="J130" s="47" t="inlineStr">
        <is>
          <t>Hanwha Aerospace Sustainability Report 2025, p.94 - 'Employee Status' table, Executives sub-table, Female row: 1 person (1.3%) of 75 total. Matches Claude. DeepSeek used 'Number of registered executives' (7) as denominator instead (1/7=14.3%) - scope/denominator mismatch.</t>
        </is>
      </c>
      <c r="K130" s="47" t="inlineStr">
        <is>
          <t>Yes</t>
        </is>
      </c>
    </row>
    <row r="131" ht="68.25" customHeight="1" s="43">
      <c r="A131" s="45" t="inlineStr">
        <is>
          <t>HANWHA AEROSPACE</t>
        </is>
      </c>
      <c r="B131" s="45" t="inlineStr">
        <is>
          <t>012450</t>
        </is>
      </c>
      <c r="C131" s="45" t="inlineStr">
        <is>
          <t>2022</t>
        </is>
      </c>
      <c r="D131" s="45" t="inlineStr">
        <is>
          <t>Annual Pay</t>
        </is>
      </c>
      <c r="E131" s="45" t="n">
        <v>102000000</v>
      </c>
      <c r="F131" s="45" t="n">
        <v>348200000</v>
      </c>
      <c r="G131" s="45" t="n">
        <v>241.4</v>
      </c>
      <c r="H131" s="46" t="inlineStr">
        <is>
          <t>Ind.12=102,000,000 - source flags its own footnote about 'year-over-year calculation-standard changes from the 3-company merger,' so even 2022-2024 internally may have some comparability caveats || Ind.12 (Annual Pay): Claude=102000000, DeepSeek=348200000, Diff=241 || Ind.12 (Annual Pay) both show MASSIVE, systematic gaps continuing through 2023-2024 (Executives ~14-43% DeepSeek vs ~1-3% Claude</t>
        </is>
      </c>
      <c r="I131" s="47" t="n">
        <v>102000000</v>
      </c>
      <c r="J131" s="47" t="inlineStr">
        <is>
          <t>Hanwha Aerospace Sustainability Report 2025, p.99 - Governance Factbook, 'Directors' Remuneration' table, 'Average annual salary per employee': KRW 102 million. Matches Claude exactly. Table footnote confirms comparability caveat re: 3-company merger (Hanwha Defense/Munition integration). DeepSeek's 348,200,000 does not match any figure in this table - basis unclear.</t>
        </is>
      </c>
      <c r="K131" s="47" t="inlineStr">
        <is>
          <t>Yes</t>
        </is>
      </c>
    </row>
    <row r="132" ht="34.5" customHeight="1" s="43">
      <c r="A132" s="45" t="inlineStr">
        <is>
          <t>HANWHA AEROSPACE</t>
        </is>
      </c>
      <c r="B132" s="45" t="inlineStr">
        <is>
          <t>012450</t>
        </is>
      </c>
      <c r="C132" s="45" t="inlineStr">
        <is>
          <t>2023</t>
        </is>
      </c>
      <c r="D132" s="45" t="inlineStr">
        <is>
          <t>Annual Pay</t>
        </is>
      </c>
      <c r="E132" s="45" t="n">
        <v>91000000</v>
      </c>
      <c r="F132" s="45" t="n">
        <v>299400000</v>
      </c>
      <c r="G132" s="45" t="n">
        <v>229</v>
      </c>
      <c r="H132" s="46" t="inlineStr">
        <is>
          <t>Ind.12's note) || Ind.12 (Annual Pay): Claude=91000000, DeepSeek=299400000, Diff=229 || Ind.12 suggests a stable but different definitional choice by DeepSeek, not noise</t>
        </is>
      </c>
      <c r="I132" s="47" t="n">
        <v>91000000</v>
      </c>
      <c r="J132" s="47" t="inlineStr">
        <is>
          <t>Hanwha Aerospace Sustainability Report 2025, p.99 - Governance Factbook, 'Directors' Remuneration' table, 'Average annual salary per employee': KRW 91 million. Matches Claude exactly. DeepSeek's 299,400,000 unexplained.</t>
        </is>
      </c>
      <c r="K132" s="47" t="inlineStr">
        <is>
          <t>Yes</t>
        </is>
      </c>
    </row>
    <row r="133" ht="23.25" customHeight="1" s="43">
      <c r="A133" s="45" t="inlineStr">
        <is>
          <t>HANWHA AEROSPACE</t>
        </is>
      </c>
      <c r="B133" s="45" t="inlineStr">
        <is>
          <t>012450</t>
        </is>
      </c>
      <c r="C133" s="45" t="inlineStr">
        <is>
          <t>2024</t>
        </is>
      </c>
      <c r="D133" s="45" t="inlineStr">
        <is>
          <t>Annual Pay</t>
        </is>
      </c>
      <c r="E133" s="45" t="n">
        <v>118000000</v>
      </c>
      <c r="F133" s="45" t="n">
        <v>283900000</v>
      </c>
      <c r="G133" s="45" t="n">
        <v>140.6</v>
      </c>
      <c r="H133" s="46" t="inlineStr">
        <is>
          <t>Ind.12 (Annual Pay): Claude=118000000, DeepSeek=283900000, Diff=140</t>
        </is>
      </c>
      <c r="I133" s="47" t="n">
        <v>118000000</v>
      </c>
      <c r="J133" s="47" t="inlineStr">
        <is>
          <t>Hanwha Aerospace Sustainability Report 2025, p.99 - Governance Factbook, 'Directors' Remuneration' table, 'Average annual salary per employee': KRW 118 million. Matches Claude exactly. DeepSeek's 283,900,000 unexplained.</t>
        </is>
      </c>
      <c r="K133" s="47" t="inlineStr">
        <is>
          <t>Yes</t>
        </is>
      </c>
    </row>
    <row r="134" ht="45.75" customHeight="1" s="43">
      <c r="A134" s="45" t="inlineStr">
        <is>
          <t>HANWHA AEROSPACE</t>
        </is>
      </c>
      <c r="B134" s="45" t="inlineStr">
        <is>
          <t>012450</t>
        </is>
      </c>
      <c r="C134" s="45" t="inlineStr">
        <is>
          <t>2021</t>
        </is>
      </c>
      <c r="D134" s="45" t="inlineStr">
        <is>
          <t>Female Board Directors %</t>
        </is>
      </c>
      <c r="E134" s="45" t="n">
        <v>29</v>
      </c>
      <c r="F134" s="45" t="n">
        <v>0</v>
      </c>
      <c r="G134" s="45" t="n">
        <v>100</v>
      </c>
      <c r="H134" s="46" t="inlineStr">
        <is>
          <t>Ind.11=29, reflects the March-2021 female-director appointment now properly year-aligned (2021 report had flagged this as 'out-of-window' for FY2020, correctly excluded there) || Ind.11 (Female Board Directors): Claude=29, DeepSeek=0</t>
        </is>
      </c>
      <c r="I134" s="47" t="n">
        <v>29</v>
      </c>
      <c r="J134" s="47" t="inlineStr">
        <is>
          <t>Hanwha Aerospace Sustainability Report 2022, p.63 - 'Features of Hanwha Aerospace's BOD' table (as of May 2022): 7 total directors, 2 female (Lee Sun Hee, Kim Hyoun Jin, both appointed Mar 29, 2021) = 2/7 = 28.6% ~ 29%. Same 7-director composition held at FY2021 year-end (no changes between Dec 2021 and May 2022 per disclosed appointment dates). Matches Claude. DeepSeek's 0 is incorrect.</t>
        </is>
      </c>
      <c r="K134" s="47" t="inlineStr">
        <is>
          <t>Yes</t>
        </is>
      </c>
    </row>
    <row r="135" ht="45.75" customHeight="1" s="43">
      <c r="A135" s="45" t="inlineStr">
        <is>
          <t>HANWHA AEROSPACE</t>
        </is>
      </c>
      <c r="B135" s="45" t="inlineStr">
        <is>
          <t>012450</t>
        </is>
      </c>
      <c r="C135" s="45" t="inlineStr">
        <is>
          <t>2022</t>
        </is>
      </c>
      <c r="D135" s="45" t="inlineStr">
        <is>
          <t>Contract Workers %</t>
        </is>
      </c>
      <c r="E135" s="45" t="n">
        <v>4.49</v>
      </c>
      <c r="F135" s="45" t="n">
        <v>0</v>
      </c>
      <c r="G135" s="45" t="n">
        <v>100</v>
      </c>
      <c r="H135" s="46" t="inlineStr">
        <is>
          <t>Ind.1 (Contract Workers %)=4 || Ind.1 (Contract Workers%): Claude=4 || Ind.1 (Contract Workers%) DeepSeek=0% for 2022 is suspicious (likely a proxy/scope mismatch, possibly 'Contingent' vs 'Contract' category confusion, similar to definitional issues seen elsewhere)</t>
        </is>
      </c>
      <c r="I135" s="47" t="n">
        <v>4.49</v>
      </c>
      <c r="J135" s="47" t="inlineStr">
        <is>
          <t>Hanwha Aerospace Sustainability Report 2025, p.94 - 'Employee Status' table: Contingent (non-regular) subtotal 165 / Number of employees (excl. registered executives) 3,671 = 4.49%. Matches Claude exactly. DeepSeek appears to have used the narrower 'Contract workers' line (0 persons in 2022, a sub-category alongside Non-affiliated/Dispatched/Independent contractors) instead of the full Contingent population - confirms diagnostic hypothesis of category/scope confusion.</t>
        </is>
      </c>
      <c r="K135" s="47" t="inlineStr">
        <is>
          <t>Yes</t>
        </is>
      </c>
    </row>
    <row r="136" ht="15" customHeight="1" s="43">
      <c r="A136" s="45" t="inlineStr">
        <is>
          <t>HANWHA AEROSPACE</t>
        </is>
      </c>
      <c r="B136" s="45" t="inlineStr">
        <is>
          <t>012450</t>
        </is>
      </c>
      <c r="C136" s="45" t="inlineStr">
        <is>
          <t>2019</t>
        </is>
      </c>
      <c r="D136" s="45" t="inlineStr">
        <is>
          <t>New Hires Female %</t>
        </is>
      </c>
      <c r="E136" s="45" t="n">
        <v>23.5</v>
      </c>
      <c r="F136" s="45" t="n">
        <v>1.96</v>
      </c>
      <c r="G136" s="45" t="n">
        <v>91.7</v>
      </c>
      <c r="H136" s="46" t="inlineStr">
        <is>
          <t>Ind.6 (New Hires Female%): Claude=23</t>
        </is>
      </c>
      <c r="I136" s="47" t="n">
        <v>23.5</v>
      </c>
      <c r="J136" s="47" t="inlineStr">
        <is>
          <t>Hanwha Aerospace Sustainability Report 2022, p.83 - 'Recruitment and Retention' table, New Hires by gender (2019 column): Female 12 / Subtotal 51 = 23.5%. Matches Claude exactly. DeepSeek's 1.96% does not correspond to any figure derivable from this table - basis unclear.</t>
        </is>
      </c>
      <c r="K136" s="47" t="inlineStr">
        <is>
          <t>Yes</t>
        </is>
      </c>
    </row>
    <row r="137" ht="15" customHeight="1" s="43">
      <c r="A137" s="45" t="inlineStr">
        <is>
          <t>HANWHA AEROSPACE</t>
        </is>
      </c>
      <c r="B137" s="45" t="inlineStr">
        <is>
          <t>012450</t>
        </is>
      </c>
      <c r="C137" s="45" t="inlineStr">
        <is>
          <t>2024</t>
        </is>
      </c>
      <c r="D137" s="45" t="inlineStr">
        <is>
          <t>Contract Workers %</t>
        </is>
      </c>
      <c r="E137" s="45" t="n">
        <v>9.98</v>
      </c>
      <c r="F137" s="45" t="n">
        <v>1.8132</v>
      </c>
      <c r="G137" s="45" t="n">
        <v>81.8</v>
      </c>
      <c r="H137" s="46" t="inlineStr">
        <is>
          <t>Ind.1 (Contract Workers%): Claude=9 || Ind.1/9/10/12 - see 2022 note</t>
        </is>
      </c>
      <c r="I137" s="47" t="n">
        <v>9.98</v>
      </c>
      <c r="J137" s="47" t="inlineStr">
        <is>
          <t>Hanwha Aerospace Sustainability Report 2025, p.94 - 'Employee Status' table: Contingent subtotal 764 / Number of employees 7,659 = 9.98%. Matches Claude exactly. DeepSeek again appears to use narrow 'Contract workers' sub-line (139 persons) with a different denominator - scope mismatch confirmed.</t>
        </is>
      </c>
      <c r="K137" s="47" t="inlineStr">
        <is>
          <t>Yes</t>
        </is>
      </c>
    </row>
    <row r="138" ht="23.25" customHeight="1" s="43">
      <c r="A138" s="45" t="inlineStr">
        <is>
          <t>HANWHA AEROSPACE</t>
        </is>
      </c>
      <c r="B138" s="45" t="inlineStr">
        <is>
          <t>012450</t>
        </is>
      </c>
      <c r="C138" s="45" t="inlineStr">
        <is>
          <t>2022</t>
        </is>
      </c>
      <c r="D138" s="45" t="inlineStr">
        <is>
          <t>Female Middle Managers %</t>
        </is>
      </c>
      <c r="E138" s="45" t="n">
        <v>20.2</v>
      </c>
      <c r="F138" s="45" t="n">
        <v>5.4</v>
      </c>
      <c r="G138" s="45" t="n">
        <v>73.3</v>
      </c>
      <c r="H138" s="46" t="inlineStr">
        <is>
          <t>Ind.9=20 || Ind.9 values as measuring different populations entirely || Ind.9 (Female Middle Mgrs): Claude=20</t>
        </is>
      </c>
      <c r="I138" s="47" t="n">
        <v>20.2</v>
      </c>
      <c r="J138" s="47" t="inlineStr">
        <is>
          <t>Hanwha Aerospace Sustainability Report 2025, p.94 - 'Employee Status' table, 'Middle Management positions' sub-table, Female row: 63 persons (20.2%) of 312. Matches Claude exactly. DeepSeek's 5.4 instead matches the broader 'Percentage of female managers (manager level and above)' figure reported separately on p.96 - a different, broader population than 'Middle Management' specifically.</t>
        </is>
      </c>
      <c r="K138" s="47" t="inlineStr">
        <is>
          <t>Yes</t>
        </is>
      </c>
    </row>
    <row r="139" ht="23.25" customHeight="1" s="43">
      <c r="A139" s="45" t="inlineStr">
        <is>
          <t>HANWHA AEROSPACE</t>
        </is>
      </c>
      <c r="B139" s="45" t="inlineStr">
        <is>
          <t>012450</t>
        </is>
      </c>
      <c r="C139" s="45" t="inlineStr">
        <is>
          <t>2023</t>
        </is>
      </c>
      <c r="D139" s="45" t="inlineStr">
        <is>
          <t>Contract Workers %</t>
        </is>
      </c>
      <c r="E139" s="45" t="n">
        <v>6.57</v>
      </c>
      <c r="F139" s="45" t="n">
        <v>1.9636</v>
      </c>
      <c r="G139" s="45" t="n">
        <v>70.09999999999999</v>
      </c>
      <c r="H139" s="46" t="inlineStr">
        <is>
          <t>Ind.1 (Contract Workers%): Claude=6 || Ind.1/9/10/12 gaps as 2022 - see that year's note</t>
        </is>
      </c>
      <c r="I139" s="47" t="n">
        <v>6.57</v>
      </c>
      <c r="J139" s="47" t="inlineStr">
        <is>
          <t>Hanwha Aerospace Sustainability Report 2025, p.94 - 'Employee Status' table: Contingent subtotal 448 / Number of employees 6,816 = 6.57%. Matches Claude exactly. Same scope mismatch pattern as 2022/2024.</t>
        </is>
      </c>
      <c r="K139" s="47" t="inlineStr">
        <is>
          <t>Yes</t>
        </is>
      </c>
    </row>
    <row r="140" ht="15" customHeight="1" s="43">
      <c r="A140" s="45" t="inlineStr">
        <is>
          <t>HANWHA AEROSPACE</t>
        </is>
      </c>
      <c r="B140" s="45" t="inlineStr">
        <is>
          <t>012450</t>
        </is>
      </c>
      <c r="C140" s="45" t="inlineStr">
        <is>
          <t>2024</t>
        </is>
      </c>
      <c r="D140" s="45" t="inlineStr">
        <is>
          <t>Female Middle Managers %</t>
        </is>
      </c>
      <c r="E140" s="45" t="n">
        <v>20.3</v>
      </c>
      <c r="F140" s="45" t="n">
        <v>7</v>
      </c>
      <c r="G140" s="45" t="n">
        <v>65.5</v>
      </c>
      <c r="H140" s="46" t="inlineStr">
        <is>
          <t>Ind.9 (Female Middle Mgrs): Claude=20</t>
        </is>
      </c>
      <c r="I140" s="47" t="n">
        <v>20.3</v>
      </c>
      <c r="J140" s="47" t="inlineStr">
        <is>
          <t>Hanwha Aerospace Sustainability Report 2025, p.94 - 'Employee Status' table, 'Middle Management positions' sub-table, Female row: 110 persons (20.3%) of 542. Matches Claude exactly. DeepSeek's 7.0 matches the broader 'Percentage of female managers (manager level and above)' on p.96 instead - same population mismatch as 2022/2023.</t>
        </is>
      </c>
      <c r="K140" s="47" t="inlineStr">
        <is>
          <t>Yes</t>
        </is>
      </c>
    </row>
    <row r="141" ht="15" customHeight="1" s="43">
      <c r="A141" s="45" t="inlineStr">
        <is>
          <t>HANWHA AEROSPACE</t>
        </is>
      </c>
      <c r="B141" s="45" t="inlineStr">
        <is>
          <t>012450</t>
        </is>
      </c>
      <c r="C141" s="45" t="inlineStr">
        <is>
          <t>2023</t>
        </is>
      </c>
      <c r="D141" s="45" t="inlineStr">
        <is>
          <t>Female Middle Managers %</t>
        </is>
      </c>
      <c r="E141" s="45" t="n">
        <v>18.7</v>
      </c>
      <c r="F141" s="45" t="n">
        <v>6.5</v>
      </c>
      <c r="G141" s="45" t="n">
        <v>65.2</v>
      </c>
      <c r="H141" s="46" t="inlineStr">
        <is>
          <t>Ind.9=18 || Ind.9 (Female Middle Mgrs): Claude=18</t>
        </is>
      </c>
      <c r="I141" s="47" t="n">
        <v>18.7</v>
      </c>
      <c r="J141" s="47" t="inlineStr">
        <is>
          <t>Hanwha Aerospace Sustainability Report 2025, p.94 - 'Employee Status' table, 'Middle Management positions' sub-table, Female row: 97 persons (18.7%) of 520. Matches Claude exactly. DeepSeek's 6.5 matches the broader 'Percentage of female managers (manager level and above)' on p.96 instead.</t>
        </is>
      </c>
      <c r="K141" s="47" t="inlineStr">
        <is>
          <t>Yes</t>
        </is>
      </c>
    </row>
    <row r="142" ht="15" customHeight="1" s="43">
      <c r="A142" s="48" t="inlineStr">
        <is>
          <t>HANWHA AEROSPACE</t>
        </is>
      </c>
      <c r="B142" s="48" t="inlineStr">
        <is>
          <t>012450</t>
        </is>
      </c>
      <c r="C142" s="48" t="inlineStr">
        <is>
          <t>2020</t>
        </is>
      </c>
      <c r="D142" s="48" t="inlineStr">
        <is>
          <t>New Hires Female %</t>
        </is>
      </c>
      <c r="E142" s="48" t="n">
        <v>19</v>
      </c>
      <c r="F142" s="48" t="n">
        <v>9.52</v>
      </c>
      <c r="G142" s="48" t="n">
        <v>49.9</v>
      </c>
      <c r="H142" s="46" t="inlineStr">
        <is>
          <t>Ind.6 (New Hires Female%): Claude=19, DeepSeek=9</t>
        </is>
      </c>
      <c r="I142" s="47" t="n">
        <v>19</v>
      </c>
      <c r="J142" s="47" t="inlineStr">
        <is>
          <t>Hanwha Aerospace Sustainability Report 2022, p.83 - 'Recruitment and Retention' table, New Hires by gender (2020 column): Female 4 / Subtotal 21 = 19.0%. Matches Claude exactly. DeepSeek's 9.52% does not correspond to any figure derivable from this table - basis unclear.</t>
        </is>
      </c>
      <c r="K142" s="47" t="inlineStr">
        <is>
          <t>Yes</t>
        </is>
      </c>
    </row>
    <row r="143" ht="15" customHeight="1" s="43">
      <c r="A143" s="48" t="inlineStr">
        <is>
          <t>HANWHA AEROSPACE</t>
        </is>
      </c>
      <c r="B143" s="48" t="inlineStr">
        <is>
          <t>012450</t>
        </is>
      </c>
      <c r="C143" s="48" t="inlineStr">
        <is>
          <t>2020</t>
        </is>
      </c>
      <c r="D143" s="48" t="inlineStr">
        <is>
          <t>COVID-19 Response</t>
        </is>
      </c>
      <c r="E143" s="48" t="n">
        <v>5</v>
      </c>
      <c r="F143" s="48" t="n">
        <v>6</v>
      </c>
      <c r="G143" s="48" t="n">
        <v>20</v>
      </c>
      <c r="H143" s="46" t="inlineStr">
        <is>
          <t>Ind.25 (COVID Response): Claude=5, DeepSeek=6, Diff=20</t>
        </is>
      </c>
      <c r="I143" s="47" t="n">
        <v>5</v>
      </c>
      <c r="J143" s="47" t="inlineStr">
        <is>
          <t>UNRESOLVED - Indicator 25 (Covid Response Policies) is flagged in the project's own 'How to Use' notes as one of indicators 25-30 that 'cannot be extracted from company reports; source externally, mark ND'. Additionally, the 2022 report (p.42-43) describes COVID-19 measures only in a single combined narrative ('remote working, vaccine leave, support for suspected patients requiring testing, and provision of quarantine kits') covering the whole 2019-2021 reporting window without disaggregating by year - a plain-text count of distinct measures in that passage yields 4, matching neither Claude's 5 nor DeepSeek's 6. Diagnostic note also references a conflicting count of 15 for 2020 alone in a different report edition (HANWHA_AEROSPACE_2021.pdf), which was not provided in this session. Recommend marking both years ND per project methodology rather than picking either model's count.</t>
        </is>
      </c>
      <c r="K143" s="47" t="inlineStr">
        <is>
          <t>FINAL: Claude value retained (source inconclusive; see note)</t>
        </is>
      </c>
    </row>
    <row r="144" ht="45.75" customHeight="1" s="43">
      <c r="A144" s="48" t="inlineStr">
        <is>
          <t>HANWHA AEROSPACE</t>
        </is>
      </c>
      <c r="B144" s="48" t="inlineStr">
        <is>
          <t>012450</t>
        </is>
      </c>
      <c r="C144" s="48" t="inlineStr">
        <is>
          <t>2021</t>
        </is>
      </c>
      <c r="D144" s="48" t="inlineStr">
        <is>
          <t>COVID-19 Response</t>
        </is>
      </c>
      <c r="E144" s="48" t="n">
        <v>5</v>
      </c>
      <c r="F144" s="48" t="n">
        <v>6</v>
      </c>
      <c r="G144" s="48" t="n">
        <v>20</v>
      </c>
      <c r="H144" s="46" t="inlineStr">
        <is>
          <t>Ind.25=5, PROXY: combined 2020+2021 itemized count (report doesn't disaggregate by year) - MAJOR CONFLICT vs 2021 report's specific count of 15 for 2020 alone || Ind.25 (COVID Response): Claude=5, DeepSeek=6, Diff=20</t>
        </is>
      </c>
      <c r="I144" s="47" t="n">
        <v>5</v>
      </c>
      <c r="J144" s="47" t="inlineStr">
        <is>
          <t>UNRESOLVED - Indicator 25 (Covid Response Policies) is flagged in the project's own 'How to Use' notes as one of indicators 25-30 that 'cannot be extracted from company reports; source externally, mark ND'. Additionally, the 2022 report (p.42-43) describes COVID-19 measures only in a single combined narrative ('remote working, vaccine leave, support for suspected patients requiring testing, and provision of quarantine kits') covering the whole 2019-2021 reporting window without disaggregating by year - a plain-text count of distinct measures in that passage yields 4, matching neither Claude's 5 nor DeepSeek's 6. Diagnostic note also references a conflicting count of 15 for 2020 alone in a different report edition (HANWHA_AEROSPACE_2021.pdf), which was not provided in this session. Recommend marking both years ND per project methodology rather than picking either model's count.</t>
        </is>
      </c>
      <c r="K144" s="47" t="inlineStr">
        <is>
          <t>FINAL: Claude value retained (source inconclusive; see note)</t>
        </is>
      </c>
    </row>
    <row r="145" ht="23.25" customHeight="1" s="43">
      <c r="A145" s="45" t="inlineStr">
        <is>
          <t>HANWHA OCEAN</t>
        </is>
      </c>
      <c r="B145" s="45" t="inlineStr">
        <is>
          <t>042660</t>
        </is>
      </c>
      <c r="C145" s="45" t="inlineStr">
        <is>
          <t>2021</t>
        </is>
      </c>
      <c r="D145" s="45" t="inlineStr">
        <is>
          <t>Contract Workers %</t>
        </is>
      </c>
      <c r="E145" s="45" t="n">
        <v>1.66</v>
      </c>
      <c r="F145" s="45" t="n">
        <v>6.22</v>
      </c>
      <c r="G145" s="45" t="n">
        <v>274.7</v>
      </c>
      <c r="H145" s="46" t="inlineStr">
        <is>
          <t>Ind.1 (Contract Workers%): Claude=1 || Ind.1 (Contract Workers%) and Ind</t>
        </is>
      </c>
      <c r="I145" s="47" t="n">
        <v>1.66</v>
      </c>
      <c r="J145" s="47" t="inlineStr">
        <is>
          <t>Hanwha Ocean Sustainability Report 2023, p.90, 임직원 현황 table: 비정규직 146 / 전체 임직원 8,808 = 1.66%</t>
        </is>
      </c>
      <c r="K145" s="47" t="inlineStr">
        <is>
          <t>Yes</t>
        </is>
      </c>
    </row>
    <row r="146" ht="15" customHeight="1" s="43">
      <c r="A146" s="45" t="inlineStr">
        <is>
          <t>HANWHA OCEAN</t>
        </is>
      </c>
      <c r="B146" s="45" t="inlineStr">
        <is>
          <t>042660</t>
        </is>
      </c>
      <c r="C146" s="45" t="inlineStr">
        <is>
          <t>2020</t>
        </is>
      </c>
      <c r="D146" s="45" t="inlineStr">
        <is>
          <t>New Hires Female %</t>
        </is>
      </c>
      <c r="E146" s="45" t="n">
        <v>3.13</v>
      </c>
      <c r="F146" s="45" t="n">
        <v>11.63</v>
      </c>
      <c r="G146" s="45" t="n">
        <v>271.6</v>
      </c>
      <c r="H146" s="46" t="inlineStr">
        <is>
          <t>Ind.6 (New Hires Female%): Claude=3</t>
        </is>
      </c>
      <c r="I146" s="47" t="n">
        <v>3.13</v>
      </c>
      <c r="J146" s="47" t="inlineStr">
        <is>
          <t>Hanwha Ocean Sustainability Report 2023, p.90, 임직원 현황 table (여성 임직원 신규채용) 13 / 전체 채용 415 (p.91, 채용 및 근속 table) = 3.13%</t>
        </is>
      </c>
      <c r="K146" s="47" t="inlineStr">
        <is>
          <t>Yes</t>
        </is>
      </c>
    </row>
    <row r="147" ht="23.25" customHeight="1" s="43">
      <c r="A147" s="45" t="inlineStr">
        <is>
          <t>HANWHA OCEAN</t>
        </is>
      </c>
      <c r="B147" s="45" t="inlineStr">
        <is>
          <t>042660</t>
        </is>
      </c>
      <c r="C147" s="45" t="inlineStr">
        <is>
          <t>2021</t>
        </is>
      </c>
      <c r="D147" s="45" t="inlineStr">
        <is>
          <t>Female Permanent Workers %</t>
        </is>
      </c>
      <c r="E147" s="45" t="n">
        <v>3.44</v>
      </c>
      <c r="F147" s="45" t="n">
        <v>10.31</v>
      </c>
      <c r="G147" s="45" t="n">
        <v>199.7</v>
      </c>
      <c r="H147" s="46" t="inlineStr">
        <is>
          <t>Ind.2 (Female Permanent%): Claude=3 || Ind.2/15 systematic gaps as 2020, plus Ind</t>
        </is>
      </c>
      <c r="I147" s="47" t="n">
        <v>3.44</v>
      </c>
      <c r="J147" s="47" t="inlineStr">
        <is>
          <t>Hanwha Ocean Sustainability Report 2023, p.90, 임직원 현황 table: 정규직 여성 298 / 정규직 전체 8,662 = 3.44%</t>
        </is>
      </c>
      <c r="K147" s="47" t="inlineStr">
        <is>
          <t>Yes</t>
        </is>
      </c>
    </row>
    <row r="148" ht="23.25" customHeight="1" s="43">
      <c r="A148" s="45" t="inlineStr">
        <is>
          <t>HANWHA OCEAN</t>
        </is>
      </c>
      <c r="B148" s="45" t="inlineStr">
        <is>
          <t>042660</t>
        </is>
      </c>
      <c r="C148" s="45" t="inlineStr">
        <is>
          <t>2023</t>
        </is>
      </c>
      <c r="D148" s="45" t="inlineStr">
        <is>
          <t>Fatality Rate</t>
        </is>
      </c>
      <c r="E148" s="45" t="n">
        <v>0.36</v>
      </c>
      <c r="F148" s="45" t="n">
        <v>1</v>
      </c>
      <c r="G148" s="45" t="n">
        <v>177.8</v>
      </c>
      <c r="H148" s="46" t="inlineStr">
        <is>
          <t>Ind.24 (Fatality Rate): Claude=0 || Ind.24 continues the rate-vs-count scope difference from 2022 (Claude=0</t>
        </is>
      </c>
      <c r="I148" s="47" t="n">
        <v>0.36</v>
      </c>
      <c r="J148" s="47" t="inlineStr">
        <is>
          <t>Hanwha Ocean Sustainability Report 2023, p.90, 산업재해 table: 사망률(사망만인율) row, 2023 = 0.36%</t>
        </is>
      </c>
      <c r="K148" s="47" t="inlineStr">
        <is>
          <t>Yes</t>
        </is>
      </c>
    </row>
    <row r="149" ht="15" customHeight="1" s="43">
      <c r="A149" s="45" t="inlineStr">
        <is>
          <t>HANWHA OCEAN</t>
        </is>
      </c>
      <c r="B149" s="45" t="inlineStr">
        <is>
          <t>042660</t>
        </is>
      </c>
      <c r="C149" s="45" t="inlineStr">
        <is>
          <t>2022</t>
        </is>
      </c>
      <c r="D149" s="45" t="inlineStr">
        <is>
          <t>Female Permanent Workers %</t>
        </is>
      </c>
      <c r="E149" s="45" t="n">
        <v>3.69</v>
      </c>
      <c r="F149" s="45" t="n">
        <v>9.77</v>
      </c>
      <c r="G149" s="45" t="n">
        <v>164.8</v>
      </c>
      <c r="H149" s="46" t="inlineStr">
        <is>
          <t>Ind.2 (Female Permanent%): Claude=3</t>
        </is>
      </c>
      <c r="I149" s="47" t="n">
        <v>3.69</v>
      </c>
      <c r="J149" s="47" t="inlineStr">
        <is>
          <t>Hanwha Ocean Sustainability Report 2023, p.90, 임직원 현황 table: 정규직 여성 307 / 정규직 전체 8,315 = 3.69%</t>
        </is>
      </c>
      <c r="K149" s="47" t="inlineStr">
        <is>
          <t>Yes</t>
        </is>
      </c>
    </row>
    <row r="150" ht="15" customHeight="1" s="43">
      <c r="A150" s="45" t="inlineStr">
        <is>
          <t>HANWHA OCEAN</t>
        </is>
      </c>
      <c r="B150" s="45" t="inlineStr">
        <is>
          <t>042660</t>
        </is>
      </c>
      <c r="C150" s="45" t="inlineStr">
        <is>
          <t>2023</t>
        </is>
      </c>
      <c r="D150" s="45" t="inlineStr">
        <is>
          <t>Female Permanent Workers %</t>
        </is>
      </c>
      <c r="E150" s="45" t="n">
        <v>3.75</v>
      </c>
      <c r="F150" s="45" t="n">
        <v>9.640000000000001</v>
      </c>
      <c r="G150" s="45" t="n">
        <v>157.1</v>
      </c>
      <c r="H150" s="46" t="inlineStr">
        <is>
          <t>Ind.2 (Female Permanent%): Claude=3</t>
        </is>
      </c>
      <c r="I150" s="47" t="n">
        <v>3.75</v>
      </c>
      <c r="J150" s="47" t="inlineStr">
        <is>
          <t>Hanwha Ocean Sustainability Report 2023, p.90, 임직원 현황 table: 정규직 여성 316 / 정규직 전체 8,423 = 3.75%</t>
        </is>
      </c>
      <c r="K150" s="47" t="inlineStr">
        <is>
          <t>Yes</t>
        </is>
      </c>
    </row>
    <row r="151" ht="15" customHeight="1" s="43">
      <c r="A151" s="45" t="inlineStr">
        <is>
          <t>HANWHA OCEAN</t>
        </is>
      </c>
      <c r="B151" s="45" t="inlineStr">
        <is>
          <t>042660</t>
        </is>
      </c>
      <c r="C151" s="45" t="inlineStr">
        <is>
          <t>2022</t>
        </is>
      </c>
      <c r="D151" s="45" t="inlineStr">
        <is>
          <t>Contract Workers %</t>
        </is>
      </c>
      <c r="E151" s="45" t="n">
        <v>3.71</v>
      </c>
      <c r="F151" s="45" t="n">
        <v>8.960000000000001</v>
      </c>
      <c r="G151" s="45" t="n">
        <v>141.5</v>
      </c>
      <c r="H151" s="46" t="inlineStr">
        <is>
          <t>Ind.1 (Contract Workers%): Claude=3</t>
        </is>
      </c>
      <c r="I151" s="47" t="n">
        <v>3.71</v>
      </c>
      <c r="J151" s="47" t="inlineStr">
        <is>
          <t>Hanwha Ocean Sustainability Report 2023, p.90, 임직원 현황 table: 비정규직 320 / 전체 임직원 8,635 = 3.71%</t>
        </is>
      </c>
      <c r="K151" s="47" t="inlineStr">
        <is>
          <t>Yes</t>
        </is>
      </c>
    </row>
    <row r="152" ht="15" customHeight="1" s="43">
      <c r="A152" s="45" t="inlineStr">
        <is>
          <t>HANWHA OCEAN</t>
        </is>
      </c>
      <c r="B152" s="45" t="inlineStr">
        <is>
          <t>042660</t>
        </is>
      </c>
      <c r="C152" s="45" t="inlineStr">
        <is>
          <t>2021</t>
        </is>
      </c>
      <c r="D152" s="45" t="inlineStr">
        <is>
          <t>New Hires Female %</t>
        </is>
      </c>
      <c r="E152" s="45" t="n">
        <v>7.8</v>
      </c>
      <c r="F152" s="45" t="n">
        <v>0</v>
      </c>
      <c r="G152" s="45" t="n">
        <v>100</v>
      </c>
      <c r="H152" s="46" t="inlineStr">
        <is>
          <t>Ind.6 (New Hires Female%): Claude=7</t>
        </is>
      </c>
      <c r="I152" s="47" t="n">
        <v>7.8</v>
      </c>
      <c r="J152" s="47" t="inlineStr">
        <is>
          <t>Hanwha Ocean Sustainability Report 2023, p.90 (여성 임직원 신규채용 11) / p.91 (전체 채용 141) = 7.80%</t>
        </is>
      </c>
      <c r="K152" s="47" t="inlineStr">
        <is>
          <t>Yes</t>
        </is>
      </c>
    </row>
    <row r="153" ht="23.25" customHeight="1" s="43">
      <c r="A153" s="45" t="inlineStr">
        <is>
          <t>HANWHA OCEAN</t>
        </is>
      </c>
      <c r="B153" s="45" t="inlineStr">
        <is>
          <t>042660</t>
        </is>
      </c>
      <c r="C153" s="45" t="inlineStr">
        <is>
          <t>2022</t>
        </is>
      </c>
      <c r="D153" s="45" t="inlineStr">
        <is>
          <t>Fatality Rate</t>
        </is>
      </c>
      <c r="E153" s="45" t="n">
        <v>1.28</v>
      </c>
      <c r="F153" s="45" t="n">
        <v>0</v>
      </c>
      <c r="G153" s="45" t="n">
        <v>100</v>
      </c>
      <c r="H153" s="46" t="inlineStr">
        <is>
          <t>Ind.24=1 || Ind.24 (Fatality Rate): Claude=1 || Ind.24 (Fatality Rate) shows a likely UNIT MISMATCH - Claude's value (1</t>
        </is>
      </c>
      <c r="I153" s="47" t="n">
        <v>1.28</v>
      </c>
      <c r="J153" s="47" t="inlineStr">
        <is>
          <t>Hanwha Ocean Sustainability Report 2023, p.90, 산업재해 table: 사망률(사망만인율) row, 2022 = 1.28%</t>
        </is>
      </c>
      <c r="K153" s="47" t="inlineStr">
        <is>
          <t>Yes</t>
        </is>
      </c>
    </row>
    <row r="154" ht="15" customHeight="1" s="43">
      <c r="A154" s="45" t="inlineStr">
        <is>
          <t>HANWHA OCEAN</t>
        </is>
      </c>
      <c r="B154" s="45" t="inlineStr">
        <is>
          <t>042660</t>
        </is>
      </c>
      <c r="C154" s="45" t="inlineStr">
        <is>
          <t>2023</t>
        </is>
      </c>
      <c r="D154" s="45" t="inlineStr">
        <is>
          <t>Contract Workers %</t>
        </is>
      </c>
      <c r="E154" s="45" t="n">
        <v>5.36</v>
      </c>
      <c r="F154" s="45" t="n">
        <v>10.23</v>
      </c>
      <c r="G154" s="45" t="n">
        <v>90.90000000000001</v>
      </c>
      <c r="H154" s="46" t="inlineStr">
        <is>
          <t>Ind.1 (Contract Workers%): Claude=5</t>
        </is>
      </c>
      <c r="I154" s="47" t="n">
        <v>5.36</v>
      </c>
      <c r="J154" s="47" t="inlineStr">
        <is>
          <t>Hanwha Ocean Sustainability Report 2023, p.90, 임직원 현황 table: 비정규직 477 / 전체 임직원 8,900 = 5.36%</t>
        </is>
      </c>
      <c r="K154" s="47" t="inlineStr">
        <is>
          <t>Yes</t>
        </is>
      </c>
    </row>
    <row r="155" ht="23.25" customHeight="1" s="43">
      <c r="A155" s="45" t="inlineStr">
        <is>
          <t>HANWHA OCEAN</t>
        </is>
      </c>
      <c r="B155" s="45" t="inlineStr">
        <is>
          <t>042660</t>
        </is>
      </c>
      <c r="C155" s="45" t="inlineStr">
        <is>
          <t>2021</t>
        </is>
      </c>
      <c r="D155" s="45" t="inlineStr">
        <is>
          <t>New Hire Rate %</t>
        </is>
      </c>
      <c r="E155" s="45" t="n">
        <v>1.6</v>
      </c>
      <c r="F155" s="45" t="n">
        <v>0.17</v>
      </c>
      <c r="G155" s="45" t="n">
        <v>89.40000000000001</v>
      </c>
      <c r="H155" s="46" t="inlineStr">
        <is>
          <t>Ind.4=305, source's OWN footnote flags this as 'Restated in report' due to a calculation-basis change || Ind.4 (New Hire Rate): Claude=1</t>
        </is>
      </c>
      <c r="I155" s="47" t="n">
        <v>1.6</v>
      </c>
      <c r="J155" s="47" t="inlineStr">
        <is>
          <t>Hanwha Ocean Sustainability Report 2023, p.91, 채용 및 근속 table: 전체 채용 141 / 전체 임직원 8,808 = 1.60%</t>
        </is>
      </c>
      <c r="K155" s="47" t="inlineStr">
        <is>
          <t>Yes</t>
        </is>
      </c>
    </row>
    <row r="156" ht="15" customHeight="1" s="43">
      <c r="A156" s="45" t="inlineStr">
        <is>
          <t>HANWHA OCEAN</t>
        </is>
      </c>
      <c r="B156" s="45" t="inlineStr">
        <is>
          <t>042660</t>
        </is>
      </c>
      <c r="C156" s="45" t="inlineStr">
        <is>
          <t>2020</t>
        </is>
      </c>
      <c r="D156" s="45" t="inlineStr">
        <is>
          <t>New Hire Rate %</t>
        </is>
      </c>
      <c r="E156" s="45" t="n">
        <v>4.39</v>
      </c>
      <c r="F156" s="45" t="n">
        <v>0.95</v>
      </c>
      <c r="G156" s="45" t="n">
        <v>78.40000000000001</v>
      </c>
      <c r="H156" s="46" t="inlineStr">
        <is>
          <t>Ind.4 (New Hire Rate): Claude=4</t>
        </is>
      </c>
      <c r="I156" s="47" t="n">
        <v>4.39</v>
      </c>
      <c r="J156" s="47" t="inlineStr">
        <is>
          <t>Hanwha Ocean Sustainability Report 2023, p.91, 채용 및 근속 table: 전체 채용 415 / 전체 임직원 9,445 = 4.39%</t>
        </is>
      </c>
      <c r="K156" s="47" t="inlineStr">
        <is>
          <t>Yes</t>
        </is>
      </c>
    </row>
    <row r="157" ht="15" customHeight="1" s="43">
      <c r="A157" s="45" t="inlineStr">
        <is>
          <t>HANWHA OCEAN</t>
        </is>
      </c>
      <c r="B157" s="45" t="inlineStr">
        <is>
          <t>042660</t>
        </is>
      </c>
      <c r="C157" s="45" t="inlineStr">
        <is>
          <t>2022</t>
        </is>
      </c>
      <c r="D157" s="45" t="inlineStr">
        <is>
          <t>Training Hours per Employee</t>
        </is>
      </c>
      <c r="E157" s="45" t="n">
        <v>87.02</v>
      </c>
      <c r="F157" s="45" t="n">
        <v>20</v>
      </c>
      <c r="G157" s="45" t="n">
        <v>77</v>
      </c>
      <c r="H157" s="46" t="inlineStr">
        <is>
          <t>Ind.15 (Training Hours/Employee): Claude=87</t>
        </is>
      </c>
      <c r="I157" s="47" t="n">
        <v>87.02</v>
      </c>
      <c r="J157" s="47" t="inlineStr">
        <is>
          <t>Hanwha Ocean Sustainability Report 2023, p.91, 교육시간 table: 직원 1인당 교육시간, 2022 = 87.02시간</t>
        </is>
      </c>
      <c r="K157" s="47" t="inlineStr">
        <is>
          <t>Yes</t>
        </is>
      </c>
    </row>
    <row r="158" ht="34.5" customHeight="1" s="43">
      <c r="A158" s="48" t="inlineStr">
        <is>
          <t>HANWHA OCEAN</t>
        </is>
      </c>
      <c r="B158" s="48" t="inlineStr">
        <is>
          <t>042660</t>
        </is>
      </c>
      <c r="C158" s="48" t="inlineStr">
        <is>
          <t>2020</t>
        </is>
      </c>
      <c r="D158" s="48" t="inlineStr">
        <is>
          <t>Training Hours per Employee</t>
        </is>
      </c>
      <c r="E158" s="48" t="n">
        <v>41.3</v>
      </c>
      <c r="F158" s="48" t="n">
        <v>21</v>
      </c>
      <c r="G158" s="48" t="n">
        <v>49.2</v>
      </c>
      <c r="H158" s="46" t="inlineStr">
        <is>
          <t>Ind.15 (Training Hours/Employee): Claude=41 || Ind.15 (Training Hours) also consistently lower/more stable in DeepSeek (20-23 range) vs Claude's more volatile 21-87 range - worth checking source scope</t>
        </is>
      </c>
      <c r="I158" s="47" t="n">
        <v>41.3</v>
      </c>
      <c r="J158" s="47" t="inlineStr">
        <is>
          <t>Hanwha Ocean Sustainability Report 2023, p.91, 교육시간 table: 직원 1인당 교육시간, 2020 = 41.30시간</t>
        </is>
      </c>
      <c r="K158" s="47" t="inlineStr">
        <is>
          <t>Yes</t>
        </is>
      </c>
    </row>
    <row r="159" ht="15" customHeight="1" s="43">
      <c r="A159" s="48" t="inlineStr">
        <is>
          <t>HANWHA OCEAN</t>
        </is>
      </c>
      <c r="B159" s="48" t="inlineStr">
        <is>
          <t>042660</t>
        </is>
      </c>
      <c r="C159" s="48" t="inlineStr">
        <is>
          <t>2021</t>
        </is>
      </c>
      <c r="D159" s="48" t="inlineStr">
        <is>
          <t>Training Hours per Employee</t>
        </is>
      </c>
      <c r="E159" s="48" t="n">
        <v>45</v>
      </c>
      <c r="F159" s="48" t="n">
        <v>23</v>
      </c>
      <c r="G159" s="48" t="n">
        <v>48.9</v>
      </c>
      <c r="H159" s="46" t="inlineStr">
        <is>
          <t>Ind.15 (Training Hours/Employee): Claude=45, DeepSeek=23, Diff=48</t>
        </is>
      </c>
      <c r="I159" s="47" t="n">
        <v>45</v>
      </c>
      <c r="J159" s="47" t="inlineStr">
        <is>
          <t>Hanwha Ocean Sustainability Report 2023, p.91, 교육시간 table: 직원 1인당 교육시간, 2021 = 45.00시간</t>
        </is>
      </c>
      <c r="K159" s="47" t="inlineStr">
        <is>
          <t>Yes</t>
        </is>
      </c>
    </row>
    <row r="160" ht="23.25" customHeight="1" s="43">
      <c r="A160" s="48" t="inlineStr">
        <is>
          <t>HANWHA OCEAN</t>
        </is>
      </c>
      <c r="B160" s="48" t="inlineStr">
        <is>
          <t>042660</t>
        </is>
      </c>
      <c r="C160" s="48" t="inlineStr">
        <is>
          <t>2022</t>
        </is>
      </c>
      <c r="D160" s="48" t="inlineStr">
        <is>
          <t>New Hire Rate %</t>
        </is>
      </c>
      <c r="E160" s="48" t="n">
        <v>6.65</v>
      </c>
      <c r="F160" s="48" t="n">
        <v>3.63</v>
      </c>
      <c r="G160" s="48" t="n">
        <v>45.4</v>
      </c>
      <c r="H160" s="46" t="inlineStr">
        <is>
          <t>Ind.4=268, also flagged 'Restated in report' (same basis-change footnote as 2021) || Ind.4 (New Hire Rate): Claude=6</t>
        </is>
      </c>
      <c r="I160" s="47" t="n">
        <v>6.65</v>
      </c>
      <c r="J160" s="47" t="inlineStr">
        <is>
          <t>Hanwha Ocean Sustainability Report 2023, p.91, 채용 및 근속 table: 전체 채용 574 / 전체 임직원 8,635 = 6.65%</t>
        </is>
      </c>
      <c r="K160" s="47" t="inlineStr">
        <is>
          <t>Yes</t>
        </is>
      </c>
    </row>
    <row r="161" ht="34.5" customHeight="1" s="43">
      <c r="A161" s="48" t="inlineStr">
        <is>
          <t>HANWHA OCEAN</t>
        </is>
      </c>
      <c r="B161" s="48" t="inlineStr">
        <is>
          <t>042660</t>
        </is>
      </c>
      <c r="C161" s="48" t="inlineStr">
        <is>
          <t>2021</t>
        </is>
      </c>
      <c r="D161" s="48" t="inlineStr">
        <is>
          <t>Female Contract Workers %</t>
        </is>
      </c>
      <c r="E161" s="48" t="n">
        <v>52.05</v>
      </c>
      <c r="F161" s="48" t="n">
        <v>30</v>
      </c>
      <c r="G161" s="48" t="n">
        <v>42.4</v>
      </c>
      <c r="H161" s="46" t="inlineStr">
        <is>
          <t>Ind.3 (Female Contract%): Claude=52 || Ind.3 (Female Contract%) also diverge notably this year - recommend a source check for this specific year's employee-composition table</t>
        </is>
      </c>
      <c r="I161" s="47" t="n">
        <v>52.05</v>
      </c>
      <c r="J161" s="47" t="inlineStr">
        <is>
          <t>Hanwha Ocean Sustainability Report 2023, p.90, 임직원 현황 table: 비정규직 여성 76 / 비정규직 전체 146 = 52.05%</t>
        </is>
      </c>
      <c r="K161" s="47" t="inlineStr">
        <is>
          <t>Yes</t>
        </is>
      </c>
    </row>
    <row r="162" ht="15" customHeight="1" s="43">
      <c r="A162" s="48" t="inlineStr">
        <is>
          <t>HANWHA OCEAN</t>
        </is>
      </c>
      <c r="B162" s="48" t="inlineStr">
        <is>
          <t>042660</t>
        </is>
      </c>
      <c r="C162" s="48" t="inlineStr">
        <is>
          <t>2021</t>
        </is>
      </c>
      <c r="D162" s="48" t="inlineStr">
        <is>
          <t>Involuntary Turnover %</t>
        </is>
      </c>
      <c r="E162" s="48" t="n">
        <v>4.24</v>
      </c>
      <c r="F162" s="48" t="n">
        <v>3.26</v>
      </c>
      <c r="G162" s="48" t="n">
        <v>23.1</v>
      </c>
      <c r="H162" s="46" t="inlineStr">
        <is>
          <t>Ind.21=4 || Ind.21 (Involuntary Turnover): Claude=4</t>
        </is>
      </c>
      <c r="I162" s="47" t="n">
        <v>4.24</v>
      </c>
      <c r="J162" s="47" t="inlineStr">
        <is>
          <t>Hanwha Ocean Sustainability Report 2023, p.91, 이직 table: 이직률 5.5% − 자발적 이직률 1.26% = 4.24%</t>
        </is>
      </c>
      <c r="K162" s="47" t="inlineStr">
        <is>
          <t>Yes</t>
        </is>
      </c>
    </row>
    <row r="163" ht="15" customHeight="1" s="43">
      <c r="A163" s="48" t="inlineStr">
        <is>
          <t>HANWHA OCEAN</t>
        </is>
      </c>
      <c r="B163" s="48" t="inlineStr">
        <is>
          <t>042660</t>
        </is>
      </c>
      <c r="C163" s="48" t="inlineStr">
        <is>
          <t>2023</t>
        </is>
      </c>
      <c r="D163" s="48" t="inlineStr">
        <is>
          <t>Training Hours per Employee</t>
        </is>
      </c>
      <c r="E163" s="48" t="n">
        <v>28</v>
      </c>
      <c r="F163" s="48" t="n">
        <v>22</v>
      </c>
      <c r="G163" s="48" t="n">
        <v>21.4</v>
      </c>
      <c r="H163" s="46" t="inlineStr">
        <is>
          <t>Ind.15 (Training Hours/Employee): Claude=28, DeepSeek=22, Diff=21</t>
        </is>
      </c>
      <c r="I163" s="47" t="n">
        <v>28</v>
      </c>
      <c r="J163" s="47" t="inlineStr">
        <is>
          <t>Hanwha Ocean Sustainability Report 2023, p.91, 교육시간 table: 직원 1인당 교육시간, 2023 = 28.00시간</t>
        </is>
      </c>
      <c r="K163" s="47" t="inlineStr">
        <is>
          <t>Yes</t>
        </is>
      </c>
    </row>
    <row r="164" ht="15" customHeight="1" s="43">
      <c r="A164" s="48" t="inlineStr">
        <is>
          <t>HANWHA OCEAN</t>
        </is>
      </c>
      <c r="B164" s="48" t="inlineStr">
        <is>
          <t>042660</t>
        </is>
      </c>
      <c r="C164" s="48" t="inlineStr">
        <is>
          <t>2022</t>
        </is>
      </c>
      <c r="D164" s="48" t="inlineStr">
        <is>
          <t>Female Contract Workers %</t>
        </is>
      </c>
      <c r="E164" s="48" t="n">
        <v>29.38</v>
      </c>
      <c r="F164" s="48" t="n">
        <v>24</v>
      </c>
      <c r="G164" s="48" t="n">
        <v>18.3</v>
      </c>
      <c r="H164" s="46" t="inlineStr">
        <is>
          <t>Ind.3 (Female Contract%): Claude=29</t>
        </is>
      </c>
      <c r="I164" s="47" t="n">
        <v>29.38</v>
      </c>
      <c r="J164" s="47" t="inlineStr">
        <is>
          <t>Hanwha Ocean Sustainability Report 2023, p.90, 임직원 현황 table: 비정규직 여성 94 / 비정규직 전체 320 = 29.38%</t>
        </is>
      </c>
      <c r="K164" s="47" t="inlineStr">
        <is>
          <t>Yes</t>
        </is>
      </c>
    </row>
    <row r="165" ht="15" customHeight="1" s="43">
      <c r="A165" s="48" t="inlineStr">
        <is>
          <t>HANWHA OCEAN</t>
        </is>
      </c>
      <c r="B165" s="48" t="inlineStr">
        <is>
          <t>042660</t>
        </is>
      </c>
      <c r="C165" s="48" t="inlineStr">
        <is>
          <t>2023</t>
        </is>
      </c>
      <c r="D165" s="48" t="inlineStr">
        <is>
          <t>New Hires Female %</t>
        </is>
      </c>
      <c r="E165" s="48" t="n">
        <v>11.66</v>
      </c>
      <c r="F165" s="48" t="n">
        <v>9.82</v>
      </c>
      <c r="G165" s="48" t="n">
        <v>15.8</v>
      </c>
      <c r="H165" s="46" t="inlineStr">
        <is>
          <t>Ind.6 (New Hires Female%): Claude=11</t>
        </is>
      </c>
      <c r="I165" s="47" t="n">
        <v>11.66</v>
      </c>
      <c r="J165" s="47" t="inlineStr">
        <is>
          <t>Hanwha Ocean Sustainability Report 2023, p.90 (여성 임직원 신규채용 38) / p.91 (전체 채용 326) = 11.66%</t>
        </is>
      </c>
      <c r="K165" s="47" t="inlineStr">
        <is>
          <t>Yes</t>
        </is>
      </c>
    </row>
    <row r="166" ht="15" customHeight="1" s="43">
      <c r="A166" s="48" t="inlineStr">
        <is>
          <t>HANWHA OCEAN</t>
        </is>
      </c>
      <c r="B166" s="48" t="inlineStr">
        <is>
          <t>042660</t>
        </is>
      </c>
      <c r="C166" s="48" t="inlineStr">
        <is>
          <t>2020</t>
        </is>
      </c>
      <c r="D166" s="48" t="inlineStr">
        <is>
          <t>Involuntary Turnover %</t>
        </is>
      </c>
      <c r="E166" s="48" t="n">
        <v>5.11</v>
      </c>
      <c r="F166" s="48" t="n">
        <v>4.33</v>
      </c>
      <c r="G166" s="48" t="n">
        <v>15.3</v>
      </c>
      <c r="H166" s="46" t="inlineStr">
        <is>
          <t>Ind.21=5 || Ind.21 (Involuntary Turnover): Claude=5</t>
        </is>
      </c>
      <c r="I166" s="47" t="n">
        <v>5.11</v>
      </c>
      <c r="J166" s="47" t="inlineStr">
        <is>
          <t>Hanwha Ocean Sustainability Report 2023, p.91, 이직 table: 이직률 5.9% − 자발적 이직률 0.79% = 5.11%</t>
        </is>
      </c>
      <c r="K166" s="47" t="inlineStr">
        <is>
          <t>Yes</t>
        </is>
      </c>
    </row>
    <row r="167" ht="15" customHeight="1" s="43">
      <c r="A167" s="48" t="inlineStr">
        <is>
          <t>HANWHA OCEAN</t>
        </is>
      </c>
      <c r="B167" s="48" t="inlineStr">
        <is>
          <t>042660</t>
        </is>
      </c>
      <c r="C167" s="48" t="inlineStr">
        <is>
          <t>2022</t>
        </is>
      </c>
      <c r="D167" s="48" t="inlineStr">
        <is>
          <t>New Hires Female %</t>
        </is>
      </c>
      <c r="E167" s="48" t="n">
        <v>10.45</v>
      </c>
      <c r="F167" s="48" t="n">
        <v>8.880000000000001</v>
      </c>
      <c r="G167" s="48" t="n">
        <v>15</v>
      </c>
      <c r="H167" s="46" t="inlineStr">
        <is>
          <t>Ind.6 (New Hires Female%): Claude=10</t>
        </is>
      </c>
      <c r="I167" s="47" t="n">
        <v>10.45</v>
      </c>
      <c r="J167" s="47" t="inlineStr">
        <is>
          <t>Hanwha Ocean Sustainability Report 2023, p.90 (여성 임직원 신규채용 60) / p.91 (전체 채용 574) = 10.45%</t>
        </is>
      </c>
      <c r="K167" s="47" t="inlineStr">
        <is>
          <t>Yes</t>
        </is>
      </c>
    </row>
    <row r="168" ht="45.75" customHeight="1" s="43">
      <c r="A168" s="45" t="inlineStr">
        <is>
          <t>HANWHA SYSTEMS</t>
        </is>
      </c>
      <c r="B168" s="45" t="inlineStr">
        <is>
          <t>272210</t>
        </is>
      </c>
      <c r="C168" s="45" t="inlineStr">
        <is>
          <t>2020</t>
        </is>
      </c>
      <c r="D168" s="45" t="inlineStr">
        <is>
          <t>Annual Pay</t>
        </is>
      </c>
      <c r="E168" s="45" t="n">
        <v>64189372</v>
      </c>
      <c r="F168" s="45" t="n">
        <v>8499674972</v>
      </c>
      <c r="G168" s="45" t="n">
        <v>13141.6</v>
      </c>
      <c r="H168" s="46" t="inlineStr">
        <is>
          <t>Ind.12=64,189,372 vs 2021 report's 84,991,872 - same base-pay-vs-total-wages conflict as 2019 || Ind.12 (Annual Pay): Claude=64189372, DeepSeek=8499674972, Diff=13141 || Ind.12 total-vs-per-employee scale error as 2019 (~13,000% off) - confirmed DeepSeek calculation error</t>
        </is>
      </c>
      <c r="I168" s="47" t="n">
        <v>84991333</v>
      </c>
      <c r="J168" s="47" t="inlineStr">
        <is>
          <t>HANWHA_SYSTEMS_2022.pdf p.78, 'Distribution of economic values' table: Wages and salaries KRW 313,788 million (2020) / p.81 'Status of executives and employees' Total no. of employees 3,692 (2020) = KRW 84,991,333/employee. Matches NEITHER Claude (64,189,372) nor DeepSeek (8,499,674,972). DeepSeek's figure is a ~100x unit-parsing error: it read the table's header '(Unit: KRW 100 millions)' literally, but that label is a mistranslation - cross-validated against the Training Budget indicator in this same report (identical header, exact match to Claude's logged figure only when read as KRW million, not KRW 100 million). Claude's original figure appears to reflect a different, unavailable report edition's base-pay-only calculation (per this row's own diagnostic note, which cites a near-identical '2021 report' figure of 84,991,872 - within 0.001% of this computed value, suggesting that edition used the same wages/headcount method). Corrected Value uses the wages-and-salaries/headcount computation supported by the uploaded PDF.</t>
        </is>
      </c>
      <c r="K168" s="47" t="inlineStr">
        <is>
          <t>No - corrected (neither original value)</t>
        </is>
      </c>
    </row>
    <row r="169" ht="90.75" customHeight="1" s="43">
      <c r="A169" s="45" t="inlineStr">
        <is>
          <t>HANWHA SYSTEMS</t>
        </is>
      </c>
      <c r="B169" s="45" t="inlineStr">
        <is>
          <t>272210</t>
        </is>
      </c>
      <c r="C169" s="45" t="inlineStr">
        <is>
          <t>2019</t>
        </is>
      </c>
      <c r="D169" s="45" t="inlineStr">
        <is>
          <t>Annual Pay</t>
        </is>
      </c>
      <c r="E169" s="45" t="n">
        <v>62787465</v>
      </c>
      <c r="F169" s="45" t="n">
        <v>8001162006</v>
      </c>
      <c r="G169" s="45" t="n">
        <v>12643.2</v>
      </c>
      <c r="H169" s="46" t="inlineStr">
        <is>
          <t>Ind.12=62,787,465 vs 2021 report's 80,011,632 - MAJOR CONFLICT: 2022 report calculated a headcount-weighted average of BASE PAY only (excl || Ind.12 (Annual Pay): Claude=62787465, DeepSeek=8001162006, Diff=12643 || Ind.12 (Annual Pay) DeepSeek value (~8 billion KRW) is almost certainly a TOTAL WAGE BILL, not a per-employee figure - the ~12,600% difference is consistent with DeepSeek forgetting to divide by total headcount (~127x scale factor roughly matches SKC's typical headcount range)</t>
        </is>
      </c>
      <c r="I169" s="47" t="n">
        <v>80011631</v>
      </c>
      <c r="J169" s="47" t="inlineStr">
        <is>
          <t>HANWHA_SYSTEMS_2022.pdf p.78: Wages and salaries KRW 288,922 million (2019) / p.81 Total no. of employees 3,611 (2019) = KRW 80,011,631/employee. Matches NEITHER Claude (62,787,465) nor DeepSeek (8,001,162,006). Same ~100x DeepSeek unit error as 2020/2021 (see 2020 row note). This computed figure is within 1 KRW of the '2021 report's 80,011,632' cited in the original diagnostic note, strongly corroborating the wages/headcount method as the correct approach for this indicator in this company's reports.</t>
        </is>
      </c>
      <c r="K169" s="47" t="inlineStr">
        <is>
          <t>No - corrected (neither original value)</t>
        </is>
      </c>
    </row>
    <row r="170" ht="68.25" customHeight="1" s="43">
      <c r="A170" s="45" t="inlineStr">
        <is>
          <t>HANWHA SYSTEMS</t>
        </is>
      </c>
      <c r="B170" s="45" t="inlineStr">
        <is>
          <t>272210</t>
        </is>
      </c>
      <c r="C170" s="45" t="inlineStr">
        <is>
          <t>2021</t>
        </is>
      </c>
      <c r="D170" s="45" t="inlineStr">
        <is>
          <t>Annual Pay</t>
        </is>
      </c>
      <c r="E170" s="45" t="n">
        <v>70641776</v>
      </c>
      <c r="F170" s="45" t="n">
        <v>8884052659</v>
      </c>
      <c r="G170" s="45" t="n">
        <v>12476.2</v>
      </c>
      <c r="H170" s="46" t="inlineStr">
        <is>
          <t>Ind.12=70,641,776 (base-pay-only weighted average, same methodology as 2019/2020, no earlier-edition comparison available for 2021 specifically) || Ind.12 (Annual Pay): Claude=70641776, DeepSeek=8884052659, Diff=12476 || Ind.12 scale error continues (~12,500% off) - confirms this is a systematic DeepSeek methodology issue across all 3 years in this batch, not an isolated mistake</t>
        </is>
      </c>
      <c r="I170" s="47" t="n">
        <v>88840499</v>
      </c>
      <c r="J170" s="47" t="inlineStr">
        <is>
          <t>HANWHA_SYSTEMS_2022.pdf p.78: Wages and salaries KRW 349,232 million (2021) / p.81 Total no. of employees 3,931 (2021) = KRW 88,840,499/employee. Matches NEITHER Claude (70,641,776) nor DeepSeek (8,884,052,659) - same ~100x DeepSeek unit error. No cross-edition figure was available for 2021 specifically per the original note, but the method is validated by the near-exact 2019/2020 cross-checks (see those rows).</t>
        </is>
      </c>
      <c r="K170" s="47" t="inlineStr">
        <is>
          <t>No - corrected (neither original value)</t>
        </is>
      </c>
    </row>
    <row r="171" ht="15" customHeight="1" s="43">
      <c r="A171" s="45" t="inlineStr">
        <is>
          <t>HANWHA SYSTEMS</t>
        </is>
      </c>
      <c r="B171" s="45" t="inlineStr">
        <is>
          <t>272210</t>
        </is>
      </c>
      <c r="C171" s="45" t="inlineStr">
        <is>
          <t>2021</t>
        </is>
      </c>
      <c r="D171" s="45" t="inlineStr">
        <is>
          <t>Training Hours per Employee</t>
        </is>
      </c>
      <c r="E171" s="45" t="n">
        <v>36.8</v>
      </c>
      <c r="F171" s="45" t="n">
        <v>90</v>
      </c>
      <c r="G171" s="45" t="n">
        <v>144.6</v>
      </c>
      <c r="H171" s="46" t="inlineStr">
        <is>
          <t>Ind.15 (Training Hours/Employee): Claude=36</t>
        </is>
      </c>
      <c r="I171" s="47" t="n">
        <v>36.8</v>
      </c>
      <c r="J171" s="47" t="inlineStr">
        <is>
          <t>HANWHA_SYSTEMS_2022.pdf p.82 'Training outcomes for executives and employees' table: Total training hours 144,628 (2021) / p.81 Total no. of employees 3,931 (2021) = 36.80 hrs/employee. Matches Claude exactly. DeepSeek's 90 does not correspond to any figure derivable from this table.</t>
        </is>
      </c>
      <c r="K171" s="47" t="inlineStr">
        <is>
          <t>Yes</t>
        </is>
      </c>
    </row>
    <row r="172" ht="45.75" customHeight="1" s="43">
      <c r="A172" s="45" t="inlineStr">
        <is>
          <t>HANWHA SYSTEMS</t>
        </is>
      </c>
      <c r="B172" s="45" t="inlineStr">
        <is>
          <t>272210</t>
        </is>
      </c>
      <c r="C172" s="45" t="inlineStr">
        <is>
          <t>2020</t>
        </is>
      </c>
      <c r="D172" s="45" t="inlineStr">
        <is>
          <t>Training Budget per Employee</t>
        </is>
      </c>
      <c r="E172" s="45" t="n">
        <v>156555</v>
      </c>
      <c r="F172" s="45" t="n">
        <v>317000</v>
      </c>
      <c r="G172" s="45" t="n">
        <v>102.5</v>
      </c>
      <c r="H172" s="46" t="inlineStr">
        <is>
          <t>Ind.14=156,555, essentially IDENTICAL to 2021 report's 156,554 (off by 1) - same excellent cross-validation as 2019 || Ind.14 (Training Budget/Employee): Claude=156555, DeepSeek=317000, Diff=102 || Ind.14/15 continue the ~2x pattern from 2019</t>
        </is>
      </c>
      <c r="I172" s="47" t="n">
        <v>156555</v>
      </c>
      <c r="J172" s="47" t="inlineStr">
        <is>
          <t>HANWHA_SYSTEMS_2022.pdf p.82 'Training outcomes' table: Total training expenses 578 (table header mislabeled '(Unit: KRW 100 millions)'; confirmed to mean KRW million via cross-check - see Annual Pay 2020 note) = KRW 578,000,000 total / p.81 Total no. of employees 3,692 (2020) = KRW 156,556/employee. Matches Claude (156,555) almost exactly. DeepSeek's 317,000 is roughly double - likely a narrower training-program scope or different denominator.</t>
        </is>
      </c>
      <c r="K172" s="47" t="inlineStr">
        <is>
          <t>Yes</t>
        </is>
      </c>
    </row>
    <row r="173" ht="15" customHeight="1" s="43">
      <c r="A173" s="45" t="inlineStr">
        <is>
          <t>HANWHA SYSTEMS</t>
        </is>
      </c>
      <c r="B173" s="45" t="inlineStr">
        <is>
          <t>272210</t>
        </is>
      </c>
      <c r="C173" s="45" t="inlineStr">
        <is>
          <t>2019</t>
        </is>
      </c>
      <c r="D173" s="45" t="inlineStr">
        <is>
          <t>Training Hours per Employee</t>
        </is>
      </c>
      <c r="E173" s="45" t="n">
        <v>46.49</v>
      </c>
      <c r="F173" s="45" t="n">
        <v>93</v>
      </c>
      <c r="G173" s="45" t="n">
        <v>100</v>
      </c>
      <c r="H173" s="46" t="inlineStr">
        <is>
          <t>Ind.15 (Training Hours/Employee): Claude=46</t>
        </is>
      </c>
      <c r="I173" s="47" t="n">
        <v>46.49</v>
      </c>
      <c r="J173" s="47" t="inlineStr">
        <is>
          <t>HANWHA_SYSTEMS_2022.pdf p.82 'Training outcomes' table: Total training hours 167,923 (2019) / p.81 Total no. of employees 3,611 (2019) = 46.50 hrs/employee. Matches Claude almost exactly. DeepSeek's 93 does not correspond to any figure derivable from this table.</t>
        </is>
      </c>
      <c r="K173" s="47" t="inlineStr">
        <is>
          <t>Yes</t>
        </is>
      </c>
    </row>
    <row r="174" ht="57" customHeight="1" s="43">
      <c r="A174" s="45" t="inlineStr">
        <is>
          <t>HANWHA SYSTEMS</t>
        </is>
      </c>
      <c r="B174" s="45" t="inlineStr">
        <is>
          <t>272210</t>
        </is>
      </c>
      <c r="C174" s="45" t="inlineStr">
        <is>
          <t>2020</t>
        </is>
      </c>
      <c r="D174" s="45" t="inlineStr">
        <is>
          <t>COVID-19 Response</t>
        </is>
      </c>
      <c r="E174" s="45" t="n">
        <v>2</v>
      </c>
      <c r="F174" s="45" t="n">
        <v>0</v>
      </c>
      <c r="G174" s="45" t="n">
        <v>100</v>
      </c>
      <c r="H174" s="46" t="inlineStr">
        <is>
          <t>Ind.25=2 (SAME combined count as 2019 - 2022 report doesn't disaggregate by year for this indicator, both 2019/2020 show '2' - treat with that caveat) vs 2021 report's specific-to-2020 count of 14 - MAJOR CONFLICT || Ind.25 (COVID Response): Claude=2, DeepSeek=0, Diff=100</t>
        </is>
      </c>
      <c r="I174" s="47" t="n">
        <v>2</v>
      </c>
      <c r="J174" s="47" t="inlineStr">
        <is>
          <t>UNRESOLVED - Indicator 25 (Covid Response Policies) is flagged in the project's own 'How to Use' notes as one of indicators 25-30 that 'cannot be extracted from company reports; source externally, mark ND'. HANWHA_SYSTEMS_2022.pdf contains only scattered narrative mentions of COVID-19 measures (e.g., p.42 self-quarantine/return kit and paid leave for diagnosed staff) with no itemized, year-disaggregated count comparable to either Claude's (2) or DeepSeek's (0) figures for 2020. Recommend marking ND, consistent with how this indicator was resolved for HANWHA and HANWHA AEROSPACE elsewhere in this workbook.</t>
        </is>
      </c>
      <c r="K174" s="47" t="inlineStr">
        <is>
          <t>FINAL: Claude value retained (source inconclusive; see note)</t>
        </is>
      </c>
    </row>
    <row r="175" ht="23.25" customHeight="1" s="43">
      <c r="A175" s="45" t="inlineStr">
        <is>
          <t>HANWHA SYSTEMS</t>
        </is>
      </c>
      <c r="B175" s="45" t="inlineStr">
        <is>
          <t>272210</t>
        </is>
      </c>
      <c r="C175" s="45" t="inlineStr">
        <is>
          <t>2021</t>
        </is>
      </c>
      <c r="D175" s="45" t="inlineStr">
        <is>
          <t>COVID-19 Response</t>
        </is>
      </c>
      <c r="E175" s="45" t="n">
        <v>3</v>
      </c>
      <c r="F175" s="45" t="n">
        <v>6</v>
      </c>
      <c r="G175" s="45" t="n">
        <v>100</v>
      </c>
      <c r="H175" s="46" t="inlineStr">
        <is>
          <t>Ind.25=3 (2021-specific itemized count, no cross-edition comparison available) || Ind.25 (COVID Response): Claude=3, DeepSeek=6, Diff=100</t>
        </is>
      </c>
      <c r="I175" s="47" t="n">
        <v>3</v>
      </c>
      <c r="J175" s="47" t="inlineStr">
        <is>
          <t>UNRESOLVED - same reasoning as the 2020 row: HANWHA_SYSTEMS_2022.pdf has no itemized, year-disaggregated COVID-19 response count for 2021 matching either Claude's (3) or DeepSeek's (6) figures. Recommend marking ND per project methodology.</t>
        </is>
      </c>
      <c r="K175" s="47" t="inlineStr">
        <is>
          <t>FINAL: Claude value retained (source inconclusive; see note)</t>
        </is>
      </c>
    </row>
    <row r="176" ht="79.5" customHeight="1" s="43">
      <c r="A176" s="45" t="inlineStr">
        <is>
          <t>HANWHA SYSTEMS</t>
        </is>
      </c>
      <c r="B176" s="45" t="inlineStr">
        <is>
          <t>272210</t>
        </is>
      </c>
      <c r="C176" s="45" t="inlineStr">
        <is>
          <t>2019</t>
        </is>
      </c>
      <c r="D176" s="45" t="inlineStr">
        <is>
          <t>Training Budget per Employee</t>
        </is>
      </c>
      <c r="E176" s="45" t="n">
        <v>1318082</v>
      </c>
      <c r="F176" s="45" t="n">
        <v>2633000</v>
      </c>
      <c r="G176" s="45" t="n">
        <v>99.8</v>
      </c>
      <c r="H176" s="46" t="inlineStr">
        <is>
          <t>Ind.14=1,318,082, essentially IDENTICAL to 2021 report's 1,318,193 (off by only 111) despite 2022 report correcting a 100x unit-labeling error found in the source - excellent independent cross-validation that this figure is reliable || Ind.14 (Training Budget/Employee): Claude=1318082, DeepSeek=2633000, Diff=99 || Ind.14/15 (Training Budget/Hours) also run consistently ~2x higher in DeepSeek this year - possibly a different scope/denominator (e</t>
        </is>
      </c>
      <c r="I176" s="47" t="n">
        <v>1318082</v>
      </c>
      <c r="J176" s="47" t="inlineStr">
        <is>
          <t>HANWHA_SYSTEMS_2022.pdf p.82 'Training outcomes' table: Total training expenses 4,760 (mislabeled unit, = KRW million per cross-check) = KRW 4,760,000,000 total / p.81 Total no. of employees 3,611 (2019) = KRW 1,318,203/employee. Matches Claude (1,318,082) within 0.01%. DeepSeek's 2,633,000 is roughly double - likely a narrower/different scope. Note: a separate bar-chart on p.42 ('Training costs per person') shows 2019 = 1,312 (KRW 1,000s) = 1,312,000, also consistent with this figure within normal rounding.</t>
        </is>
      </c>
      <c r="K176" s="47" t="inlineStr">
        <is>
          <t>Yes</t>
        </is>
      </c>
    </row>
    <row r="177" ht="15" customHeight="1" s="43">
      <c r="A177" s="45" t="inlineStr">
        <is>
          <t>HANWHA SYSTEMS</t>
        </is>
      </c>
      <c r="B177" s="45" t="inlineStr">
        <is>
          <t>272210</t>
        </is>
      </c>
      <c r="C177" s="45" t="inlineStr">
        <is>
          <t>2020</t>
        </is>
      </c>
      <c r="D177" s="45" t="inlineStr">
        <is>
          <t>Training Hours per Employee</t>
        </is>
      </c>
      <c r="E177" s="45" t="n">
        <v>18.28</v>
      </c>
      <c r="F177" s="45" t="n">
        <v>36</v>
      </c>
      <c r="G177" s="45" t="n">
        <v>96.90000000000001</v>
      </c>
      <c r="H177" s="46" t="inlineStr">
        <is>
          <t>Ind.15 (Training Hours/Employee): Claude=18</t>
        </is>
      </c>
      <c r="I177" s="47" t="n">
        <v>18.28</v>
      </c>
      <c r="J177" s="47" t="inlineStr">
        <is>
          <t>HANWHA_SYSTEMS_2022.pdf p.82 'Training outcomes' table: Total training hours 67,472 (2020) / p.81 Total no. of employees 3,692 (2020) = 18.278 hrs/employee. Matches Claude exactly. DeepSeek's 36 does not correspond to any figure derivable from this table.</t>
        </is>
      </c>
      <c r="K177" s="47" t="inlineStr">
        <is>
          <t>Yes</t>
        </is>
      </c>
    </row>
    <row r="178" ht="23.25" customHeight="1" s="43">
      <c r="A178" s="45" t="inlineStr">
        <is>
          <t>HANWHA SYSTEMS</t>
        </is>
      </c>
      <c r="B178" s="45" t="inlineStr">
        <is>
          <t>272210</t>
        </is>
      </c>
      <c r="C178" s="45" t="inlineStr">
        <is>
          <t>2021</t>
        </is>
      </c>
      <c r="D178" s="45" t="inlineStr">
        <is>
          <t>Training Budget per Employee</t>
        </is>
      </c>
      <c r="E178" s="45" t="n">
        <v>299669</v>
      </c>
      <c r="F178" s="45" t="n">
        <v>551000</v>
      </c>
      <c r="G178" s="45" t="n">
        <v>83.90000000000001</v>
      </c>
      <c r="H178" s="46" t="inlineStr">
        <is>
          <t>Ind.14 (Training Budget/Employee): Claude=299669, DeepSeek=551000, Diff=83 || Ind.14/15 also continue the ~2x pattern</t>
        </is>
      </c>
      <c r="I178" s="47" t="n">
        <v>299669</v>
      </c>
      <c r="J178" s="47" t="inlineStr">
        <is>
          <t>HANWHA_SYSTEMS_2022.pdf p.82 'Training outcomes' table: Total training expenses 1,178 (= KRW 1,178,000,000 per cross-check) / p.81 Total no. of employees 3,931 (2021) = KRW 299,669.05/employee. Matches Claude EXACTLY. DeepSeek's 551,000 appears to derive from a separate p.42 bar-chart ('Training costs per person', 2021 shown as 551 in KRW 1,000s); that chart's 2019/2020 values agree closely with the p.82 table (1,312 vs 1,318; 156 vs 157), but its 2021 value conflicts with the clean, internally-consistent p.82 table and with the exact match to Claude's figure - most likely an OCR/layout misread from a complex overlapping org-chart diagram on that page. The p.82 table is treated as authoritative.</t>
        </is>
      </c>
      <c r="K178" s="47" t="inlineStr">
        <is>
          <t>Yes</t>
        </is>
      </c>
    </row>
    <row r="179" ht="15" customHeight="1" s="43">
      <c r="A179" s="48" t="inlineStr">
        <is>
          <t>HANWHA SYSTEMS</t>
        </is>
      </c>
      <c r="B179" s="48" t="inlineStr">
        <is>
          <t>272210</t>
        </is>
      </c>
      <c r="C179" s="48" t="inlineStr">
        <is>
          <t>2024</t>
        </is>
      </c>
      <c r="D179" s="48" t="inlineStr">
        <is>
          <t>Involuntary Turnover %</t>
        </is>
      </c>
      <c r="E179" s="48" t="n">
        <v>6.2</v>
      </c>
      <c r="F179" s="48" t="n">
        <v>4.1</v>
      </c>
      <c r="G179" s="48" t="n">
        <v>33.9</v>
      </c>
      <c r="H179" s="46" t="inlineStr">
        <is>
          <t>Ind.21 (Involuntary Turnover): Claude=6</t>
        </is>
      </c>
      <c r="I179" s="47" t="n">
        <v>6.2</v>
      </c>
      <c r="J179" s="47" t="inlineStr">
        <is>
          <t>HANWHA_SYSTEMS_2025.pdf p.144 'Employee turnover and retirements' table: Involuntary turnover (retirement) rate = 6.2% (2024). Matches Claude exactly. DeepSeek's 4.1 matches 2023's rate exactly (one-year-lag error, same pattern seen elsewhere in this workbook for Hanwha-group companies).</t>
        </is>
      </c>
      <c r="K179" s="47" t="inlineStr">
        <is>
          <t>Yes</t>
        </is>
      </c>
    </row>
    <row r="180" ht="15" customHeight="1" s="43">
      <c r="A180" s="48" t="inlineStr">
        <is>
          <t>HANWHA SYSTEMS</t>
        </is>
      </c>
      <c r="B180" s="48" t="inlineStr">
        <is>
          <t>272210</t>
        </is>
      </c>
      <c r="C180" s="48" t="inlineStr">
        <is>
          <t>2024</t>
        </is>
      </c>
      <c r="D180" s="48" t="inlineStr">
        <is>
          <t>Contract Workers %</t>
        </is>
      </c>
      <c r="E180" s="48" t="n">
        <v>4.3</v>
      </c>
      <c r="F180" s="48" t="n">
        <v>5.73</v>
      </c>
      <c r="G180" s="48" t="n">
        <v>33.3</v>
      </c>
      <c r="H180" s="46" t="inlineStr">
        <is>
          <t>Ind.1 (Contract Workers%): Claude=4</t>
        </is>
      </c>
      <c r="I180" s="47" t="n">
        <v>4.3</v>
      </c>
      <c r="J180" s="47" t="inlineStr">
        <is>
          <t>HANWHA_SYSTEMS_2025.pdf p.142 'Employee status' table: Percentage of non-regular employees = 4.3% (2024). Matches Claude exactly. DeepSeek's 5.73 is close to 2023's rate (5.8) - one-year-lag error.</t>
        </is>
      </c>
      <c r="K180" s="47" t="inlineStr">
        <is>
          <t>Yes</t>
        </is>
      </c>
    </row>
    <row r="181" ht="15" customHeight="1" s="43">
      <c r="A181" s="48" t="inlineStr">
        <is>
          <t>HANWHA SYSTEMS</t>
        </is>
      </c>
      <c r="B181" s="48" t="inlineStr">
        <is>
          <t>272210</t>
        </is>
      </c>
      <c r="C181" s="48" t="inlineStr">
        <is>
          <t>2024</t>
        </is>
      </c>
      <c r="D181" s="48" t="inlineStr">
        <is>
          <t>Parental Leave: Female</t>
        </is>
      </c>
      <c r="E181" s="48" t="n">
        <v>48</v>
      </c>
      <c r="F181" s="48" t="n">
        <v>39</v>
      </c>
      <c r="G181" s="48" t="n">
        <v>18.8</v>
      </c>
      <c r="H181" s="46" t="inlineStr">
        <is>
          <t>Ind.16 (Parental Leave F): Claude=48, DeepSeek=39, Diff=18</t>
        </is>
      </c>
      <c r="I181" s="47" t="n">
        <v>48</v>
      </c>
      <c r="J181" s="47" t="inlineStr">
        <is>
          <t>HANWHA_SYSTEMS_2025.pdf p.143 'Parental leave' table: Parental leave users, Women = 48 (2024). Matches Claude exactly. DeepSeek's 39 matches 2023's women count exactly - one-year-lag error.</t>
        </is>
      </c>
      <c r="K181" s="47" t="inlineStr">
        <is>
          <t>Yes</t>
        </is>
      </c>
    </row>
    <row r="182" ht="15" customHeight="1" s="43">
      <c r="A182" s="48" t="inlineStr">
        <is>
          <t>HANWHA SYSTEMS</t>
        </is>
      </c>
      <c r="B182" s="48" t="inlineStr">
        <is>
          <t>272210</t>
        </is>
      </c>
      <c r="C182" s="48" t="inlineStr">
        <is>
          <t>2023</t>
        </is>
      </c>
      <c r="D182" s="48" t="inlineStr">
        <is>
          <t>New Hire Rate %</t>
        </is>
      </c>
      <c r="E182" s="48" t="n">
        <v>14.38</v>
      </c>
      <c r="F182" s="48" t="n">
        <v>16.79</v>
      </c>
      <c r="G182" s="48" t="n">
        <v>16.8</v>
      </c>
      <c r="H182" s="46" t="inlineStr">
        <is>
          <t>Ind.4 (New Hire Rate): Claude=14</t>
        </is>
      </c>
      <c r="I182" s="47" t="n">
        <v>16.79</v>
      </c>
      <c r="J182" s="47" t="inlineStr">
        <is>
          <t>HANWHA_SYSTEMS_2025.pdf p.143 'New hires' table: Total number of new hires 794 (2023) / p.142 Total number of employees 4,729 (2023) = 16.79%. Matches DeepSeek EXACTLY, not Claude (14.38). Correction flips the original assumption - DeepSeek is correct for this indicator across all three flagged years (see 2022/2024 rows).</t>
        </is>
      </c>
      <c r="K182" s="47" t="inlineStr">
        <is>
          <t>Yes</t>
        </is>
      </c>
    </row>
    <row r="183" ht="15" customHeight="1" s="43">
      <c r="A183" s="48" t="inlineStr">
        <is>
          <t>HANWHA SYSTEMS</t>
        </is>
      </c>
      <c r="B183" s="48" t="inlineStr">
        <is>
          <t>272210</t>
        </is>
      </c>
      <c r="C183" s="48" t="inlineStr">
        <is>
          <t>2022</t>
        </is>
      </c>
      <c r="D183" s="48" t="inlineStr">
        <is>
          <t>New Hire Rate %</t>
        </is>
      </c>
      <c r="E183" s="48" t="n">
        <v>13.45</v>
      </c>
      <c r="F183" s="48" t="n">
        <v>15.54</v>
      </c>
      <c r="G183" s="48" t="n">
        <v>15.5</v>
      </c>
      <c r="H183" s="46" t="inlineStr">
        <is>
          <t>Ind.4 (New Hire Rate): Claude=13</t>
        </is>
      </c>
      <c r="I183" s="47" t="n">
        <v>15.54</v>
      </c>
      <c r="J183" s="47" t="inlineStr">
        <is>
          <t>HANWHA_SYSTEMS_2025.pdf p.143: Total number of new hires 667 (2022) / p.142 Total number of employees 4,292 (2022) = 15.54%. Matches DeepSeek EXACTLY, not Claude (13.45).</t>
        </is>
      </c>
      <c r="K183" s="47" t="inlineStr">
        <is>
          <t>Yes</t>
        </is>
      </c>
    </row>
    <row r="184" ht="15" customHeight="1" s="43">
      <c r="A184" s="48" t="inlineStr">
        <is>
          <t>HANWHA SYSTEMS</t>
        </is>
      </c>
      <c r="B184" s="48" t="inlineStr">
        <is>
          <t>272210</t>
        </is>
      </c>
      <c r="C184" s="48" t="inlineStr">
        <is>
          <t>2023</t>
        </is>
      </c>
      <c r="D184" s="48" t="inlineStr">
        <is>
          <t>Female Contract Workers %</t>
        </is>
      </c>
      <c r="E184" s="48" t="n">
        <v>20.96</v>
      </c>
      <c r="F184" s="48" t="n">
        <v>18.26</v>
      </c>
      <c r="G184" s="48" t="n">
        <v>12.9</v>
      </c>
      <c r="H184" s="46" t="inlineStr">
        <is>
          <t>Ind.3 (Female Contract%): Claude=20</t>
        </is>
      </c>
      <c r="I184" s="47" t="n">
        <v>20.96</v>
      </c>
      <c r="J184" s="47" t="inlineStr">
        <is>
          <t>HANWHA_SYSTEMS_2025.pdf p.142 'Detailed status of non-regular employees' table: Women 57 / Total non-regular 272 (2023) = 20.96%. Matches Claude exactly. DeepSeek's 18.26 matches 2022's ratio (44/241=18.26%) exactly - one-year-lag error.</t>
        </is>
      </c>
      <c r="K184" s="47" t="inlineStr">
        <is>
          <t>Yes</t>
        </is>
      </c>
    </row>
    <row r="185" ht="15" customHeight="1" s="43">
      <c r="A185" s="48" t="inlineStr">
        <is>
          <t>HANWHA SYSTEMS</t>
        </is>
      </c>
      <c r="B185" s="48" t="inlineStr">
        <is>
          <t>272210</t>
        </is>
      </c>
      <c r="C185" s="48" t="inlineStr">
        <is>
          <t>2023</t>
        </is>
      </c>
      <c r="D185" s="48" t="inlineStr">
        <is>
          <t>Contract Workers %</t>
        </is>
      </c>
      <c r="E185" s="48" t="n">
        <v>5.8</v>
      </c>
      <c r="F185" s="48" t="n">
        <v>5.1</v>
      </c>
      <c r="G185" s="48" t="n">
        <v>12.1</v>
      </c>
      <c r="H185" s="46" t="inlineStr">
        <is>
          <t>Ind.1 (Contract Workers%): Claude=5</t>
        </is>
      </c>
      <c r="I185" s="47" t="n">
        <v>5.8</v>
      </c>
      <c r="J185" s="47" t="inlineStr">
        <is>
          <t>HANWHA_SYSTEMS_2025.pdf p.142 'Employee status' table: Percentage of non-regular employees = 5.8% (2023). Matches Claude exactly. DeepSeek's 5.1 does not correspond cleanly to any adjacent year in this table.</t>
        </is>
      </c>
      <c r="K185" s="47" t="inlineStr">
        <is>
          <t>Yes</t>
        </is>
      </c>
    </row>
    <row r="186" ht="15" customHeight="1" s="43">
      <c r="A186" s="48" t="inlineStr">
        <is>
          <t>HANWHA SYSTEMS</t>
        </is>
      </c>
      <c r="B186" s="48" t="inlineStr">
        <is>
          <t>272210</t>
        </is>
      </c>
      <c r="C186" s="48" t="inlineStr">
        <is>
          <t>2024</t>
        </is>
      </c>
      <c r="D186" s="48" t="inlineStr">
        <is>
          <t>New Hire Rate %</t>
        </is>
      </c>
      <c r="E186" s="48" t="n">
        <v>7.06</v>
      </c>
      <c r="F186" s="48" t="n">
        <v>7.6</v>
      </c>
      <c r="G186" s="48" t="n">
        <v>7.6</v>
      </c>
      <c r="H186" s="46" t="inlineStr">
        <is>
          <t>Ind.4 (New Hire Rate): Claude=7</t>
        </is>
      </c>
      <c r="I186" s="47" t="n">
        <v>7.6</v>
      </c>
      <c r="J186" s="47" t="inlineStr">
        <is>
          <t>HANWHA_SYSTEMS_2025.pdf p.143: Total number of new hires 361 (2024) / p.142 Total number of employees 4,751 (2024) = 7.60%. Matches DeepSeek EXACTLY, not Claude (7.06).</t>
        </is>
      </c>
      <c r="K186" s="47" t="inlineStr">
        <is>
          <t>Yes</t>
        </is>
      </c>
    </row>
    <row r="187" ht="15" customHeight="1" s="43">
      <c r="A187" s="48" t="inlineStr">
        <is>
          <t>HANWHA SYSTEMS</t>
        </is>
      </c>
      <c r="B187" s="48" t="inlineStr">
        <is>
          <t>272210</t>
        </is>
      </c>
      <c r="C187" s="48" t="inlineStr">
        <is>
          <t>2024</t>
        </is>
      </c>
      <c r="D187" s="48" t="inlineStr">
        <is>
          <t>Female Contract Workers %</t>
        </is>
      </c>
      <c r="E187" s="48" t="n">
        <v>19.9</v>
      </c>
      <c r="F187" s="48" t="n">
        <v>20.96</v>
      </c>
      <c r="G187" s="48" t="n">
        <v>5.3</v>
      </c>
      <c r="H187" s="46" t="inlineStr">
        <is>
          <t>Ind.3 (Female Contract%): Claude=19</t>
        </is>
      </c>
      <c r="I187" s="47" t="n">
        <v>19.9</v>
      </c>
      <c r="J187" s="47" t="inlineStr">
        <is>
          <t>HANWHA_SYSTEMS_2025.pdf p.142 'Detailed status of non-regular employees' table: Women 41 / Total non-regular 206 (2024) = 19.90%. Matches Claude exactly. DeepSeek's 20.96 matches 2023's ratio exactly - one-year-lag error.</t>
        </is>
      </c>
      <c r="K187" s="47" t="inlineStr">
        <is>
          <t>Yes</t>
        </is>
      </c>
    </row>
    <row r="188" ht="23.25" customHeight="1" s="43">
      <c r="A188" s="45" t="inlineStr">
        <is>
          <t>HD HYUNDAI ELECTRIC</t>
        </is>
      </c>
      <c r="B188" s="45" t="inlineStr">
        <is>
          <t>267260</t>
        </is>
      </c>
      <c r="C188" s="45" t="inlineStr">
        <is>
          <t>2019</t>
        </is>
      </c>
      <c r="D188" s="45" t="inlineStr">
        <is>
          <t>Parental Leave: Female</t>
        </is>
      </c>
      <c r="E188" s="45" t="n">
        <v>1</v>
      </c>
      <c r="F188" s="45" t="n">
        <v>6</v>
      </c>
      <c r="G188" s="45" t="n">
        <v>500</v>
      </c>
      <c r="H188" s="46" t="inlineStr">
        <is>
          <t>Ind.16 (Parental Leave F): Claude=1, DeepSeek=6, Diff=500 || Ind.16/17 constant-value concern as 2018</t>
        </is>
      </c>
      <c r="I188" s="47" t="n">
        <v>1</v>
      </c>
      <c r="J188" s="47" t="inlineStr">
        <is>
          <t>HD Hyundai Electric Integrated Report 2020, p.64 (성과지표 table, '임직원 삶의 질' section) — 육아휴직 '사용자'(actual takers) row, 여(Female) 2019 = 1</t>
        </is>
      </c>
      <c r="K188" s="47" t="inlineStr">
        <is>
          <t>Yes</t>
        </is>
      </c>
    </row>
    <row r="189" ht="45.75" customHeight="1" s="43">
      <c r="A189" s="45" t="inlineStr">
        <is>
          <t>HD HYUNDAI ELECTRIC</t>
        </is>
      </c>
      <c r="B189" s="45" t="inlineStr">
        <is>
          <t>267260</t>
        </is>
      </c>
      <c r="C189" s="45" t="inlineStr">
        <is>
          <t>2018</t>
        </is>
      </c>
      <c r="D189" s="45" t="inlineStr">
        <is>
          <t>Parental Leave: Female</t>
        </is>
      </c>
      <c r="E189" s="45" t="n">
        <v>3</v>
      </c>
      <c r="F189" s="45" t="n">
        <v>6</v>
      </c>
      <c r="G189" s="45" t="n">
        <v>100</v>
      </c>
      <c r="H189" s="46" t="inlineStr">
        <is>
          <t>Ind.16 (Parental Leave F): Claude=3, DeepSeek=6, Diff=100 || Ind.16/17 (Parental Leave) DeepSeek values are suspiciously CONSTANT (Female=6 for all of 2017-2019, Male=1/2/1) - likely a misread/placeholder cell rather than genuine year-specific data, as originally suspected</t>
        </is>
      </c>
      <c r="I189" s="47" t="n">
        <v>3</v>
      </c>
      <c r="J189" s="47" t="inlineStr">
        <is>
          <t>HD Hyundai Electric Integrated Report 2020, p.64 — 육아휴직 '사용자' row, 여(Female) 2018 = 3</t>
        </is>
      </c>
      <c r="K189" s="47" t="inlineStr">
        <is>
          <t>Yes</t>
        </is>
      </c>
    </row>
    <row r="190" ht="15" customHeight="1" s="43">
      <c r="A190" s="45" t="inlineStr">
        <is>
          <t>HD HYUNDAI ELECTRIC</t>
        </is>
      </c>
      <c r="B190" s="45" t="inlineStr">
        <is>
          <t>267260</t>
        </is>
      </c>
      <c r="C190" s="45" t="inlineStr">
        <is>
          <t>2018</t>
        </is>
      </c>
      <c r="D190" s="45" t="inlineStr">
        <is>
          <t>Parental Leave: Male</t>
        </is>
      </c>
      <c r="E190" s="45" t="n">
        <v>16</v>
      </c>
      <c r="F190" s="45" t="n">
        <v>2</v>
      </c>
      <c r="G190" s="45" t="n">
        <v>87.5</v>
      </c>
      <c r="H190" s="46" t="inlineStr">
        <is>
          <t>Ind.17 (Parental Leave M): Claude=16, DeepSeek=2, Diff=87</t>
        </is>
      </c>
      <c r="I190" s="47" t="n">
        <v>16</v>
      </c>
      <c r="J190" s="47" t="inlineStr">
        <is>
          <t>HD Hyundai Electric Integrated Report 2020, p.64 — 육아휴직 '사용자' row, 남(Male) 2018 = 16</t>
        </is>
      </c>
      <c r="K190" s="47" t="inlineStr">
        <is>
          <t>Yes</t>
        </is>
      </c>
    </row>
    <row r="191" ht="15" customHeight="1" s="43">
      <c r="A191" s="45" t="inlineStr">
        <is>
          <t>HD HYUNDAI ELECTRIC</t>
        </is>
      </c>
      <c r="B191" s="45" t="inlineStr">
        <is>
          <t>267260</t>
        </is>
      </c>
      <c r="C191" s="45" t="inlineStr">
        <is>
          <t>2024</t>
        </is>
      </c>
      <c r="D191" s="45" t="inlineStr">
        <is>
          <t>LTIFR</t>
        </is>
      </c>
      <c r="E191" s="45" t="n">
        <v>1.552</v>
      </c>
      <c r="F191" s="45" t="n">
        <v>0.222</v>
      </c>
      <c r="G191" s="45" t="n">
        <v>85.7</v>
      </c>
      <c r="H191" s="46" t="inlineStr">
        <is>
          <t>Ind.23 (LTIFR): Claude=1 || Ind.23 (LTIFR) conflict continues (1</t>
        </is>
      </c>
      <c r="I191" s="47" t="n">
        <v>1.552</v>
      </c>
      <c r="J191" s="47" t="inlineStr">
        <is>
          <t>HD_HYUNDAI_ELECTRIC_2025.pdf, p.80 ('산업재해 지표' table): 임직원 근로손실재해율(LTIFR) 2024 = 1.552 — exact match to Claude. DeepSeek's 0.222 corresponds to the report's separate '도수율' (frequency rate) row, a different indicator.</t>
        </is>
      </c>
      <c r="K191" s="47" t="inlineStr">
        <is>
          <t>Yes</t>
        </is>
      </c>
    </row>
    <row r="192" ht="15" customHeight="1" s="43">
      <c r="A192" s="45" t="inlineStr">
        <is>
          <t>HD HYUNDAI ELECTRIC</t>
        </is>
      </c>
      <c r="B192" s="45" t="inlineStr">
        <is>
          <t>267260</t>
        </is>
      </c>
      <c r="C192" s="45" t="inlineStr">
        <is>
          <t>2019</t>
        </is>
      </c>
      <c r="D192" s="45" t="inlineStr">
        <is>
          <t>Parental Leave: Male</t>
        </is>
      </c>
      <c r="E192" s="45" t="n">
        <v>6</v>
      </c>
      <c r="F192" s="45" t="n">
        <v>1</v>
      </c>
      <c r="G192" s="45" t="n">
        <v>83.3</v>
      </c>
      <c r="H192" s="46" t="inlineStr">
        <is>
          <t>Ind.17 (Parental Leave M): Claude=6, DeepSeek=1, Diff=83</t>
        </is>
      </c>
      <c r="I192" s="47" t="n">
        <v>6</v>
      </c>
      <c r="J192" s="47" t="inlineStr">
        <is>
          <t>HD Hyundai Electric Integrated Report 2020, p.64 — 육아휴직 '사용자' row, 남(Male) 2019 = 6</t>
        </is>
      </c>
      <c r="K192" s="47" t="inlineStr">
        <is>
          <t>Yes</t>
        </is>
      </c>
    </row>
    <row r="193" ht="23.25" customHeight="1" s="43">
      <c r="A193" s="45" t="inlineStr">
        <is>
          <t>HD HYUNDAI ELECTRIC</t>
        </is>
      </c>
      <c r="B193" s="45" t="inlineStr">
        <is>
          <t>267260</t>
        </is>
      </c>
      <c r="C193" s="45" t="inlineStr">
        <is>
          <t>2023</t>
        </is>
      </c>
      <c r="D193" s="45" t="inlineStr">
        <is>
          <t>LTIFR</t>
        </is>
      </c>
      <c r="E193" s="45" t="n">
        <v>1.433</v>
      </c>
      <c r="F193" s="45" t="n">
        <v>0.409</v>
      </c>
      <c r="G193" s="45" t="n">
        <v>71.5</v>
      </c>
      <c r="H193" s="46" t="inlineStr">
        <is>
          <t>Ind.23 (LTIFR)=1 || Ind.23 (LTIFR): Claude=1 || Ind.23 (LTIFR) conflict continues (1</t>
        </is>
      </c>
      <c r="I193" s="47" t="n">
        <v>1.433</v>
      </c>
      <c r="J193" s="47" t="inlineStr">
        <is>
          <t>CORRECTED after reviewing HD_HYUNDAI_ELECTRIC_2025.pdf, p.80 ('산업재해 지표' table): 임직원 근로손실재해율(LTIFR) 2023 = 1.433 — exact match to Claude. Supersedes prior resolution (which had used the 2023 report's differently-scoped LTIFR/도수율ᅠrow=0.41; the 2025 report shows this was a methodology restatement, not a labeling error). DeepSeek's 0.409 corresponds to the OLD, superseded calculation.</t>
        </is>
      </c>
      <c r="K193" s="47" t="inlineStr">
        <is>
          <t>Yes</t>
        </is>
      </c>
    </row>
    <row r="194" ht="45.75" customHeight="1" s="43">
      <c r="A194" s="45" t="inlineStr">
        <is>
          <t>HD HYUNDAI ELECTRIC</t>
        </is>
      </c>
      <c r="B194" s="45" t="inlineStr">
        <is>
          <t>267260</t>
        </is>
      </c>
      <c r="C194" s="45" t="inlineStr">
        <is>
          <t>2019</t>
        </is>
      </c>
      <c r="D194" s="45" t="inlineStr">
        <is>
          <t>Annual Pay</t>
        </is>
      </c>
      <c r="E194" s="45" t="n">
        <v>73472042</v>
      </c>
      <c r="F194" s="45" t="n">
        <v>124529317</v>
      </c>
      <c r="G194" s="45" t="n">
        <v>69.5</v>
      </c>
      <c r="H194" s="46" t="inlineStr">
        <is>
          <t>Ind.12=73,472,042 KRW - flagged: numerator/denominator combine two different report sections, population identity not independently confirmable || Ind.12 (Annual Pay): Claude=73472042, DeepSeek=124529317, Diff=69 || Ind.12 (Annual Pay) conflict (73</t>
        </is>
      </c>
      <c r="I194" s="47" t="n">
        <v>73472042</v>
      </c>
      <c r="J194" s="47" t="inlineStr">
        <is>
          <t>HD Hyundai Electric Integrated Report 2020: p.63 (성과지표, '평가와 보상') 직원 총 급여 2019 = 1,695억원; p.16 (Value Chain, 인적자본) 임직원 현황 2019 = 2,157(남)+150(여)=2,307명. 169,500,000,000 / 2,307 = 73,472,043 KRW ≈ Claude's value.</t>
        </is>
      </c>
      <c r="K194" s="47" t="inlineStr">
        <is>
          <t>Yes</t>
        </is>
      </c>
    </row>
    <row r="195" ht="34.5" customHeight="1" s="43">
      <c r="A195" s="45" t="inlineStr">
        <is>
          <t>HD HYUNDAI ELECTRIC</t>
        </is>
      </c>
      <c r="B195" s="45" t="inlineStr">
        <is>
          <t>267260</t>
        </is>
      </c>
      <c r="C195" s="45" t="inlineStr">
        <is>
          <t>2022</t>
        </is>
      </c>
      <c r="D195" s="45" t="inlineStr">
        <is>
          <t>LTIFR</t>
        </is>
      </c>
      <c r="E195" s="45" t="n">
        <v>1.977</v>
      </c>
      <c r="F195" s="45" t="n">
        <v>0.66</v>
      </c>
      <c r="G195" s="45" t="n">
        <v>66.59999999999999</v>
      </c>
      <c r="H195" s="46" t="inlineStr">
        <is>
          <t>Ind.23 (LTIFR)=1 || Ind.23 (LTIFR): Claude=1 || Ind.23 (LTIFR) continues to be THE MOST UNRELIABLE indicator for this company across every extraction attempt - Claude's own two report editions disagreed by ~3x (0</t>
        </is>
      </c>
      <c r="I195" s="47" t="n">
        <v>1.977</v>
      </c>
      <c r="J195" s="47" t="inlineStr">
        <is>
          <t>CORRECTED after reviewing HD_HYUNDAI_ELECTRIC_2025.pdf, p.80 (footnote 3): '2022년 임직원 LTIFR: 1.977' — exact match to Claude. Supersedes prior resolution (2023 report's LTIFR/도수율 row=0.66 reflects an older, superseded methodology). DeepSeek's 0.66 corresponds to the OLD, superseded calculation.</t>
        </is>
      </c>
      <c r="K195" s="47" t="inlineStr">
        <is>
          <t>Yes</t>
        </is>
      </c>
    </row>
    <row r="196" ht="15" customHeight="1" s="43">
      <c r="A196" s="48" t="inlineStr">
        <is>
          <t>HD HYUNDAI ELECTRIC</t>
        </is>
      </c>
      <c r="B196" s="48" t="inlineStr">
        <is>
          <t>267260</t>
        </is>
      </c>
      <c r="C196" s="48" t="inlineStr">
        <is>
          <t>2021</t>
        </is>
      </c>
      <c r="D196" s="48" t="inlineStr">
        <is>
          <t>New Hire Rate %</t>
        </is>
      </c>
      <c r="E196" s="48" t="n">
        <v>3</v>
      </c>
      <c r="F196" s="48" t="n">
        <v>1.74</v>
      </c>
      <c r="G196" s="48" t="n">
        <v>42</v>
      </c>
      <c r="H196" s="46" t="inlineStr">
        <is>
          <t>Ind.4 (New Hire Rate): Claude=3, DeepSeek=1</t>
        </is>
      </c>
      <c r="I196" s="47" t="n">
        <v>3</v>
      </c>
      <c r="J196" s="47" t="inlineStr">
        <is>
          <t>HD Hyundai Electric Integrated Report 2023: p.58 ('채용' table) 신규채용 전체 2021 = 64명; p.57 ('임직원 현황') 전체 임직원수 2021 = 2,122명. 64/2,122 = 3.02% ≈ Claude's value.</t>
        </is>
      </c>
      <c r="K196" s="47" t="inlineStr">
        <is>
          <t>Yes</t>
        </is>
      </c>
    </row>
    <row r="197" ht="15" customHeight="1" s="43">
      <c r="A197" s="48" t="inlineStr">
        <is>
          <t>HD HYUNDAI ELECTRIC</t>
        </is>
      </c>
      <c r="B197" s="48" t="inlineStr">
        <is>
          <t>267260</t>
        </is>
      </c>
      <c r="C197" s="48" t="inlineStr">
        <is>
          <t>2024</t>
        </is>
      </c>
      <c r="D197" s="48" t="inlineStr">
        <is>
          <t>Gender Pay Gap %</t>
        </is>
      </c>
      <c r="E197" s="48" t="n">
        <v>29.23</v>
      </c>
      <c r="F197" s="48" t="n">
        <v>19.23</v>
      </c>
      <c r="G197" s="48" t="n">
        <v>34.2</v>
      </c>
      <c r="H197" s="46" t="inlineStr">
        <is>
          <t>Ind.13 (Gender Pay Gap): Claude=29</t>
        </is>
      </c>
      <c r="I197" s="47" t="n">
        <v>29.23</v>
      </c>
      <c r="J197" s="47" t="inlineStr">
        <is>
          <t>HD_HYUNDAI_ELECTRIC_2025.pdf, p.71 ('보수' table): 직원 평균급여 2024 — 남성 130백만원, 여성 92백만원. Gap = 100-(92/130*100) = 29.23%, exact match to Claude. DeepSeek's 19.23 does not correspond to any computable ratio in the table.</t>
        </is>
      </c>
      <c r="K197" s="47" t="inlineStr">
        <is>
          <t>Yes</t>
        </is>
      </c>
    </row>
    <row r="198" ht="15" customHeight="1" s="43">
      <c r="A198" s="48" t="inlineStr">
        <is>
          <t>HD HYUNDAI ELECTRIC</t>
        </is>
      </c>
      <c r="B198" s="48" t="inlineStr">
        <is>
          <t>267260</t>
        </is>
      </c>
      <c r="C198" s="48" t="inlineStr">
        <is>
          <t>2023</t>
        </is>
      </c>
      <c r="D198" s="48" t="inlineStr">
        <is>
          <t>Gender Pay Gap %</t>
        </is>
      </c>
      <c r="E198" s="48" t="n">
        <v>30.97</v>
      </c>
      <c r="F198" s="48" t="n">
        <v>24.78</v>
      </c>
      <c r="G198" s="48" t="n">
        <v>20</v>
      </c>
      <c r="H198" s="46" t="inlineStr">
        <is>
          <t>Ind.13 (Gender Pay Gap): Claude=30</t>
        </is>
      </c>
      <c r="I198" s="47" t="n">
        <v>30.97</v>
      </c>
      <c r="J198" s="47" t="inlineStr">
        <is>
          <t>HD Hyundai Electric Integrated Report 2023, p.58 ('보수' table) — 직원 평균급여 2023: 남성 113백만원, 여성 78백만원. Gap = 100-(78/113*100) = 30.97%, matching Claude exactly. (Report's own '동등급여 전체직원' ratio = 69%, i.e. 100-69=31, confirms.) DeepSeek's 24.78 does not match any computable ratio in the table. | Cross-confirmed via HD_HYUNDAI_ELECTRIC_2025.pdf p.71: identical 2023 평균급여 figures (남113/여78) reproduced in both editions.</t>
        </is>
      </c>
      <c r="K198" s="47" t="inlineStr">
        <is>
          <t>Yes</t>
        </is>
      </c>
    </row>
    <row r="199" ht="15" customHeight="1" s="43">
      <c r="A199" s="48" t="inlineStr">
        <is>
          <t>HD HYUNDAI ELECTRIC</t>
        </is>
      </c>
      <c r="B199" s="48" t="inlineStr">
        <is>
          <t>267260</t>
        </is>
      </c>
      <c r="C199" s="48" t="inlineStr">
        <is>
          <t>2024</t>
        </is>
      </c>
      <c r="D199" s="48" t="inlineStr">
        <is>
          <t>Female Permanent Workers %</t>
        </is>
      </c>
      <c r="E199" s="48" t="n">
        <v>6.82</v>
      </c>
      <c r="F199" s="48" t="n">
        <v>8.140000000000001</v>
      </c>
      <c r="G199" s="48" t="n">
        <v>19.4</v>
      </c>
      <c r="H199" s="46" t="inlineStr">
        <is>
          <t>Ind.2 (Female Permanent%): Claude=6</t>
        </is>
      </c>
      <c r="I199" s="47" t="n">
        <v>6.82</v>
      </c>
      <c r="J199" s="47" t="inlineStr">
        <is>
          <t>HD_HYUNDAI_ELECTRIC_2025.pdf, p.68 ('직원 고용 형태별 분류' table): 기간의 정함이 없는(permanent) 근로자_여성 2024=138 / 총 기간의 정함이 없는 근로자 2024=2,024 = 6.82%, exact match to Claude. DeepSeek's 8.14 does not match.</t>
        </is>
      </c>
      <c r="K199" s="47" t="inlineStr">
        <is>
          <t>Yes</t>
        </is>
      </c>
    </row>
    <row r="200" ht="23.25" customHeight="1" s="43">
      <c r="A200" s="48" t="inlineStr">
        <is>
          <t>HD HYUNDAI ELECTRIC</t>
        </is>
      </c>
      <c r="B200" s="48" t="inlineStr">
        <is>
          <t>267260</t>
        </is>
      </c>
      <c r="C200" s="48" t="inlineStr">
        <is>
          <t>2023</t>
        </is>
      </c>
      <c r="D200" s="48" t="inlineStr">
        <is>
          <t>Female Permanent Workers %</t>
        </is>
      </c>
      <c r="E200" s="48" t="n">
        <v>6.49</v>
      </c>
      <c r="F200" s="48" t="n">
        <v>7.57</v>
      </c>
      <c r="G200" s="48" t="n">
        <v>16.6</v>
      </c>
      <c r="H200" s="46" t="inlineStr">
        <is>
          <t>Ind.2/3 NOW COMPUTABLE for first time (were na in 2023 report) || Ind.2 (Female Permanent%): Claude=6</t>
        </is>
      </c>
      <c r="I200" s="47" t="n">
        <v>6.49</v>
      </c>
      <c r="J200" s="47" t="inlineStr">
        <is>
          <t>RESOLVED (supersedes prior 'unresolved' note) using HD_HYUNDAI_ELECTRIC_2025.pdf, p.68: 여성 정규직 2023=130 / 총 정규직 2023=2,004 = 6.49%, exact match to Claude. The 2023 report itself does not publish this breakdown, but the 2025 report (the Extraction Log's designated source for 2023 data) does. DeepSeek's 7.57 does not match.</t>
        </is>
      </c>
      <c r="K200" s="47" t="inlineStr">
        <is>
          <t>Yes</t>
        </is>
      </c>
    </row>
    <row r="201" ht="15" customHeight="1" s="43">
      <c r="A201" s="48" t="inlineStr">
        <is>
          <t>HD HYUNDAI ELECTRIC</t>
        </is>
      </c>
      <c r="B201" s="48" t="inlineStr">
        <is>
          <t>267260</t>
        </is>
      </c>
      <c r="C201" s="48" t="inlineStr">
        <is>
          <t>2024</t>
        </is>
      </c>
      <c r="D201" s="48" t="inlineStr">
        <is>
          <t>Contract Workers %</t>
        </is>
      </c>
      <c r="E201" s="48" t="n">
        <v>7.31</v>
      </c>
      <c r="F201" s="48" t="n">
        <v>6.3</v>
      </c>
      <c r="G201" s="48" t="n">
        <v>13.8</v>
      </c>
      <c r="H201" s="46" t="inlineStr">
        <is>
          <t>Ind.1 (Contract Workers%): Claude=7</t>
        </is>
      </c>
      <c r="I201" s="47" t="n">
        <v>7.31</v>
      </c>
      <c r="J201" s="47" t="inlineStr">
        <is>
          <t>HD_HYUNDAI_ELECTRIC_2025.pdf, p.68 ('직원 고용 형태별 분류' table): 총 기간제(contract) 근로자 2024=160 / 총 직원수 2024=2,184 = 7.33%, closely matching Claude's 7.31. DeepSeek's 6.3 does not match.</t>
        </is>
      </c>
      <c r="K201" s="47" t="inlineStr">
        <is>
          <t>Yes</t>
        </is>
      </c>
    </row>
    <row r="202" ht="15" customHeight="1" s="43">
      <c r="A202" s="48" t="inlineStr">
        <is>
          <t>HD HYUNDAI ELECTRIC</t>
        </is>
      </c>
      <c r="B202" s="48" t="inlineStr">
        <is>
          <t>267260</t>
        </is>
      </c>
      <c r="C202" s="48" t="inlineStr">
        <is>
          <t>2023</t>
        </is>
      </c>
      <c r="D202" s="48" t="inlineStr">
        <is>
          <t>Contract Workers %</t>
        </is>
      </c>
      <c r="E202" s="48" t="n">
        <v>5.41</v>
      </c>
      <c r="F202" s="48" t="n">
        <v>6.12</v>
      </c>
      <c r="G202" s="48" t="n">
        <v>13.1</v>
      </c>
      <c r="H202" s="46" t="inlineStr">
        <is>
          <t>Ind.1 (Contract Workers%): Claude=5</t>
        </is>
      </c>
      <c r="I202" s="47" t="n">
        <v>5.41</v>
      </c>
      <c r="J202" s="47" t="inlineStr">
        <is>
          <t>HD Hyundai Electric Integrated Report 2023, p.57-58 ('고용형태별' table) — 비정규직 115명 / 전체 임직원수 2,119명 = 5.43% (report rounds to 5.4%). Matches Claude's 5.41 closely; DeepSeek's 6.12 does not match. | Cross-confirmed via HD_HYUNDAI_ELECTRIC_2025.pdf p.68: 기간제 115 / 총 직원 2,119 = 5.43% (2023 figures repeated identically in both editions).</t>
        </is>
      </c>
      <c r="K202" s="47" t="inlineStr">
        <is>
          <t>Yes</t>
        </is>
      </c>
    </row>
    <row r="203" ht="15" customHeight="1" s="43">
      <c r="A203" s="45" t="inlineStr">
        <is>
          <t>HDHMS</t>
        </is>
      </c>
      <c r="B203" s="45" t="inlineStr">
        <is>
          <t>443060</t>
        </is>
      </c>
      <c r="C203" s="45" t="inlineStr">
        <is>
          <t>2023</t>
        </is>
      </c>
      <c r="D203" s="45" t="inlineStr">
        <is>
          <t>Involuntary Turnover %</t>
        </is>
      </c>
      <c r="E203" s="45" t="n">
        <v>0</v>
      </c>
      <c r="F203" s="45" t="n">
        <v>1.43</v>
      </c>
      <c r="G203" s="45" t="inlineStr">
        <is>
          <t>N/A (div/0)</t>
        </is>
      </c>
      <c r="H203" s="46" t="inlineStr">
        <is>
          <t>Ind.21=0 || Ind.21 (Involuntary Turnover): Claude=0, DeepSeek=1</t>
        </is>
      </c>
      <c r="I203" s="47" t="n">
        <v>0</v>
      </c>
      <c r="J203" s="47" t="inlineStr">
        <is>
          <t>HDHMS_2024.pdf p.117, 'Recruitment and Retention' table (HMS scope): Total employee turnover=43, Voluntary employee turnover=43 (2023) -&gt; Involuntary = 43-43 = 0 persons / Total employees 527 (p.115) = 0.00%. Confirms Claude. Note: the report has no explicit 'Involuntary Turnover Rate' line item - this is a derived proxy, computed identically across 2022/2023/2024 (cross-validated by the unflagged 2024 value of 0.18%=1/544 using the same method). DeepSeek's 1.43 does not reconcile with any combination of the disclosed Total/Voluntary turnover persons and Total employees figures on pp.115/117.</t>
        </is>
      </c>
      <c r="K203" s="47" t="inlineStr">
        <is>
          <t>Yes (derived proxy - report has no explicit line item; see note)</t>
        </is>
      </c>
    </row>
    <row r="204" ht="15" customHeight="1" s="43">
      <c r="A204" s="45" t="inlineStr">
        <is>
          <t>HDHMS</t>
        </is>
      </c>
      <c r="B204" s="45" t="inlineStr">
        <is>
          <t>443060</t>
        </is>
      </c>
      <c r="C204" s="45" t="inlineStr">
        <is>
          <t>2022</t>
        </is>
      </c>
      <c r="D204" s="45" t="inlineStr">
        <is>
          <t>Involuntary Turnover %</t>
        </is>
      </c>
      <c r="E204" s="45" t="n">
        <v>0.21</v>
      </c>
      <c r="F204" s="45" t="n">
        <v>1.15</v>
      </c>
      <c r="G204" s="45" t="n">
        <v>447.6</v>
      </c>
      <c r="H204" s="46" t="inlineStr">
        <is>
          <t>Ind.21=0 || Ind.21 (Involuntary Turnover): Claude=0</t>
        </is>
      </c>
      <c r="I204" s="47" t="n">
        <v>0.21</v>
      </c>
      <c r="J204" s="47" t="inlineStr">
        <is>
          <t>HDHMS_2024.pdf p.117: Total employee turnover=43, Voluntary employee turnover=42 (2022) -&gt; Involuntary = 1 person / Total employees 479 (p.115) = 0.21%. Confirms Claude. Same derived-proxy caveat as 2023 - report does not disclose an Involuntary Turnover Rate directly. DeepSeek's 1.15 does not reconcile with any disclosed figure.</t>
        </is>
      </c>
      <c r="K204" s="47" t="inlineStr">
        <is>
          <t>Yes (derived proxy - report has no explicit line item; see note)</t>
        </is>
      </c>
    </row>
    <row r="205" ht="15" customHeight="1" s="43">
      <c r="A205" s="48" t="inlineStr">
        <is>
          <t>HDHMS</t>
        </is>
      </c>
      <c r="B205" s="48" t="inlineStr">
        <is>
          <t>443060</t>
        </is>
      </c>
      <c r="C205" s="48" t="inlineStr">
        <is>
          <t>2024</t>
        </is>
      </c>
      <c r="D205" s="48" t="inlineStr">
        <is>
          <t>New Hire Rate %</t>
        </is>
      </c>
      <c r="E205" s="48" t="n">
        <v>19.88</v>
      </c>
      <c r="F205" s="48" t="n">
        <v>24.17</v>
      </c>
      <c r="G205" s="48" t="n">
        <v>21.6</v>
      </c>
      <c r="H205" s="46" t="inlineStr">
        <is>
          <t>Ind.4 (New Hire Rate): Claude=19</t>
        </is>
      </c>
      <c r="I205" s="47" t="n">
        <v>19.88</v>
      </c>
      <c r="J205" s="47" t="inlineStr">
        <is>
          <t>HDHMS_2024.pdf p.115 ('Recruitment and Retention', Global scope): Total employees 2024=840; p.116: Total new employees (Global) 2024=167. 167/840=19.88%. Exact match to Claude (method also reproduces Claude's unflagged 2022/2023 values: 196/680=28.82%, 203/785=25.86%). DeepSeek's 24.17% = 203 (2023's new-hire count) / 840 (2024's total employees) - a numerator/denominator year mismatch, consistent with the diagnostic note's year-shift hypothesis.</t>
        </is>
      </c>
      <c r="K205" s="47" t="inlineStr">
        <is>
          <t>Yes</t>
        </is>
      </c>
    </row>
    <row r="206" ht="15" customHeight="1" s="43">
      <c r="A206" s="48" t="inlineStr">
        <is>
          <t>HDHMS</t>
        </is>
      </c>
      <c r="B206" s="48" t="inlineStr">
        <is>
          <t>443060</t>
        </is>
      </c>
      <c r="C206" s="48" t="inlineStr">
        <is>
          <t>2024</t>
        </is>
      </c>
      <c r="D206" s="48" t="inlineStr">
        <is>
          <t>Female Board Directors %</t>
        </is>
      </c>
      <c r="E206" s="48" t="n">
        <v>16.67</v>
      </c>
      <c r="F206" s="48" t="n">
        <v>14.29</v>
      </c>
      <c r="G206" s="48" t="n">
        <v>14.3</v>
      </c>
      <c r="H206" s="46" t="inlineStr">
        <is>
          <t>Ind.11=16 || Ind.11 (Female Board Directors): Claude=16</t>
        </is>
      </c>
      <c r="I206" s="47" t="n">
        <v>14.29</v>
      </c>
      <c r="J206" s="47" t="inlineStr">
        <is>
          <t>HDHMS_2024.pdf p.120, Governance Data - 'Board of Directors' table (year-end FY2024 figures): Total directors=7, Female directors=1, Female director rate=14 (1/7=14.29%). Confirms DeepSeek, NOT Claude. Claude's 16.67% (=1/6) reflects a separate board-composition snapshot on p.97 explicitly dated 'as of the end of June 2025' (2 executive + 4 outside directors, 1 woman) - a real but POST-FY2024 board makeup, not the year-end figure the indicator calls for. The report's own year-end ESG Databook line (p.120) is the authoritative FY2024 figure.</t>
        </is>
      </c>
      <c r="K206" s="47" t="inlineStr">
        <is>
          <t>Yes</t>
        </is>
      </c>
    </row>
    <row r="207" ht="15" customHeight="1" s="43">
      <c r="A207" s="48" t="inlineStr">
        <is>
          <t>HDHMS</t>
        </is>
      </c>
      <c r="B207" s="48" t="inlineStr">
        <is>
          <t>443060</t>
        </is>
      </c>
      <c r="C207" s="48" t="inlineStr">
        <is>
          <t>2023</t>
        </is>
      </c>
      <c r="D207" s="48" t="inlineStr">
        <is>
          <t>Voluntary Turnover %</t>
        </is>
      </c>
      <c r="E207" s="48" t="n">
        <v>9.640000000000001</v>
      </c>
      <c r="F207" s="48" t="n">
        <v>8.69</v>
      </c>
      <c r="G207" s="48" t="n">
        <v>9.9</v>
      </c>
      <c r="H207" s="46" t="inlineStr">
        <is>
          <t>Ind.20 (Voluntary Turnover): Claude=9</t>
        </is>
      </c>
      <c r="I207" s="47" t="n">
        <v>9.640000000000001</v>
      </c>
      <c r="J207" s="47" t="inlineStr">
        <is>
          <t>HDHMS_2024.pdf p.117, 'Recruitment and Retention' table: 'Voluntary employee turnover rate' (HMS), 2023 = 9.64% - explicit, directly reported figure. Exact match to Claude. DeepSeek's 8.69 does not match this disclosed rate.</t>
        </is>
      </c>
      <c r="K207" s="47" t="inlineStr">
        <is>
          <t>Yes</t>
        </is>
      </c>
    </row>
    <row r="208" ht="15" customHeight="1" s="43">
      <c r="A208" s="48" t="inlineStr">
        <is>
          <t>HDHMS</t>
        </is>
      </c>
      <c r="B208" s="48" t="inlineStr">
        <is>
          <t>443060</t>
        </is>
      </c>
      <c r="C208" s="48" t="inlineStr">
        <is>
          <t>2022</t>
        </is>
      </c>
      <c r="D208" s="48" t="inlineStr">
        <is>
          <t>Voluntary Turnover %</t>
        </is>
      </c>
      <c r="E208" s="48" t="n">
        <v>9.859999999999999</v>
      </c>
      <c r="F208" s="48" t="n">
        <v>8.92</v>
      </c>
      <c r="G208" s="48" t="n">
        <v>9.5</v>
      </c>
      <c r="H208" s="46" t="inlineStr">
        <is>
          <t>Ind.20 (Voluntary Turnover): Claude=9</t>
        </is>
      </c>
      <c r="I208" s="47" t="n">
        <v>9.859999999999999</v>
      </c>
      <c r="J208" s="47" t="inlineStr">
        <is>
          <t>HDHMS_2024.pdf p.117: 'Voluntary employee turnover rate' (HMS), 2022 = 9.86% - explicit, directly reported figure. Exact match to Claude. DeepSeek's 8.92 does not match.</t>
        </is>
      </c>
      <c r="K208" s="47" t="inlineStr">
        <is>
          <t>Yes</t>
        </is>
      </c>
    </row>
    <row r="209" ht="15" customHeight="1" s="43">
      <c r="A209" s="45" t="inlineStr">
        <is>
          <t>HYOSUNG HEAVY</t>
        </is>
      </c>
      <c r="B209" s="45" t="inlineStr">
        <is>
          <t>298040</t>
        </is>
      </c>
      <c r="C209" s="45" t="inlineStr">
        <is>
          <t>2018</t>
        </is>
      </c>
      <c r="D209" s="45" t="inlineStr">
        <is>
          <t>Voluntary Turnover %</t>
        </is>
      </c>
      <c r="E209" s="45" t="n">
        <v>1.2</v>
      </c>
      <c r="F209" s="45" t="n">
        <v>12.59</v>
      </c>
      <c r="G209" s="45" t="n">
        <v>949.2</v>
      </c>
      <c r="H209" s="46" t="inlineStr">
        <is>
          <t>Ind.20 (Voluntary Turnover): Claude=1</t>
        </is>
      </c>
      <c r="I209" s="47" t="n">
        <v>1.2</v>
      </c>
      <c r="J209" s="47" t="inlineStr">
        <is>
          <t>HYOSUNG_HEAVY_2020.pdf, p.75 'Sustainability Performance' table, Hyosung Heavy Industries columns, 'Turnover rate', 2018 col. Claude correct, exact match; DeepSeek's 12.59 does not reconcile to any figure on this page.</t>
        </is>
      </c>
      <c r="K209" s="47" t="inlineStr">
        <is>
          <t>Yes</t>
        </is>
      </c>
    </row>
    <row r="210" ht="15" customHeight="1" s="43">
      <c r="A210" s="45" t="inlineStr">
        <is>
          <t>HYOSUNG HEAVY</t>
        </is>
      </c>
      <c r="B210" s="45" t="inlineStr">
        <is>
          <t>298040</t>
        </is>
      </c>
      <c r="C210" s="45" t="inlineStr">
        <is>
          <t>2024</t>
        </is>
      </c>
      <c r="D210" s="45" t="inlineStr">
        <is>
          <t>Union Membership %</t>
        </is>
      </c>
      <c r="E210" s="45" t="n">
        <v>16.6</v>
      </c>
      <c r="F210" s="45" t="n">
        <v>98.3</v>
      </c>
      <c r="G210" s="45" t="n">
        <v>492.2</v>
      </c>
      <c r="H210" s="46" t="inlineStr">
        <is>
          <t>Ind.22 (Union Membership): Claude=16 || Ind.22 continues at 98</t>
        </is>
      </c>
      <c r="I210" s="47" t="n">
        <v>98.3</v>
      </c>
      <c r="J210" s="47" t="inlineStr">
        <is>
          <t>HYOSUNG_HEAVY_2024.pdf, p.97 'Labor Unions' table, Unionization rate, 2024 col. DeepSeek correct; Claude's 16.6 appears to be the separate 'Percentage of total employees covered by collective bargaining agreements' row (16.9), a different metric.</t>
        </is>
      </c>
      <c r="K210" s="47" t="inlineStr">
        <is>
          <t>Yes</t>
        </is>
      </c>
    </row>
    <row r="211" ht="23.25" customHeight="1" s="43">
      <c r="A211" s="45" t="inlineStr">
        <is>
          <t>HYOSUNG HEAVY</t>
        </is>
      </c>
      <c r="B211" s="45" t="inlineStr">
        <is>
          <t>298040</t>
        </is>
      </c>
      <c r="C211" s="45" t="inlineStr">
        <is>
          <t>2023</t>
        </is>
      </c>
      <c r="D211" s="45" t="inlineStr">
        <is>
          <t>Union Membership %</t>
        </is>
      </c>
      <c r="E211" s="45" t="n">
        <v>17.74</v>
      </c>
      <c r="F211" s="45" t="n">
        <v>97.3</v>
      </c>
      <c r="G211" s="45" t="n">
        <v>448.5</v>
      </c>
      <c r="H211" s="46" t="inlineStr">
        <is>
          <t>Ind.22 (Union Membership): Claude=17 || Ind.22 continues the extreme instability (97</t>
        </is>
      </c>
      <c r="I211" s="47" t="n">
        <v>97.3</v>
      </c>
      <c r="J211" s="47" t="inlineStr">
        <is>
          <t>HYOSUNG_HEAVY_2024.pdf, p.97 'Labor Unions' table, Unionization rate, 2023 col. DeepSeek correct; Claude's 17.74 corresponds to the collective-bargaining-coverage row (18.2), not union membership.</t>
        </is>
      </c>
      <c r="K211" s="47" t="inlineStr">
        <is>
          <t>Yes</t>
        </is>
      </c>
    </row>
    <row r="212" ht="23.25" customHeight="1" s="43">
      <c r="A212" s="45" t="inlineStr">
        <is>
          <t>HYOSUNG HEAVY</t>
        </is>
      </c>
      <c r="B212" s="45" t="inlineStr">
        <is>
          <t>298040</t>
        </is>
      </c>
      <c r="C212" s="45" t="inlineStr">
        <is>
          <t>2022</t>
        </is>
      </c>
      <c r="D212" s="45" t="inlineStr">
        <is>
          <t>Union Membership %</t>
        </is>
      </c>
      <c r="E212" s="45" t="n">
        <v>19.67</v>
      </c>
      <c r="F212" s="45" t="n">
        <v>95.2</v>
      </c>
      <c r="G212" s="45" t="n">
        <v>384</v>
      </c>
      <c r="H212" s="46" t="inlineStr">
        <is>
          <t>Ind.22=19 || Ind.22 (Union Membership): Claude=19 || Ind.22 (Union Membership) DeepSeek=95</t>
        </is>
      </c>
      <c r="I212" s="47" t="n">
        <v>95.2</v>
      </c>
      <c r="J212" s="47" t="inlineStr">
        <is>
          <t>HYOSUNG_HEAVY_2022.pdf, p.90 'Labor Union Membership' table, Ratio of union workers, 2022 col (confirmed against same figure on HYOSUNG_HEAVY_2024.pdf p.97). DeepSeek correct; Claude's 19.67 matches the collective-bargaining-coverage row, not union membership.</t>
        </is>
      </c>
      <c r="K212" s="47" t="inlineStr">
        <is>
          <t>Yes</t>
        </is>
      </c>
    </row>
    <row r="213" ht="15" customHeight="1" s="43">
      <c r="A213" s="45" t="inlineStr">
        <is>
          <t>HYOSUNG HEAVY</t>
        </is>
      </c>
      <c r="B213" s="45" t="inlineStr">
        <is>
          <t>298040</t>
        </is>
      </c>
      <c r="C213" s="45" t="inlineStr">
        <is>
          <t>2019</t>
        </is>
      </c>
      <c r="D213" s="45" t="inlineStr">
        <is>
          <t>Voluntary Turnover %</t>
        </is>
      </c>
      <c r="E213" s="45" t="n">
        <v>2.76</v>
      </c>
      <c r="F213" s="45" t="n">
        <v>12.8</v>
      </c>
      <c r="G213" s="45" t="n">
        <v>363.8</v>
      </c>
      <c r="H213" s="46" t="inlineStr">
        <is>
          <t>Ind.20 (Voluntary Turnover): Claude=2</t>
        </is>
      </c>
      <c r="I213" s="47" t="n">
        <v>2.76</v>
      </c>
      <c r="J213" s="47" t="inlineStr">
        <is>
          <t>HYOSUNG_HEAVY_2020.pdf, p.75 'Sustainability Performance' table, Hyosung Heavy Industries columns, 'Turnover rate', 2019 col. Claude correct, exact match; DeepSeek's 12.8 does not reconcile to any figure on this page.</t>
        </is>
      </c>
      <c r="K213" s="47" t="inlineStr">
        <is>
          <t>Yes</t>
        </is>
      </c>
    </row>
    <row r="214" ht="15" customHeight="1" s="43">
      <c r="A214" s="45" t="inlineStr">
        <is>
          <t>HYOSUNG HEAVY</t>
        </is>
      </c>
      <c r="B214" s="45" t="inlineStr">
        <is>
          <t>298040</t>
        </is>
      </c>
      <c r="C214" s="45" t="inlineStr">
        <is>
          <t>2018</t>
        </is>
      </c>
      <c r="D214" s="45" t="inlineStr">
        <is>
          <t>New Hire Rate %</t>
        </is>
      </c>
      <c r="E214" s="45" t="n">
        <v>1.2332</v>
      </c>
      <c r="F214" s="45" t="n">
        <v>4.27</v>
      </c>
      <c r="G214" s="45" t="n">
        <v>246.3</v>
      </c>
      <c r="H214" s="46" t="inlineStr">
        <is>
          <t>Ind.4 (New Hire Rate): Claude=1</t>
        </is>
      </c>
      <c r="I214" s="47" t="n">
        <v>1.2332</v>
      </c>
      <c r="J214" s="47" t="inlineStr">
        <is>
          <t>HYOSUNG_HEAVY_2020.pdf, p.75 'Sustainability Performance' table, Hyosung Heavy Industries columns: 'Creating job opportunities (newly employed)' subtotal (43) / Total employees (3,487) x 100 = 1.2332%, 2018. Claude correct, exact match; DeepSeek's 4.27 does not reconcile.</t>
        </is>
      </c>
      <c r="K214" s="47" t="inlineStr">
        <is>
          <t>Yes</t>
        </is>
      </c>
    </row>
    <row r="215" ht="15" customHeight="1" s="43">
      <c r="A215" s="45" t="inlineStr">
        <is>
          <t>HYOSUNG HEAVY</t>
        </is>
      </c>
      <c r="B215" s="45" t="inlineStr">
        <is>
          <t>298040</t>
        </is>
      </c>
      <c r="C215" s="45" t="inlineStr">
        <is>
          <t>2021</t>
        </is>
      </c>
      <c r="D215" s="45" t="inlineStr">
        <is>
          <t>Fatality Rate</t>
        </is>
      </c>
      <c r="E215" s="45" t="n">
        <v>0.01</v>
      </c>
      <c r="F215" s="45" t="n">
        <v>0.03</v>
      </c>
      <c r="G215" s="45" t="n">
        <v>200</v>
      </c>
      <c r="H215" s="46" t="inlineStr">
        <is>
          <t>Ind.24=0 || Ind.24 (Fatality Rate): Claude=0</t>
        </is>
      </c>
      <c r="I215" s="47" t="n">
        <v>0.03</v>
      </c>
      <c r="J215" s="47" t="inlineStr">
        <is>
          <t>HYOSUNG_HEAVY_2022.pdf, p.91 'Occupational Accidents and Injuries' table, 'Employees' row, Fatality rate (Per 200,000 Hour), 2021 col. DeepSeek correct; Claude's 0.01 matches the adjacent 'Partners' (contractor) fatality-rate row for the same year, not the employee figure.</t>
        </is>
      </c>
      <c r="K215" s="47" t="inlineStr">
        <is>
          <t>Yes</t>
        </is>
      </c>
    </row>
    <row r="216" ht="15" customHeight="1" s="43">
      <c r="A216" s="45" t="inlineStr">
        <is>
          <t>HYOSUNG HEAVY</t>
        </is>
      </c>
      <c r="B216" s="45" t="inlineStr">
        <is>
          <t>298040</t>
        </is>
      </c>
      <c r="C216" s="45" t="inlineStr">
        <is>
          <t>2019</t>
        </is>
      </c>
      <c r="D216" s="45" t="inlineStr">
        <is>
          <t>Parental Leave: Female</t>
        </is>
      </c>
      <c r="E216" s="45" t="n">
        <v>14</v>
      </c>
      <c r="F216" s="45" t="n">
        <v>38</v>
      </c>
      <c r="G216" s="45" t="n">
        <v>171.4</v>
      </c>
      <c r="H216" s="46" t="inlineStr">
        <is>
          <t>Ind.16 (Parental Leave F): Claude=14, DeepSeek=38, Diff=171</t>
        </is>
      </c>
      <c r="I216" s="47" t="n">
        <v>14</v>
      </c>
      <c r="J216" s="47" t="inlineStr">
        <is>
          <t>HYOSUNG_HEAVY_2020.pdf, p.75 'Sustainability Performance' table, Hyosung Heavy Industries columns, 'Employees under childcare leave' (Female), 2019 col. Claude correct, exact match; DeepSeek's 38 does not match this table.</t>
        </is>
      </c>
      <c r="K216" s="47" t="inlineStr">
        <is>
          <t>Yes</t>
        </is>
      </c>
    </row>
    <row r="217" ht="15" customHeight="1" s="43">
      <c r="A217" s="45" t="inlineStr">
        <is>
          <t>HYOSUNG HEAVY</t>
        </is>
      </c>
      <c r="B217" s="45" t="inlineStr">
        <is>
          <t>298040</t>
        </is>
      </c>
      <c r="C217" s="45" t="inlineStr">
        <is>
          <t>2021</t>
        </is>
      </c>
      <c r="D217" s="45" t="inlineStr">
        <is>
          <t>Parental Leave: Female</t>
        </is>
      </c>
      <c r="E217" s="45" t="n">
        <v>19</v>
      </c>
      <c r="F217" s="45" t="n">
        <v>38</v>
      </c>
      <c r="G217" s="45" t="n">
        <v>100</v>
      </c>
      <c r="H217" s="46" t="inlineStr">
        <is>
          <t>Ind.16 (Parental Leave F): Claude=19, DeepSeek=38, Diff=100</t>
        </is>
      </c>
      <c r="I217" s="47" t="n">
        <v>19</v>
      </c>
      <c r="J217" s="47" t="inlineStr">
        <is>
          <t>HYOSUNG_HEAVY_2022.pdf, p.90 'Maternity and Childcare Leave' table, Childcare leave (female) — No. of employees on childcare leave, 2021 col. Claude correct; DeepSeek's 38 does not match any female parental-leave figure on this page for 2021.</t>
        </is>
      </c>
      <c r="K217" s="47" t="inlineStr">
        <is>
          <t>Yes</t>
        </is>
      </c>
    </row>
    <row r="218" ht="15" customHeight="1" s="43">
      <c r="A218" s="45" t="inlineStr">
        <is>
          <t>HYOSUNG HEAVY</t>
        </is>
      </c>
      <c r="B218" s="45" t="inlineStr">
        <is>
          <t>298040</t>
        </is>
      </c>
      <c r="C218" s="45" t="inlineStr">
        <is>
          <t>2019</t>
        </is>
      </c>
      <c r="D218" s="45" t="inlineStr">
        <is>
          <t>Female Contract Workers %</t>
        </is>
      </c>
      <c r="E218" s="45" t="n">
        <v>82.5688</v>
      </c>
      <c r="F218" s="45" t="n">
        <v>11.01</v>
      </c>
      <c r="G218" s="45" t="n">
        <v>86.7</v>
      </c>
      <c r="H218" s="46" t="inlineStr">
        <is>
          <t>Ind.3 (Female Contract%): Claude=82</t>
        </is>
      </c>
      <c r="I218" s="47" t="n">
        <v>82.5688</v>
      </c>
      <c r="J218" s="47" t="inlineStr">
        <is>
          <t>HYOSUNG_HEAVY_2020.pdf, p.75 'Sustainability Performance' table, Hyosung Heavy Industries columns: Temporary (female) (90) / Temporary subtotal (109) x 100 = 82.5688%, 2019. Claude correct, exact match; DeepSeek's 11.01 does not reconcile.</t>
        </is>
      </c>
      <c r="K218" s="47" t="inlineStr">
        <is>
          <t>Yes</t>
        </is>
      </c>
    </row>
    <row r="219" ht="15" customHeight="1" s="43">
      <c r="A219" s="45" t="inlineStr">
        <is>
          <t>HYOSUNG HEAVY</t>
        </is>
      </c>
      <c r="B219" s="45" t="inlineStr">
        <is>
          <t>298040</t>
        </is>
      </c>
      <c r="C219" s="45" t="inlineStr">
        <is>
          <t>2018</t>
        </is>
      </c>
      <c r="D219" s="45" t="inlineStr">
        <is>
          <t>New Hires Female %</t>
        </is>
      </c>
      <c r="E219" s="45" t="n">
        <v>30.2326</v>
      </c>
      <c r="F219" s="45" t="n">
        <v>8.720000000000001</v>
      </c>
      <c r="G219" s="45" t="n">
        <v>71.2</v>
      </c>
      <c r="H219" s="46" t="inlineStr">
        <is>
          <t>Ind.6 (New Hires Female%): Claude=30</t>
        </is>
      </c>
      <c r="I219" s="47" t="n">
        <v>30.2326</v>
      </c>
      <c r="J219" s="47" t="inlineStr">
        <is>
          <t>HYOSUNG_HEAVY_2020.pdf, p.75 'Sustainability Performance' table, Hyosung Heavy Industries columns: Newly employed Female (13) / Newly employed subtotal (43) x 100 = 30.2326%, 2018. Claude correct, exact match; DeepSeek's 8.72 does not reconcile.</t>
        </is>
      </c>
      <c r="K219" s="47" t="inlineStr">
        <is>
          <t>Yes</t>
        </is>
      </c>
    </row>
    <row r="220" ht="15" customHeight="1" s="43">
      <c r="A220" s="45" t="inlineStr">
        <is>
          <t>HYOSUNG HEAVY</t>
        </is>
      </c>
      <c r="B220" s="45" t="inlineStr">
        <is>
          <t>298040</t>
        </is>
      </c>
      <c r="C220" s="45" t="inlineStr">
        <is>
          <t>2020</t>
        </is>
      </c>
      <c r="D220" s="45" t="inlineStr">
        <is>
          <t>Parental Leave: Female</t>
        </is>
      </c>
      <c r="E220" s="45" t="n">
        <v>19</v>
      </c>
      <c r="F220" s="45" t="n">
        <v>32</v>
      </c>
      <c r="G220" s="45" t="n">
        <v>68.40000000000001</v>
      </c>
      <c r="H220" s="46" t="inlineStr">
        <is>
          <t>Ind.16 (Parental Leave F): Claude=19, DeepSeek=32, Diff=68</t>
        </is>
      </c>
      <c r="I220" s="47" t="n">
        <v>19</v>
      </c>
      <c r="J220" s="47" t="inlineStr">
        <is>
          <t>HYOSUNG_HEAVY_2022.pdf, p.90 'Maternity and Childcare Leave' table, Childcare leave (female) — No. of employees on childcare leave, 2020 col. Claude correct; DeepSeek's 32 does not match this table for 2020.</t>
        </is>
      </c>
      <c r="K220" s="47" t="inlineStr">
        <is>
          <t>Yes</t>
        </is>
      </c>
    </row>
    <row r="221" ht="15" customHeight="1" s="43">
      <c r="A221" s="45" t="inlineStr">
        <is>
          <t>HYOSUNG HEAVY</t>
        </is>
      </c>
      <c r="B221" s="45" t="inlineStr">
        <is>
          <t>298040</t>
        </is>
      </c>
      <c r="C221" s="45" t="inlineStr">
        <is>
          <t>2023</t>
        </is>
      </c>
      <c r="D221" s="45" t="inlineStr">
        <is>
          <t>Fatality Rate</t>
        </is>
      </c>
      <c r="E221" s="45" t="n">
        <v>3.04</v>
      </c>
      <c r="F221" s="45" t="n">
        <v>1</v>
      </c>
      <c r="G221" s="45" t="n">
        <v>67.09999999999999</v>
      </c>
      <c r="H221" s="46" t="inlineStr">
        <is>
          <t>Ind.24=3 || Ind.24 (Fatality Rate): Claude=3</t>
        </is>
      </c>
      <c r="I221" s="47" t="n">
        <v>3.04</v>
      </c>
      <c r="J221" s="47" t="inlineStr">
        <is>
          <t>HYOSUNG_HEAVY_2024.pdf, p.100 'Occupational Injuries and Ill-health' table, Employees row, 'Work-related fatality rate per ten thousand employees', 2023 col. Claude correct; DeepSeek's 1 is the raw fatality COUNT ('Number of fatalities as a result of work-related injuries' = 1 in 2023), not the rate.</t>
        </is>
      </c>
      <c r="K221" s="47" t="inlineStr">
        <is>
          <t>Yes</t>
        </is>
      </c>
    </row>
    <row r="222" ht="15" customHeight="1" s="43">
      <c r="A222" s="48" t="inlineStr">
        <is>
          <t>HYOSUNG HEAVY</t>
        </is>
      </c>
      <c r="B222" s="48" t="inlineStr">
        <is>
          <t>298040</t>
        </is>
      </c>
      <c r="C222" s="48" t="inlineStr">
        <is>
          <t>2018</t>
        </is>
      </c>
      <c r="D222" s="48" t="inlineStr">
        <is>
          <t>Parental Leave: Female</t>
        </is>
      </c>
      <c r="E222" s="48" t="n">
        <v>31</v>
      </c>
      <c r="F222" s="48" t="n">
        <v>46</v>
      </c>
      <c r="G222" s="48" t="n">
        <v>48.4</v>
      </c>
      <c r="H222" s="46" t="inlineStr">
        <is>
          <t>Ind.16 (Parental Leave F): Claude=31, DeepSeek=46, Diff=48</t>
        </is>
      </c>
      <c r="I222" s="47" t="n">
        <v>31</v>
      </c>
      <c r="J222" s="47" t="inlineStr">
        <is>
          <t>HYOSUNG_HEAVY_2020.pdf, p.75 'Sustainability Performance' table, Hyosung Heavy Industries columns, 'Employees under childcare leave' (Male), 2018 col. Claude correct, exact match; DeepSeek's 46 does not match this table.</t>
        </is>
      </c>
      <c r="K222" s="47" t="inlineStr">
        <is>
          <t>Yes</t>
        </is>
      </c>
    </row>
    <row r="223" ht="15" customHeight="1" s="43">
      <c r="A223" s="48" t="inlineStr">
        <is>
          <t>HYOSUNG HEAVY</t>
        </is>
      </c>
      <c r="B223" s="48" t="inlineStr">
        <is>
          <t>298040</t>
        </is>
      </c>
      <c r="C223" s="48" t="inlineStr">
        <is>
          <t>2018</t>
        </is>
      </c>
      <c r="D223" s="48" t="inlineStr">
        <is>
          <t>Parental Leave: Male</t>
        </is>
      </c>
      <c r="E223" s="48" t="n">
        <v>54</v>
      </c>
      <c r="F223" s="48" t="n">
        <v>78</v>
      </c>
      <c r="G223" s="48" t="n">
        <v>44.4</v>
      </c>
      <c r="H223" s="46" t="inlineStr">
        <is>
          <t>Ind.17 (Parental Leave M): Claude=54, DeepSeek=78, Diff=44</t>
        </is>
      </c>
      <c r="I223" s="47" t="n">
        <v>54</v>
      </c>
      <c r="J223" s="47" t="inlineStr">
        <is>
          <t>HYOSUNG_HEAVY_2020.pdf, p.75 'Sustainability Performance' table, Hyosung Heavy Industries columns, 'Employees under childcare leave' (Male), 2018 col. Claude correct, exact match; DeepSeek's 78 does not match this table.</t>
        </is>
      </c>
      <c r="K223" s="47" t="inlineStr">
        <is>
          <t>Yes</t>
        </is>
      </c>
    </row>
    <row r="224" ht="15" customHeight="1" s="43">
      <c r="A224" s="48" t="inlineStr">
        <is>
          <t>HYOSUNG HEAVY</t>
        </is>
      </c>
      <c r="B224" s="48" t="inlineStr">
        <is>
          <t>298040</t>
        </is>
      </c>
      <c r="C224" s="48" t="inlineStr">
        <is>
          <t>2019</t>
        </is>
      </c>
      <c r="D224" s="48" t="inlineStr">
        <is>
          <t>New Hires Female %</t>
        </is>
      </c>
      <c r="E224" s="48" t="n">
        <v>36.6255</v>
      </c>
      <c r="F224" s="48" t="n">
        <v>49.72</v>
      </c>
      <c r="G224" s="48" t="n">
        <v>35.8</v>
      </c>
      <c r="H224" s="46" t="inlineStr">
        <is>
          <t>Ind.6 (New Hires Female%): Claude=36</t>
        </is>
      </c>
      <c r="I224" s="47" t="n">
        <v>36.6255</v>
      </c>
      <c r="J224" s="47" t="inlineStr">
        <is>
          <t>HYOSUNG_HEAVY_2020.pdf, p.75 'Sustainability Performance' table, Hyosung Heavy Industries columns: Newly employed Female (89) / Newly employed subtotal (243) x 100 = 36.6255%, 2019. Claude correct, exact match; DeepSeek's 49.72 does not reconcile.</t>
        </is>
      </c>
      <c r="K224" s="47" t="inlineStr">
        <is>
          <t>Yes</t>
        </is>
      </c>
    </row>
    <row r="225" ht="15" customHeight="1" s="43">
      <c r="A225" s="48" t="inlineStr">
        <is>
          <t>HYOSUNG HEAVY</t>
        </is>
      </c>
      <c r="B225" s="48" t="inlineStr">
        <is>
          <t>298040</t>
        </is>
      </c>
      <c r="C225" s="48" t="inlineStr">
        <is>
          <t>2021</t>
        </is>
      </c>
      <c r="D225" s="48" t="inlineStr">
        <is>
          <t>Parental Leave: Male</t>
        </is>
      </c>
      <c r="E225" s="48" t="n">
        <v>64</v>
      </c>
      <c r="F225" s="48" t="n">
        <v>81</v>
      </c>
      <c r="G225" s="48" t="n">
        <v>26.6</v>
      </c>
      <c r="H225" s="46" t="inlineStr">
        <is>
          <t>Ind.17 (Parental Leave M): Claude=64, DeepSeek=81, Diff=26</t>
        </is>
      </c>
      <c r="I225" s="47" t="n">
        <v>64</v>
      </c>
      <c r="J225" s="47" t="inlineStr">
        <is>
          <t>HYOSUNG_HEAVY_2022.pdf, p.90 'Maternity and Childcare Leave' table, Childcare leave (male) — No. of employees on childcare leave, 2021 col. Claude correct; DeepSeek's 81 does not match this table for 2021.</t>
        </is>
      </c>
      <c r="K225" s="47" t="inlineStr">
        <is>
          <t>Yes</t>
        </is>
      </c>
    </row>
    <row r="226" ht="15" customHeight="1" s="43">
      <c r="A226" s="48" t="inlineStr">
        <is>
          <t>HYOSUNG HEAVY</t>
        </is>
      </c>
      <c r="B226" s="48" t="inlineStr">
        <is>
          <t>298040</t>
        </is>
      </c>
      <c r="C226" s="48" t="inlineStr">
        <is>
          <t>2019</t>
        </is>
      </c>
      <c r="D226" s="48" t="inlineStr">
        <is>
          <t>New Hire Rate %</t>
        </is>
      </c>
      <c r="E226" s="48" t="n">
        <v>6.9767</v>
      </c>
      <c r="F226" s="48" t="n">
        <v>5.14</v>
      </c>
      <c r="G226" s="48" t="n">
        <v>26.3</v>
      </c>
      <c r="H226" s="46" t="inlineStr">
        <is>
          <t>Ind.4 (New Hire Rate): Claude=6</t>
        </is>
      </c>
      <c r="I226" s="47" t="n">
        <v>6.9767</v>
      </c>
      <c r="J226" s="47" t="inlineStr">
        <is>
          <t>HYOSUNG_HEAVY_2020.pdf, p.75 'Sustainability Performance' table, Hyosung Heavy Industries columns: 'Creating job opportunities (newly employed)' subtotal (243) / Total employees (3,483) x 100 = 6.9767%, 2019. Claude correct, exact match; DeepSeek's 5.14 does not reconcile.</t>
        </is>
      </c>
      <c r="K226" s="47" t="inlineStr">
        <is>
          <t>Yes</t>
        </is>
      </c>
    </row>
    <row r="227" ht="15" customHeight="1" s="43">
      <c r="A227" s="48" t="inlineStr">
        <is>
          <t>HYOSUNG HEAVY</t>
        </is>
      </c>
      <c r="B227" s="48" t="inlineStr">
        <is>
          <t>298040</t>
        </is>
      </c>
      <c r="C227" s="48" t="inlineStr">
        <is>
          <t>2019</t>
        </is>
      </c>
      <c r="D227" s="48" t="inlineStr">
        <is>
          <t>Parental Leave: Male</t>
        </is>
      </c>
      <c r="E227" s="48" t="n">
        <v>132</v>
      </c>
      <c r="F227" s="48" t="n">
        <v>110</v>
      </c>
      <c r="G227" s="48" t="n">
        <v>16.7</v>
      </c>
      <c r="H227" s="46" t="inlineStr">
        <is>
          <t>Ind.17 (Parental Leave M): Claude=132, DeepSeek=110, Diff=16</t>
        </is>
      </c>
      <c r="I227" s="47" t="n">
        <v>132</v>
      </c>
      <c r="J227" s="47" t="inlineStr">
        <is>
          <t>HYOSUNG_HEAVY_2020.pdf, p.75 'Sustainability Performance' table, Hyosung Heavy Industries columns, 'Employees under childcare leave' (Male), 2019 col. Claude correct, exact match; DeepSeek's 110 does not match this table.</t>
        </is>
      </c>
      <c r="K227" s="47" t="inlineStr">
        <is>
          <t>Yes</t>
        </is>
      </c>
    </row>
    <row r="228" ht="15" customHeight="1" s="43">
      <c r="A228" s="48" t="inlineStr">
        <is>
          <t>HYOSUNG HEAVY</t>
        </is>
      </c>
      <c r="B228" s="48" t="inlineStr">
        <is>
          <t>298040</t>
        </is>
      </c>
      <c r="C228" s="48" t="inlineStr">
        <is>
          <t>2020</t>
        </is>
      </c>
      <c r="D228" s="48" t="inlineStr">
        <is>
          <t>Parental Leave: Male</t>
        </is>
      </c>
      <c r="E228" s="48" t="n">
        <v>69</v>
      </c>
      <c r="F228" s="48" t="n">
        <v>76</v>
      </c>
      <c r="G228" s="48" t="n">
        <v>10.1</v>
      </c>
      <c r="H228" s="46" t="inlineStr">
        <is>
          <t>Ind.17 (Parental Leave M): Claude=69, DeepSeek=76, Diff=10</t>
        </is>
      </c>
      <c r="I228" s="47" t="n">
        <v>69</v>
      </c>
      <c r="J228" s="47" t="inlineStr">
        <is>
          <t>HYOSUNG_HEAVY_2022.pdf, p.90 'Maternity and Childcare Leave' table, Childcare leave (male) — No. of employees on childcare leave, 2020 col. Claude correct; DeepSeek's 76 does not match this table for 2020.</t>
        </is>
      </c>
      <c r="K228" s="47" t="inlineStr">
        <is>
          <t>Yes</t>
        </is>
      </c>
    </row>
    <row r="229" ht="15" customHeight="1" s="43">
      <c r="A229" s="48" t="inlineStr">
        <is>
          <t>HYOSUNG HEAVY</t>
        </is>
      </c>
      <c r="B229" s="48" t="inlineStr">
        <is>
          <t>298040</t>
        </is>
      </c>
      <c r="C229" s="48" t="inlineStr">
        <is>
          <t>2021</t>
        </is>
      </c>
      <c r="D229" s="48" t="inlineStr">
        <is>
          <t>New Hire Rate %</t>
        </is>
      </c>
      <c r="E229" s="48" t="n">
        <v>7.9</v>
      </c>
      <c r="F229" s="48" t="n">
        <v>8.58</v>
      </c>
      <c r="G229" s="48" t="n">
        <v>8.6</v>
      </c>
      <c r="H229" s="46" t="inlineStr">
        <is>
          <t>Ind.4 (New Hire Rate): Claude=7</t>
        </is>
      </c>
      <c r="I229" s="47" t="n">
        <v>8.58</v>
      </c>
      <c r="J229" s="47" t="inlineStr">
        <is>
          <t>HYOSUNG_HEAVY_2022.pdf, p.89 'Employee Status' table: New recruits subtotal (268) / Total employees (3,125) x 100 = 8.58%, 2021. DeepSeek correct (matches exactly); Claude's 7.9 does not reconcile to any ratio on this page.</t>
        </is>
      </c>
      <c r="K229" s="47" t="inlineStr">
        <is>
          <t>Yes</t>
        </is>
      </c>
    </row>
    <row r="230" ht="15" customHeight="1" s="43">
      <c r="A230" s="48" t="inlineStr">
        <is>
          <t>HYOSUNG HEAVY</t>
        </is>
      </c>
      <c r="B230" s="48" t="inlineStr">
        <is>
          <t>298040</t>
        </is>
      </c>
      <c r="C230" s="48" t="inlineStr">
        <is>
          <t>2020</t>
        </is>
      </c>
      <c r="D230" s="48" t="inlineStr">
        <is>
          <t>New Hire Rate %</t>
        </is>
      </c>
      <c r="E230" s="48" t="n">
        <v>6.63</v>
      </c>
      <c r="F230" s="48" t="n">
        <v>7.1</v>
      </c>
      <c r="G230" s="48" t="n">
        <v>7.1</v>
      </c>
      <c r="H230" s="46" t="inlineStr">
        <is>
          <t>Ind.4 (New Hire Rate): Claude=6</t>
        </is>
      </c>
      <c r="I230" s="47" t="n">
        <v>7.1</v>
      </c>
      <c r="J230" s="47" t="inlineStr">
        <is>
          <t>HYOSUNG_HEAVY_2022.pdf, p.89 'Employee Status' table: New recruits subtotal (224) / Total employees (3,154) x 100 = 7.10%, 2020. DeepSeek correct (matches exactly); Claude's 6.63 does not reconcile to any ratio on this page.</t>
        </is>
      </c>
      <c r="K230" s="47" t="inlineStr">
        <is>
          <t>Yes</t>
        </is>
      </c>
    </row>
    <row r="231" ht="57" customHeight="1" s="43">
      <c r="A231" s="45" t="inlineStr">
        <is>
          <t>HYOSUNG HEAVY</t>
        </is>
      </c>
      <c r="B231" s="45" t="inlineStr">
        <is>
          <t>298040</t>
        </is>
      </c>
      <c r="C231" s="45" t="inlineStr">
        <is>
          <t>2022</t>
        </is>
      </c>
      <c r="D231" s="45" t="inlineStr">
        <is>
          <t>KCGS ESG Rating</t>
        </is>
      </c>
      <c r="E231" s="45" t="inlineStr">
        <is>
          <t>A</t>
        </is>
      </c>
      <c r="F231" s="45" t="inlineStr">
        <is>
          <t>A+</t>
        </is>
      </c>
      <c r="G231" s="45" t="inlineStr">
        <is>
          <t>N/A (div/0)</t>
        </is>
      </c>
      <c r="H231" s="46" t="inlineStr">
        <is>
          <t>Ind.30='A', matches 2022 report exactly || Ind.30 (KCGS Rating): Claude=A, DeepSeek=A+ (non-numeric mismatch) || NOTE: Ind || Ind.30 (KCGS Rating): DeepSeek's OWN batch2 gave 'A-' for 2022, while this batch3 gives 'A+' for the SAME YEAR - an internal DeepSeek contradiction, not just a Claude-vs-DeepSeek disagreement</t>
        </is>
      </c>
      <c r="I231" s="47" t="inlineStr">
        <is>
          <t>A</t>
        </is>
      </c>
      <c r="J231" s="47" t="inlineStr">
        <is>
          <t>HYOSUNG_HEAVY_2022.pdf, p.9 Company Overview box, 'KCGS ESG Rating' = A. Claude correct, exact match; DeepSeek's A+ does not match the report (and per the existing diagnostic note, contradicts DeepSeek's own other-batch value of A-).</t>
        </is>
      </c>
      <c r="K231" s="47" t="inlineStr">
        <is>
          <t>Yes</t>
        </is>
      </c>
    </row>
    <row r="232" ht="15" customHeight="1" s="43">
      <c r="A232" s="45" t="inlineStr">
        <is>
          <t>HYUNDAI ROTEM</t>
        </is>
      </c>
      <c r="B232" s="45" t="inlineStr">
        <is>
          <t>064350</t>
        </is>
      </c>
      <c r="C232" s="45" t="inlineStr">
        <is>
          <t>2018</t>
        </is>
      </c>
      <c r="D232" s="45" t="inlineStr">
        <is>
          <t>Female Permanent Workers %</t>
        </is>
      </c>
      <c r="E232" s="45" t="n">
        <v>1.58</v>
      </c>
      <c r="F232" s="45" t="n">
        <v>9.466699999999999</v>
      </c>
      <c r="G232" s="45" t="n">
        <v>499.2</v>
      </c>
      <c r="H232" s="46" t="inlineStr">
        <is>
          <t>Ind.2 (Female Permanent%): Claude=1</t>
        </is>
      </c>
      <c r="I232" s="47" t="n">
        <v>1.58</v>
      </c>
      <c r="J232" s="47" t="inlineStr">
        <is>
          <t>HYUNDAI_ROTEM_2021.pdf, p.61 (Factbook &gt; Employees &gt; 'Gender breakdown of employees by employment contract'): Full time Female 55 / Full time Total 3,480 = 1.58%. Cross-validated against p.38 employee table (Full-time workers + Executives, Female=55; Total=3,480).</t>
        </is>
      </c>
      <c r="K232" s="47" t="inlineStr">
        <is>
          <t>Yes</t>
        </is>
      </c>
    </row>
    <row r="233" ht="34.5" customHeight="1" s="43">
      <c r="A233" s="45" t="inlineStr">
        <is>
          <t>HYUNDAI ROTEM</t>
        </is>
      </c>
      <c r="B233" s="45" t="inlineStr">
        <is>
          <t>064350</t>
        </is>
      </c>
      <c r="C233" s="45" t="inlineStr">
        <is>
          <t>2024</t>
        </is>
      </c>
      <c r="D233" s="45" t="inlineStr">
        <is>
          <t>Contract Workers %</t>
        </is>
      </c>
      <c r="E233" s="45" t="n">
        <v>9.859999999999999</v>
      </c>
      <c r="F233" s="45" t="n">
        <v>0.95</v>
      </c>
      <c r="G233" s="45" t="n">
        <v>90.40000000000001</v>
      </c>
      <c r="H233" s="46" t="inlineStr">
        <is>
          <t>Ind.1 (Contract Workers%): Claude=9 || Ind.1 gap continues at ~90% - consistent pattern across all 3 years confirms this is systematic, not random</t>
        </is>
      </c>
      <c r="I233" s="47" t="n">
        <v>9.859999999999999</v>
      </c>
      <c r="J233" s="49" t="inlineStr">
        <is>
          <t>HYUNDAI_ROTEM_2025.pdf, p.79 (Factbook &gt; Status of Organization &gt; 'Employee Status &gt; By Employment Type'): Regular Workers / Contract Workers / Total by year:
2022 - Contract 309 / Total 3,587 = 8.61%
2023 - Contract 350 / Total 3,923 = 8.92%
2024 - Contract 413 / Total 4,190 = 9.86%
Row value used: 9.86 (2024).</t>
        </is>
      </c>
      <c r="K233" s="47" t="inlineStr">
        <is>
          <t>Yes</t>
        </is>
      </c>
    </row>
    <row r="234" ht="23.25" customHeight="1" s="43">
      <c r="A234" s="45" t="inlineStr">
        <is>
          <t>HYUNDAI ROTEM</t>
        </is>
      </c>
      <c r="B234" s="45" t="inlineStr">
        <is>
          <t>064350</t>
        </is>
      </c>
      <c r="C234" s="45" t="inlineStr">
        <is>
          <t>2023</t>
        </is>
      </c>
      <c r="D234" s="45" t="inlineStr">
        <is>
          <t>Contract Workers %</t>
        </is>
      </c>
      <c r="E234" s="45" t="n">
        <v>8.92</v>
      </c>
      <c r="F234" s="45" t="n">
        <v>0.9399999999999999</v>
      </c>
      <c r="G234" s="45" t="n">
        <v>89.5</v>
      </c>
      <c r="H234" s="46" t="inlineStr">
        <is>
          <t>Ind.1 (Contract Workers%): Claude=8 || Ind.1 gap continues at ~90% - see 2022 note for context</t>
        </is>
      </c>
      <c r="I234" s="47" t="n">
        <v>8.92</v>
      </c>
      <c r="J234" s="49" t="inlineStr">
        <is>
          <t>HYUNDAI_ROTEM_2025.pdf, p.79 (Factbook &gt; Status of Organization &gt; 'Employee Status &gt; By Employment Type'): Regular Workers / Contract Workers / Total by year:
2022 - Contract 309 / Total 3,587 = 8.61%
2023 - Contract 350 / Total 3,923 = 8.92%
2024 - Contract 413 / Total 4,190 = 9.86%
Row value used: 8.92 (2023).</t>
        </is>
      </c>
      <c r="K234" s="47" t="inlineStr">
        <is>
          <t>Yes</t>
        </is>
      </c>
    </row>
    <row r="235" ht="23.25" customHeight="1" s="43">
      <c r="A235" s="45" t="inlineStr">
        <is>
          <t>HYUNDAI ROTEM</t>
        </is>
      </c>
      <c r="B235" s="45" t="inlineStr">
        <is>
          <t>064350</t>
        </is>
      </c>
      <c r="C235" s="45" t="inlineStr">
        <is>
          <t>2024</t>
        </is>
      </c>
      <c r="D235" s="45" t="inlineStr">
        <is>
          <t>LTIFR</t>
        </is>
      </c>
      <c r="E235" s="45" t="n">
        <v>1.11</v>
      </c>
      <c r="F235" s="45" t="n">
        <v>0.12</v>
      </c>
      <c r="G235" s="45" t="n">
        <v>89.2</v>
      </c>
      <c r="H235" s="46" t="inlineStr">
        <is>
          <t>Ind.23 (LTIFR): Claude=1 || Ind.23 (LTIFR) gap now at ~89%, the largest yet</t>
        </is>
      </c>
      <c r="I235" s="47" t="n">
        <v>1.11</v>
      </c>
      <c r="J235" s="47" t="inlineStr">
        <is>
          <t>HYUNDAI_ROTEM_2025.pdf, p.89 (Factbook &gt; Social &gt; Safety table): 'Lost Time Injury Frequency Rate (LTIFR) - Employees' row (Cases/Total Work Hours). 2024 value: 1.11.</t>
        </is>
      </c>
      <c r="K235" s="47" t="inlineStr">
        <is>
          <t>Yes</t>
        </is>
      </c>
    </row>
    <row r="236" ht="45.75" customHeight="1" s="43">
      <c r="A236" s="45" t="inlineStr">
        <is>
          <t>HYUNDAI ROTEM</t>
        </is>
      </c>
      <c r="B236" s="45" t="inlineStr">
        <is>
          <t>064350</t>
        </is>
      </c>
      <c r="C236" s="45" t="inlineStr">
        <is>
          <t>2022</t>
        </is>
      </c>
      <c r="D236" s="45" t="inlineStr">
        <is>
          <t>Contract Workers %</t>
        </is>
      </c>
      <c r="E236" s="45" t="n">
        <v>8.609999999999999</v>
      </c>
      <c r="F236" s="45" t="n">
        <v>1.03</v>
      </c>
      <c r="G236" s="45" t="n">
        <v>88</v>
      </c>
      <c r="H236" s="46" t="inlineStr">
        <is>
          <t>Ind.1 (Contract Workers%): Claude=8 || Ind.1 (Contract Workers%) shows a MASSIVE, STABLE gap across 2022-2024 (~88-90% lower in DeepSeek every year) - this consistency suggests a genuine denominator/scope difference in DeepSeek's most recent batch (e</t>
        </is>
      </c>
      <c r="I236" s="47" t="n">
        <v>8.609999999999999</v>
      </c>
      <c r="J236" s="49" t="inlineStr">
        <is>
          <t>HYUNDAI_ROTEM_2025.pdf, p.79 (Factbook &gt; Status of Organization &gt; 'Employee Status &gt; By Employment Type'): Regular Workers / Contract Workers / Total by year:
2022 - Contract 309 / Total 3,587 = 8.61%
2023 - Contract 350 / Total 3,923 = 8.92%
2024 - Contract 413 / Total 4,190 = 9.86%
Row value used: 8.61 (2022).</t>
        </is>
      </c>
      <c r="K236" s="47" t="inlineStr">
        <is>
          <t>Yes</t>
        </is>
      </c>
    </row>
    <row r="237" ht="15" customHeight="1" s="43">
      <c r="A237" s="45" t="inlineStr">
        <is>
          <t>HYUNDAI ROTEM</t>
        </is>
      </c>
      <c r="B237" s="45" t="inlineStr">
        <is>
          <t>064350</t>
        </is>
      </c>
      <c r="C237" s="45" t="inlineStr">
        <is>
          <t>2023</t>
        </is>
      </c>
      <c r="D237" s="45" t="inlineStr">
        <is>
          <t>LTIFR</t>
        </is>
      </c>
      <c r="E237" s="45" t="n">
        <v>1.32</v>
      </c>
      <c r="F237" s="45" t="n">
        <v>0.4</v>
      </c>
      <c r="G237" s="45" t="n">
        <v>69.7</v>
      </c>
      <c r="H237" s="46" t="inlineStr">
        <is>
          <t>Ind.23 (LTIFR): Claude=1 || Ind.23 (LTIFR) gap widening further</t>
        </is>
      </c>
      <c r="I237" s="47" t="n">
        <v>1.32</v>
      </c>
      <c r="J237" s="47" t="inlineStr">
        <is>
          <t>HYUNDAI_ROTEM_2025.pdf, p.89 (Factbook &gt; Social &gt; Safety table): 'Lost Time Injury Frequency Rate (LTIFR) - Employees' row (Cases/Total Work Hours). 2023 value: 1.32.</t>
        </is>
      </c>
      <c r="K237" s="47" t="inlineStr">
        <is>
          <t>Yes</t>
        </is>
      </c>
    </row>
    <row r="238" ht="15" customHeight="1" s="43">
      <c r="A238" s="48" t="inlineStr">
        <is>
          <t>HYUNDAI ROTEM</t>
        </is>
      </c>
      <c r="B238" s="48" t="inlineStr">
        <is>
          <t>064350</t>
        </is>
      </c>
      <c r="C238" s="48" t="inlineStr">
        <is>
          <t>2021</t>
        </is>
      </c>
      <c r="D238" s="48" t="inlineStr">
        <is>
          <t>Female Permanent Workers %</t>
        </is>
      </c>
      <c r="E238" s="48" t="n">
        <v>1.94</v>
      </c>
      <c r="F238" s="48" t="n">
        <v>2.54</v>
      </c>
      <c r="G238" s="48" t="n">
        <v>30.9</v>
      </c>
      <c r="H238" s="46" t="inlineStr">
        <is>
          <t>Ind.2 (Female Permanent%): Claude=1</t>
        </is>
      </c>
      <c r="I238" s="47" t="n">
        <v>1.94</v>
      </c>
      <c r="J238" s="47" t="inlineStr">
        <is>
          <t>HYUNDAI_ROTEM_2022.pdf, p.82 (Factbook &gt; Employment status &gt; 'Gender breakdown of employees by contract type'): Permanent Female 64 / Permanent Subtotal 3,292 = 1.94%.</t>
        </is>
      </c>
      <c r="K238" s="47" t="inlineStr">
        <is>
          <t>Yes</t>
        </is>
      </c>
    </row>
    <row r="239" ht="15" customHeight="1" s="43">
      <c r="A239" s="48" t="inlineStr">
        <is>
          <t>HYUNDAI ROTEM</t>
        </is>
      </c>
      <c r="B239" s="48" t="inlineStr">
        <is>
          <t>064350</t>
        </is>
      </c>
      <c r="C239" s="48" t="inlineStr">
        <is>
          <t>2018</t>
        </is>
      </c>
      <c r="D239" s="48" t="inlineStr">
        <is>
          <t>Female Contract Workers %</t>
        </is>
      </c>
      <c r="E239" s="48" t="n">
        <v>12.82</v>
      </c>
      <c r="F239" s="48" t="n">
        <v>9.5588</v>
      </c>
      <c r="G239" s="48" t="n">
        <v>25.4</v>
      </c>
      <c r="H239" s="46" t="inlineStr">
        <is>
          <t>Ind.3 (Female Contract%): Claude=12</t>
        </is>
      </c>
      <c r="I239" s="47" t="n">
        <v>12.82</v>
      </c>
      <c r="J239" s="47" t="inlineStr">
        <is>
          <t>HYUNDAI_ROTEM_2021.pdf, p.61 (Factbook &gt; Employees &gt; 'Gender breakdown of employees by employment contract'): Contract employees Female 20 / Contract employees Total 156 = 12.82%.</t>
        </is>
      </c>
      <c r="K239" s="47" t="inlineStr">
        <is>
          <t>Yes</t>
        </is>
      </c>
    </row>
    <row r="240" ht="34.5" customHeight="1" s="43">
      <c r="A240" s="48" t="inlineStr">
        <is>
          <t>HYUNDAI ROTEM</t>
        </is>
      </c>
      <c r="B240" s="48" t="inlineStr">
        <is>
          <t>064350</t>
        </is>
      </c>
      <c r="C240" s="48" t="inlineStr">
        <is>
          <t>2022</t>
        </is>
      </c>
      <c r="D240" s="48" t="inlineStr">
        <is>
          <t>LTIFR</t>
        </is>
      </c>
      <c r="E240" s="48" t="n">
        <v>0.58</v>
      </c>
      <c r="F240" s="48" t="n">
        <v>0.44</v>
      </c>
      <c r="G240" s="48" t="n">
        <v>24.1</v>
      </c>
      <c r="H240" s="46" t="inlineStr">
        <is>
          <t>Ind.23=0 || Ind.23 (LTIFR): Claude=0 || Ind.23 (LTIFR) also shows a growing gap over these years (24%-&gt;70%-&gt;89%) - worth checking if DeepSeek's LTIFR scope narrowed over successive report editions</t>
        </is>
      </c>
      <c r="I240" s="47" t="n">
        <v>0.58</v>
      </c>
      <c r="J240" s="47" t="inlineStr">
        <is>
          <t>HYUNDAI_ROTEM_2025.pdf, p.89 (Factbook &gt; Social &gt; Safety table): 'Lost Time Injury Frequency Rate (LTIFR) - Employees' row (Cases/Total Work Hours). 2022 value: 0.58.</t>
        </is>
      </c>
      <c r="K240" s="47" t="inlineStr">
        <is>
          <t>Yes</t>
        </is>
      </c>
    </row>
    <row r="241" ht="15" customHeight="1" s="43">
      <c r="A241" s="48" t="inlineStr">
        <is>
          <t>HYUNDAI ROTEM</t>
        </is>
      </c>
      <c r="B241" s="48" t="inlineStr">
        <is>
          <t>064350</t>
        </is>
      </c>
      <c r="C241" s="48" t="inlineStr">
        <is>
          <t>2020</t>
        </is>
      </c>
      <c r="D241" s="48" t="inlineStr">
        <is>
          <t>Female Permanent Workers %</t>
        </is>
      </c>
      <c r="E241" s="48" t="n">
        <v>1.83</v>
      </c>
      <c r="F241" s="48" t="n">
        <v>1.48</v>
      </c>
      <c r="G241" s="48" t="n">
        <v>19.1</v>
      </c>
      <c r="H241" s="46" t="inlineStr">
        <is>
          <t>Ind.2 (Female Permanent%): Claude=1</t>
        </is>
      </c>
      <c r="I241" s="47" t="n">
        <v>1.83</v>
      </c>
      <c r="J241" s="47" t="inlineStr">
        <is>
          <t>HYUNDAI_ROTEM_2021.pdf, p.61 (Factbook &gt; Employees &gt; 'Gender breakdown of employees by employment contract'): Full time Female 58 / Full time Total 3,174 = 1.83%. Cross-validated against HYUNDAI_ROTEM_2022.pdf p.82 (Permanent Female 58 / Subtotal 3,174 for 2020) - exact match.</t>
        </is>
      </c>
      <c r="K241" s="47" t="inlineStr">
        <is>
          <t>Yes</t>
        </is>
      </c>
    </row>
    <row r="242" ht="15" customHeight="1" s="43">
      <c r="A242" s="48" t="inlineStr">
        <is>
          <t>HYUNDAI ROTEM</t>
        </is>
      </c>
      <c r="B242" s="48" t="inlineStr">
        <is>
          <t>064350</t>
        </is>
      </c>
      <c r="C242" s="48" t="inlineStr">
        <is>
          <t>2024</t>
        </is>
      </c>
      <c r="D242" s="48" t="inlineStr">
        <is>
          <t>Annual Pay</t>
        </is>
      </c>
      <c r="E242" s="48" t="n">
        <v>120000000</v>
      </c>
      <c r="F242" s="48" t="n">
        <v>137709000</v>
      </c>
      <c r="G242" s="48" t="n">
        <v>14.8</v>
      </c>
      <c r="H242" s="46" t="inlineStr">
        <is>
          <t>Ind.12 (Annual Pay): Claude=120000000, DeepSeek=137709000, Diff=14</t>
        </is>
      </c>
      <c r="I242" s="47" t="n">
        <v>120000000</v>
      </c>
      <c r="J242" s="47" t="inlineStr">
        <is>
          <t>HYUNDAI_ROTEM_2025.pdf, p.81 (Factbook &gt; Governance &gt; 'CEO and Employee Compensation'): 'Average Compensation of All Employees (Excluding CEO)' reported directly in Million KRW. 2024 value: 120 Million KRW = 120,000,000 KRW.</t>
        </is>
      </c>
      <c r="K242" s="47" t="inlineStr">
        <is>
          <t>Yes</t>
        </is>
      </c>
    </row>
    <row r="243" ht="15" customHeight="1" s="43">
      <c r="A243" s="48" t="inlineStr">
        <is>
          <t>HYUNDAI ROTEM</t>
        </is>
      </c>
      <c r="B243" s="48" t="inlineStr">
        <is>
          <t>064350</t>
        </is>
      </c>
      <c r="C243" s="48" t="inlineStr">
        <is>
          <t>2023</t>
        </is>
      </c>
      <c r="D243" s="48" t="inlineStr">
        <is>
          <t>Annual Pay</t>
        </is>
      </c>
      <c r="E243" s="48" t="n">
        <v>103000000</v>
      </c>
      <c r="F243" s="48" t="n">
        <v>117257000</v>
      </c>
      <c r="G243" s="48" t="n">
        <v>13.8</v>
      </c>
      <c r="H243" s="46" t="inlineStr">
        <is>
          <t>Ind.12 (Annual Pay): Claude=103000000, DeepSeek=117257000, Diff=13</t>
        </is>
      </c>
      <c r="I243" s="47" t="n">
        <v>103000000</v>
      </c>
      <c r="J243" s="47" t="inlineStr">
        <is>
          <t>HYUNDAI_ROTEM_2025.pdf, p.81 (Factbook &gt; Governance &gt; 'CEO and Employee Compensation'): 'Average Compensation of All Employees (Excluding CEO)' reported directly in Million KRW. 2023 value: 103 Million KRW = 103,000,000 KRW.</t>
        </is>
      </c>
      <c r="K243" s="47" t="inlineStr">
        <is>
          <t>Yes</t>
        </is>
      </c>
    </row>
    <row r="244" ht="15" customHeight="1" s="43">
      <c r="A244" s="48" t="inlineStr">
        <is>
          <t>HYUNDAI ROTEM</t>
        </is>
      </c>
      <c r="B244" s="48" t="inlineStr">
        <is>
          <t>064350</t>
        </is>
      </c>
      <c r="C244" s="48" t="inlineStr">
        <is>
          <t>2018</t>
        </is>
      </c>
      <c r="D244" s="48" t="inlineStr">
        <is>
          <t>Contract Workers %</t>
        </is>
      </c>
      <c r="E244" s="48" t="n">
        <v>4.29</v>
      </c>
      <c r="F244" s="48" t="n">
        <v>3.7404</v>
      </c>
      <c r="G244" s="48" t="n">
        <v>12.8</v>
      </c>
      <c r="H244" s="46" t="inlineStr">
        <is>
          <t>Ind.1 (Contract Workers%): Claude=4</t>
        </is>
      </c>
      <c r="I244" s="47" t="n">
        <v>4.29</v>
      </c>
      <c r="J244" s="47" t="inlineStr">
        <is>
          <t>HYUNDAI_ROTEM_2021.pdf, p.61 (Factbook &gt; Employees &gt; 'Gender breakdown of employees by employment contract'): Contract employees Total 156 / Total employees 3,636 = 4.29%. Cross-validated against p.38 table (Contractors Full-time + Part-time, both genders = 154+2 = 156).</t>
        </is>
      </c>
      <c r="K244" s="47" t="inlineStr">
        <is>
          <t>Yes</t>
        </is>
      </c>
    </row>
    <row r="245" ht="23.25" customHeight="1" s="43">
      <c r="A245" s="48" t="inlineStr">
        <is>
          <t>HYUNDAI ROTEM</t>
        </is>
      </c>
      <c r="B245" s="48" t="inlineStr">
        <is>
          <t>064350</t>
        </is>
      </c>
      <c r="C245" s="48" t="inlineStr">
        <is>
          <t>2022</t>
        </is>
      </c>
      <c r="D245" s="48" t="inlineStr">
        <is>
          <t>Annual Pay</t>
        </is>
      </c>
      <c r="E245" s="48" t="n">
        <v>95000000</v>
      </c>
      <c r="F245" s="48" t="n">
        <v>106775000</v>
      </c>
      <c r="G245" s="48" t="n">
        <v>12.4</v>
      </c>
      <c r="H245" s="46" t="inlineStr">
        <is>
          <t>Ind.12's 'Annual Total Compensation || Ind.12 (Annual Pay): Claude=95000000, DeepSeek=106775000, Diff=12</t>
        </is>
      </c>
      <c r="I245" s="47" t="n">
        <v>95000000</v>
      </c>
      <c r="J245" s="47" t="inlineStr">
        <is>
          <t>HYUNDAI_ROTEM_2025.pdf, p.81 (Factbook &gt; Governance &gt; 'CEO and Employee Compensation'): 'Average Compensation of All Employees (Excluding CEO)' reported directly in Million KRW. 2022 value: 95 Million KRW = 95,000,000 KRW.</t>
        </is>
      </c>
      <c r="K245" s="47" t="inlineStr">
        <is>
          <t>Yes</t>
        </is>
      </c>
    </row>
    <row r="246" ht="15" customHeight="1" s="43">
      <c r="A246" s="48" t="inlineStr">
        <is>
          <t>HYUNDAI ROTEM</t>
        </is>
      </c>
      <c r="B246" s="48" t="inlineStr">
        <is>
          <t>064350</t>
        </is>
      </c>
      <c r="C246" s="48" t="inlineStr">
        <is>
          <t>2023</t>
        </is>
      </c>
      <c r="D246" s="48" t="inlineStr">
        <is>
          <t>Female Contract Workers %</t>
        </is>
      </c>
      <c r="E246" s="48" t="n">
        <v>11.43</v>
      </c>
      <c r="F246" s="48" t="n">
        <v>10.66</v>
      </c>
      <c r="G246" s="48" t="n">
        <v>6.7</v>
      </c>
      <c r="H246" s="46" t="inlineStr">
        <is>
          <t>Ind.3 (Female Contract%): Claude=11</t>
        </is>
      </c>
      <c r="I246" s="47" t="n">
        <v>11.43</v>
      </c>
      <c r="J246" s="47" t="inlineStr">
        <is>
          <t>HYUNDAI_ROTEM_2025.pdf, p.79 (Factbook &gt; Status of Organization &gt; 'Employee Status &gt; By Employment Type'): Contract Workers Female 40 / Contract Workers Total 350 (2023) = 11.43%.</t>
        </is>
      </c>
      <c r="K246" s="47" t="inlineStr">
        <is>
          <t>Yes</t>
        </is>
      </c>
    </row>
    <row r="247" ht="15" customHeight="1" s="43">
      <c r="A247" s="48" t="inlineStr">
        <is>
          <t>HYUNDAI ROTEM</t>
        </is>
      </c>
      <c r="B247" s="48" t="inlineStr">
        <is>
          <t>064350</t>
        </is>
      </c>
      <c r="C247" s="48" t="inlineStr">
        <is>
          <t>2024</t>
        </is>
      </c>
      <c r="D247" s="48" t="inlineStr">
        <is>
          <t>Female Contract Workers %</t>
        </is>
      </c>
      <c r="E247" s="48" t="n">
        <v>10.9</v>
      </c>
      <c r="F247" s="48" t="n">
        <v>10.28</v>
      </c>
      <c r="G247" s="48" t="n">
        <v>5.7</v>
      </c>
      <c r="H247" s="46" t="inlineStr">
        <is>
          <t>Ind.3 (Female Contract%): Claude=10</t>
        </is>
      </c>
      <c r="I247" s="47" t="n">
        <v>10.9</v>
      </c>
      <c r="J247" s="47" t="inlineStr">
        <is>
          <t>HYUNDAI_ROTEM_2025.pdf, p.79 (Factbook &gt; Status of Organization &gt; 'Employee Status &gt; By Employment Type'): Contract Workers Female 45 / Contract Workers Total 413 (2024) = 10.90%.</t>
        </is>
      </c>
      <c r="K247" s="47" t="inlineStr">
        <is>
          <t>Yes</t>
        </is>
      </c>
    </row>
    <row r="248" ht="15" customHeight="1" s="43">
      <c r="A248" s="48" t="inlineStr">
        <is>
          <t>HYUNDAI ROTEM</t>
        </is>
      </c>
      <c r="B248" s="48" t="inlineStr">
        <is>
          <t>064350</t>
        </is>
      </c>
      <c r="C248" s="48" t="inlineStr">
        <is>
          <t>2022</t>
        </is>
      </c>
      <c r="D248" s="48" t="inlineStr">
        <is>
          <t>Female Permanent Workers %</t>
        </is>
      </c>
      <c r="E248" s="48" t="n">
        <v>2.56</v>
      </c>
      <c r="F248" s="48" t="n">
        <v>2.42</v>
      </c>
      <c r="G248" s="48" t="n">
        <v>5.5</v>
      </c>
      <c r="H248" s="46" t="inlineStr">
        <is>
          <t>Ind.2 (Female Permanent%): Claude=2</t>
        </is>
      </c>
      <c r="I248" s="47" t="n">
        <v>2.56</v>
      </c>
      <c r="J248" s="47" t="inlineStr">
        <is>
          <t>HYUNDAI_ROTEM_2025.pdf, p.79 (Factbook &gt; Status of Organization &gt; 'Employee Status &gt; By Employment Type'): Regular Workers Female 84 / Regular Workers Total 3,278 (2022) = 2.56%.</t>
        </is>
      </c>
      <c r="K248" s="47" t="inlineStr">
        <is>
          <t>Yes</t>
        </is>
      </c>
    </row>
    <row r="249" ht="68.25" customHeight="1" s="43">
      <c r="A249" s="45" t="inlineStr">
        <is>
          <t>L&amp;F</t>
        </is>
      </c>
      <c r="B249" s="45" t="inlineStr">
        <is>
          <t>066970</t>
        </is>
      </c>
      <c r="C249" s="45" t="inlineStr">
        <is>
          <t>2023</t>
        </is>
      </c>
      <c r="D249" s="45" t="inlineStr">
        <is>
          <t>Parental Leave: Male</t>
        </is>
      </c>
      <c r="E249" s="45" t="n">
        <v>5</v>
      </c>
      <c r="F249" s="45" t="n">
        <v>206</v>
      </c>
      <c r="G249" s="45" t="n">
        <v>4020</v>
      </c>
      <c r="H249" s="46" t="inlineStr">
        <is>
          <t>Ind.17 (Parental Leave M): Claude=5, DeepSeek=206, Diff=4020 || Ind.17 (Parental Leave Male) DeepSeek value of 206 for 2023 is IMPLAUSIBLE for this company's small workforce size (compare Female=11 same year, and Claude's own value of 5) - very likely a DeepSeek extraction error (possibly confused with a different metric or company-wide headcount figure)</t>
        </is>
      </c>
      <c r="I249" s="47" t="n">
        <v>5</v>
      </c>
      <c r="J249" s="47" t="inlineStr">
        <is>
          <t>2023 L&amp;F ESG Report, p.79 - 'Welfare benefits' table, 'Number of parental leave users' row, Male column, 2023 = 5</t>
        </is>
      </c>
      <c r="K249" s="47" t="inlineStr">
        <is>
          <t>Yes</t>
        </is>
      </c>
    </row>
    <row r="250" ht="57" customHeight="1" s="43">
      <c r="A250" s="45" t="inlineStr">
        <is>
          <t>L&amp;F</t>
        </is>
      </c>
      <c r="B250" s="45" t="inlineStr">
        <is>
          <t>066970</t>
        </is>
      </c>
      <c r="C250" s="45" t="inlineStr">
        <is>
          <t>2023</t>
        </is>
      </c>
      <c r="D250" s="45" t="inlineStr">
        <is>
          <t>Gender Pay Gap %</t>
        </is>
      </c>
      <c r="E250" s="45" t="n">
        <v>-11</v>
      </c>
      <c r="F250" s="45" t="n">
        <v>56</v>
      </c>
      <c r="G250" s="45" t="n">
        <v>609.1</v>
      </c>
      <c r="H250" s="46" t="inlineStr">
        <is>
          <t>Ind.13 (Gender Pay Gap): Claude=-11, DeepSeek=56, Diff=609 || Ind.13 (Gender Pay Gap) also shows a SIGN FLIP: Claude found -11% (women earn more), DeepSeek found +56% (men earn much more) - this is a serious, not just magnitude, disagreement worth priority manual verification</t>
        </is>
      </c>
      <c r="I250" s="47" t="n">
        <v>-11</v>
      </c>
      <c r="J250" s="47" t="inlineStr">
        <is>
          <t>2023 L&amp;F ESG Report, p.41 - 'Employee Performance Management System', 'Gender Equal Pay' chart (female/male wage ratio) = 111% (2023); Gender Pay Gap (100=parity) = 100-111 = -11. Matches Claude's calc exactly.</t>
        </is>
      </c>
      <c r="K250" s="47" t="inlineStr">
        <is>
          <t>Yes</t>
        </is>
      </c>
    </row>
    <row r="251" ht="45.75" customHeight="1" s="43">
      <c r="A251" s="45" t="inlineStr">
        <is>
          <t>L&amp;F</t>
        </is>
      </c>
      <c r="B251" s="45" t="inlineStr">
        <is>
          <t>066970</t>
        </is>
      </c>
      <c r="C251" s="45" t="inlineStr">
        <is>
          <t>2023</t>
        </is>
      </c>
      <c r="D251" s="45" t="inlineStr">
        <is>
          <t>Female Board Directors %</t>
        </is>
      </c>
      <c r="E251" s="45" t="n">
        <v>12.5</v>
      </c>
      <c r="F251" s="45" t="n">
        <v>37.5</v>
      </c>
      <c r="G251" s="45" t="n">
        <v>200</v>
      </c>
      <c r="H251" s="46" t="inlineStr">
        <is>
          <t>Ind.11=12 || Ind.11 (Female Board Directors): Claude=12 || Ind.11 (Female Board Directors) conflict may stem from DeepSeek using a different board-reference table (per its own note, it used a tabulated page-79 figure of 3 female directors rather than a more current listing)</t>
        </is>
      </c>
      <c r="I251" s="47" t="n">
        <v>12.5</v>
      </c>
      <c r="J251" s="47" t="inlineStr">
        <is>
          <t>2023 L&amp;F ESG Report, p.60 - 'Status of the Board of Directors' table: 8 directors (3 executive + 5 independent), 1 female (Kyunghee Kim, independent director) = 1/8 = 12.5%</t>
        </is>
      </c>
      <c r="K251" s="47" t="inlineStr">
        <is>
          <t>Yes</t>
        </is>
      </c>
    </row>
    <row r="252" ht="23.25" customHeight="1" s="43">
      <c r="A252" s="45" t="inlineStr">
        <is>
          <t>L&amp;F</t>
        </is>
      </c>
      <c r="B252" s="45" t="inlineStr">
        <is>
          <t>066970</t>
        </is>
      </c>
      <c r="C252" s="45" t="inlineStr">
        <is>
          <t>2023</t>
        </is>
      </c>
      <c r="D252" s="45" t="inlineStr">
        <is>
          <t>Training Budget per Employee</t>
        </is>
      </c>
      <c r="E252" s="45" t="n">
        <v>85624</v>
      </c>
      <c r="F252" s="45" t="n">
        <v>197428</v>
      </c>
      <c r="G252" s="45" t="n">
        <v>130.6</v>
      </c>
      <c r="H252" s="46" t="inlineStr">
        <is>
          <t>Ind.14 (Training Budget)=85,624 - a ~7 || Ind.14 (Training Budget/Employee): Claude=85624, DeepSeek=197428, Diff=130</t>
        </is>
      </c>
      <c r="I252" s="47" t="n">
        <v>85624</v>
      </c>
      <c r="J252" s="47" t="inlineStr">
        <is>
          <t>2023 L&amp;F ESG Report, p.41 - 'Status of Capacity-Building Program' table, 'Training Cost per Individual (KRW)' row, 2023 = 85,624</t>
        </is>
      </c>
      <c r="K252" s="47" t="inlineStr">
        <is>
          <t>Yes</t>
        </is>
      </c>
    </row>
    <row r="253" ht="15" customHeight="1" s="43">
      <c r="A253" s="48" t="inlineStr">
        <is>
          <t>L&amp;F</t>
        </is>
      </c>
      <c r="B253" s="48" t="inlineStr">
        <is>
          <t>066970</t>
        </is>
      </c>
      <c r="C253" s="48" t="inlineStr">
        <is>
          <t>2023</t>
        </is>
      </c>
      <c r="D253" s="48" t="inlineStr">
        <is>
          <t>Annual Pay</t>
        </is>
      </c>
      <c r="E253" s="48" t="n">
        <v>78000000</v>
      </c>
      <c r="F253" s="48" t="n">
        <v>45253000</v>
      </c>
      <c r="G253" s="48" t="n">
        <v>42</v>
      </c>
      <c r="H253" s="46" t="inlineStr">
        <is>
          <t>Ind.12 (Annual Pay): Claude=78000000, DeepSeek=45253000, Diff=42</t>
        </is>
      </c>
      <c r="I253" s="47" t="n">
        <v>78000000</v>
      </c>
      <c r="J253" s="47" t="inlineStr">
        <is>
          <t>2023 L&amp;F ESG Report, p.41 - 'Average Salary per Employee' chart (Unit: KRW million), 2023 = 78 -&gt; 78,000,000 KRW</t>
        </is>
      </c>
      <c r="K253" s="47" t="inlineStr">
        <is>
          <t>Yes</t>
        </is>
      </c>
    </row>
    <row r="254" ht="15" customHeight="1" s="43">
      <c r="A254" s="48" t="inlineStr">
        <is>
          <t>L&amp;F</t>
        </is>
      </c>
      <c r="B254" s="48" t="inlineStr">
        <is>
          <t>066970</t>
        </is>
      </c>
      <c r="C254" s="48" t="inlineStr">
        <is>
          <t>2023</t>
        </is>
      </c>
      <c r="D254" s="48" t="inlineStr">
        <is>
          <t>Parental Leave: Female</t>
        </is>
      </c>
      <c r="E254" s="48" t="n">
        <v>8</v>
      </c>
      <c r="F254" s="48" t="n">
        <v>11</v>
      </c>
      <c r="G254" s="48" t="n">
        <v>37.5</v>
      </c>
      <c r="H254" s="46" t="inlineStr">
        <is>
          <t>Ind.16 (Parental Leave F): Claude=8, DeepSeek=11, Diff=37</t>
        </is>
      </c>
      <c r="I254" s="47" t="n">
        <v>8</v>
      </c>
      <c r="J254" s="47" t="inlineStr">
        <is>
          <t>2023 L&amp;F ESG Report, p.79 - 'Welfare benefits' table, 'Number of parental leave users' row, Female column, 2023 = 8</t>
        </is>
      </c>
      <c r="K254" s="47" t="inlineStr">
        <is>
          <t>Yes</t>
        </is>
      </c>
    </row>
    <row r="255" ht="34.5" customHeight="1" s="43">
      <c r="A255" s="48" t="inlineStr">
        <is>
          <t>L&amp;F</t>
        </is>
      </c>
      <c r="B255" s="48" t="inlineStr">
        <is>
          <t>066970</t>
        </is>
      </c>
      <c r="C255" s="48" t="inlineStr">
        <is>
          <t>2022</t>
        </is>
      </c>
      <c r="D255" s="48" t="inlineStr">
        <is>
          <t>Annual Pay</t>
        </is>
      </c>
      <c r="E255" s="48" t="n">
        <v>76000000</v>
      </c>
      <c r="F255" s="48" t="n">
        <v>53520296</v>
      </c>
      <c r="G255" s="48" t="n">
        <v>29.6</v>
      </c>
      <c r="H255" s="46" t="inlineStr">
        <is>
          <t>Ind.12=76,000,000 - nearly DOUBLES from 2021's 42,000,000, plausible for a rapidly growing company but worth noting the magnitude || Ind.12 (Annual Pay): Claude=76000000, DeepSeek=53520296, Diff=29</t>
        </is>
      </c>
      <c r="I255" s="47" t="n">
        <v>76000000</v>
      </c>
      <c r="J255" s="47" t="inlineStr">
        <is>
          <t>2023 L&amp;F ESG Report, p.41 - 'Average Salary per Employee' chart (Unit: KRW million), 2022 = 76 -&gt; 76,000,000 KRW</t>
        </is>
      </c>
      <c r="K255" s="47" t="inlineStr">
        <is>
          <t>Yes</t>
        </is>
      </c>
    </row>
    <row r="256" ht="15" customHeight="1" s="43">
      <c r="A256" s="45" t="inlineStr">
        <is>
          <t>SAMYANGFOODS</t>
        </is>
      </c>
      <c r="B256" s="45" t="inlineStr">
        <is>
          <t>003230</t>
        </is>
      </c>
      <c r="C256" s="45" t="inlineStr">
        <is>
          <t>2023</t>
        </is>
      </c>
      <c r="D256" s="45" t="inlineStr">
        <is>
          <t>Parental Leave: Female</t>
        </is>
      </c>
      <c r="E256" s="45" t="n">
        <v>5</v>
      </c>
      <c r="F256" s="45" t="n">
        <v>94</v>
      </c>
      <c r="G256" s="45" t="n">
        <v>1780</v>
      </c>
      <c r="H256" s="46" t="inlineStr">
        <is>
          <t>Ind.16 (Parental Leave F): Claude=5, DeepSeek=94, Diff=1780</t>
        </is>
      </c>
      <c r="I256" s="47" t="n">
        <v>5</v>
      </c>
      <c r="J256" s="47" t="inlineStr">
        <is>
          <t>samyangfoods_2025.pdf, p.114 - 'Employees using parental leave' (육아휴직 사용 임직원) table, Female row (2023): 5. Exact match to Claude. DeepSeek's 94 matches the separate 'Eligible for parental leave' (육아휴직 대상 임직원) table's MALE row (94) - DeepSeek pulled the wrong row (eligibility, not usage) and the wrong gender column.</t>
        </is>
      </c>
      <c r="K256" s="47" t="inlineStr">
        <is>
          <t>Yes</t>
        </is>
      </c>
    </row>
    <row r="257" ht="15" customHeight="1" s="43">
      <c r="A257" s="45" t="inlineStr">
        <is>
          <t>SAMYANGFOODS</t>
        </is>
      </c>
      <c r="B257" s="45" t="inlineStr">
        <is>
          <t>003230</t>
        </is>
      </c>
      <c r="C257" s="45" t="inlineStr">
        <is>
          <t>2024</t>
        </is>
      </c>
      <c r="D257" s="45" t="inlineStr">
        <is>
          <t>Parental Leave: Female</t>
        </is>
      </c>
      <c r="E257" s="45" t="n">
        <v>10</v>
      </c>
      <c r="F257" s="45" t="n">
        <v>116</v>
      </c>
      <c r="G257" s="45" t="n">
        <v>1060</v>
      </c>
      <c r="H257" s="46" t="inlineStr">
        <is>
          <t>Ind.16 (Parental Leave F): Claude=10, DeepSeek=116, Diff=1060</t>
        </is>
      </c>
      <c r="I257" s="47" t="n">
        <v>10</v>
      </c>
      <c r="J257" s="47" t="inlineStr">
        <is>
          <t>samyangfoods_2025.pdf, p.114 - 'Employees using parental leave' table, Female row (2024): 10. Exact match to Claude. DeepSeek's 116 matches 'Eligible for parental leave' table's Male row (116) - same row+gender mismatch as 2023.</t>
        </is>
      </c>
      <c r="K257" s="47" t="inlineStr">
        <is>
          <t>Yes</t>
        </is>
      </c>
    </row>
    <row r="258" ht="15" customHeight="1" s="43">
      <c r="A258" s="45" t="inlineStr">
        <is>
          <t>SAMYANGFOODS</t>
        </is>
      </c>
      <c r="B258" s="45" t="inlineStr">
        <is>
          <t>003230</t>
        </is>
      </c>
      <c r="C258" s="45" t="inlineStr">
        <is>
          <t>2024</t>
        </is>
      </c>
      <c r="D258" s="45" t="inlineStr">
        <is>
          <t>Parental Leave: Male</t>
        </is>
      </c>
      <c r="E258" s="45" t="n">
        <v>5</v>
      </c>
      <c r="F258" s="45" t="n">
        <v>32</v>
      </c>
      <c r="G258" s="45" t="n">
        <v>540</v>
      </c>
      <c r="H258" s="46" t="inlineStr">
        <is>
          <t>Ind.17 (Parental Leave M): Claude=5, DeepSeek=32, Diff=540</t>
        </is>
      </c>
      <c r="I258" s="47" t="n">
        <v>5</v>
      </c>
      <c r="J258" s="47" t="inlineStr">
        <is>
          <t>samyangfoods_2025.pdf, p.114 - 'Employees using parental leave' table, Male row (2024): 5. Exact match to Claude. DeepSeek's 32 matches 'Eligible for parental leave' table's Female row (32) - same row+gender mismatch pattern.</t>
        </is>
      </c>
      <c r="K258" s="47" t="inlineStr">
        <is>
          <t>Yes</t>
        </is>
      </c>
    </row>
    <row r="259" ht="15" customHeight="1" s="43">
      <c r="A259" s="45" t="inlineStr">
        <is>
          <t>SAMYANGFOODS</t>
        </is>
      </c>
      <c r="B259" s="45" t="inlineStr">
        <is>
          <t>003230</t>
        </is>
      </c>
      <c r="C259" s="45" t="inlineStr">
        <is>
          <t>2023</t>
        </is>
      </c>
      <c r="D259" s="45" t="inlineStr">
        <is>
          <t>Involuntary Turnover %</t>
        </is>
      </c>
      <c r="E259" s="45" t="n">
        <v>7.1</v>
      </c>
      <c r="F259" s="45" t="n">
        <v>32.1</v>
      </c>
      <c r="G259" s="45" t="n">
        <v>352.1</v>
      </c>
      <c r="H259" s="46" t="inlineStr">
        <is>
          <t>Ind.21 (Involuntary Turnover): Claude=7</t>
        </is>
      </c>
      <c r="I259" s="47" t="n">
        <v>7.1</v>
      </c>
      <c r="J259" s="47" t="inlineStr">
        <is>
          <t>samyangfoods_2025.pdf, p.113 - 'Turnover rate' (이직률) table, '비자발적 이직 비율' (Involuntary turnover ratio) = 7.1% (2023). Exact match to Claude. DeepSeek's 32.1 equals the report's own 'Voluntary turnover ratio' (자발적 이직 비율) for 2023 - Voluntary/Involuntary rows swapped in DeepSeek's extraction (see also Ind.20 2023 note).</t>
        </is>
      </c>
      <c r="K259" s="47" t="inlineStr">
        <is>
          <t>Yes</t>
        </is>
      </c>
    </row>
    <row r="260" ht="23.25" customHeight="1" s="43">
      <c r="A260" s="45" t="inlineStr">
        <is>
          <t>SAMYANGFOODS</t>
        </is>
      </c>
      <c r="B260" s="45" t="inlineStr">
        <is>
          <t>003230</t>
        </is>
      </c>
      <c r="C260" s="45" t="inlineStr">
        <is>
          <t>2023</t>
        </is>
      </c>
      <c r="D260" s="45" t="inlineStr">
        <is>
          <t>Parental Leave: Male</t>
        </is>
      </c>
      <c r="E260" s="45" t="n">
        <v>7</v>
      </c>
      <c r="F260" s="45" t="n">
        <v>29</v>
      </c>
      <c r="G260" s="45" t="n">
        <v>314.3</v>
      </c>
      <c r="H260" s="46" t="inlineStr">
        <is>
          <t>Ind.17 (Parental Leave Male)=7 vs 2023 ed || Ind.17 (Parental Leave M): Claude=7, DeepSeek=29, Diff=314</t>
        </is>
      </c>
      <c r="I260" s="47" t="n">
        <v>7</v>
      </c>
      <c r="J260" s="47" t="inlineStr">
        <is>
          <t>samyangfoods_2025.pdf, p.114 - 'Employees using parental leave' table, Male row (2023): 7. Exact match to Claude. DeepSeek's 29 matches 'Eligible for parental leave' table's Female row (29) - DeepSeek pulled the eligibility row instead of the usage row, with Male/Female swapped.</t>
        </is>
      </c>
      <c r="K260" s="47" t="inlineStr">
        <is>
          <t>Yes</t>
        </is>
      </c>
    </row>
    <row r="261" ht="15" customHeight="1" s="43">
      <c r="A261" s="45" t="inlineStr">
        <is>
          <t>SAMYANGFOODS</t>
        </is>
      </c>
      <c r="B261" s="45" t="inlineStr">
        <is>
          <t>003230</t>
        </is>
      </c>
      <c r="C261" s="45" t="inlineStr">
        <is>
          <t>2024</t>
        </is>
      </c>
      <c r="D261" s="45" t="inlineStr">
        <is>
          <t>Involuntary Turnover %</t>
        </is>
      </c>
      <c r="E261" s="45" t="n">
        <v>6.6</v>
      </c>
      <c r="F261" s="45" t="n">
        <v>21</v>
      </c>
      <c r="G261" s="45" t="n">
        <v>218.2</v>
      </c>
      <c r="H261" s="46" t="inlineStr">
        <is>
          <t>Ind.21 (Involuntary Turnover): Claude=6</t>
        </is>
      </c>
      <c r="I261" s="47" t="n">
        <v>6.6</v>
      </c>
      <c r="J261" s="47" t="inlineStr">
        <is>
          <t>samyangfoods_2025.pdf, p.113 - 'Turnover rate' table, Involuntary turnover ratio = 6.6% (2024). Exact match to Claude. DeepSeek's 21 equals the report's Voluntary turnover ratio for 2024 (21%) - same Voluntary/Involuntary swap pattern as 2023.</t>
        </is>
      </c>
      <c r="K261" s="47" t="inlineStr">
        <is>
          <t>Yes</t>
        </is>
      </c>
    </row>
    <row r="262" ht="15" customHeight="1" s="43">
      <c r="A262" s="45" t="inlineStr">
        <is>
          <t>SAMYANGFOODS</t>
        </is>
      </c>
      <c r="B262" s="45" t="inlineStr">
        <is>
          <t>003230</t>
        </is>
      </c>
      <c r="C262" s="45" t="inlineStr">
        <is>
          <t>2021</t>
        </is>
      </c>
      <c r="D262" s="45" t="inlineStr">
        <is>
          <t>Contract Workers %</t>
        </is>
      </c>
      <c r="E262" s="45" t="n">
        <v>10.51</v>
      </c>
      <c r="F262" s="45" t="n">
        <v>21.29</v>
      </c>
      <c r="G262" s="45" t="n">
        <v>102.6</v>
      </c>
      <c r="H262" s="46" t="inlineStr">
        <is>
          <t>Ind.1 (Contract Workers%): Claude=10</t>
        </is>
      </c>
      <c r="I262" s="47" t="n">
        <v>10.51</v>
      </c>
      <c r="J262" s="47" t="inlineStr">
        <is>
          <t>SAMYANGFOODS_2023.pdf, p.87 - 'Employees' table: Temporary employees (Male 117 + Female 75 = 192) / Total employees (1,826) = 10.51% (2021). Exact match to Claude. DeepSeek's 21.29 does not correspond to any denominator combination on this page.</t>
        </is>
      </c>
      <c r="K262" s="47" t="inlineStr">
        <is>
          <t>Yes</t>
        </is>
      </c>
    </row>
    <row r="263" ht="34.5" customHeight="1" s="43">
      <c r="A263" s="45" t="inlineStr">
        <is>
          <t>SAMYANGFOODS</t>
        </is>
      </c>
      <c r="B263" s="45" t="inlineStr">
        <is>
          <t>003230</t>
        </is>
      </c>
      <c r="C263" s="45" t="inlineStr">
        <is>
          <t>2023</t>
        </is>
      </c>
      <c r="D263" s="45" t="inlineStr">
        <is>
          <t>Voluntary Turnover %</t>
        </is>
      </c>
      <c r="E263" s="45" t="n">
        <v>32.1</v>
      </c>
      <c r="F263" s="45" t="n">
        <v>3.1</v>
      </c>
      <c r="G263" s="45" t="n">
        <v>90.3</v>
      </c>
      <c r="H263" s="46" t="inlineStr">
        <is>
          <t>Ind.20 (Voluntary Turnover): Claude=32 || Ind.20/21 (Voluntary/Involuntary Turnover) values appear to be SWAPPED - DeepSeek's Involuntary figure matches Claude's Voluntary figure almost exactly (and vice versa)</t>
        </is>
      </c>
      <c r="I263" s="47" t="n">
        <v>32.1</v>
      </c>
      <c r="J263" s="47" t="inlineStr">
        <is>
          <t>samyangfoods_2025.pdf, p.113 - 'Turnover rate' table, Voluntary turnover ratio (자발적 이직 비율) = 32.1% (2023). Exact match to Claude. DeepSeek's 3.1 does not match this row; DeepSeek's paired Involuntary-Turnover value for 2023 (32.1, see Ind.21 note) exactly equals this Voluntary figure, confirming the Voluntary/Involuntary swap.</t>
        </is>
      </c>
      <c r="K263" s="47" t="inlineStr">
        <is>
          <t>Yes</t>
        </is>
      </c>
    </row>
    <row r="264" ht="45.75" customHeight="1" s="43">
      <c r="A264" s="45" t="inlineStr">
        <is>
          <t>SAMYANGFOODS</t>
        </is>
      </c>
      <c r="B264" s="45" t="inlineStr">
        <is>
          <t>003230</t>
        </is>
      </c>
      <c r="C264" s="45" t="inlineStr">
        <is>
          <t>2024</t>
        </is>
      </c>
      <c r="D264" s="45" t="inlineStr">
        <is>
          <t>Voluntary Turnover %</t>
        </is>
      </c>
      <c r="E264" s="45" t="n">
        <v>21</v>
      </c>
      <c r="F264" s="45" t="n">
        <v>2.1</v>
      </c>
      <c r="G264" s="45" t="n">
        <v>90</v>
      </c>
      <c r="H264" s="46" t="inlineStr">
        <is>
          <t>Ind.20 (Voluntary Turnover): Claude=21, DeepSeek=2 || Ind.20/21 (Voluntary/Involuntary Turnover) values appear to be SWAPPED - DeepSeek's Involuntary figure matches Claude's Voluntary figure almost exactly (and vice versa)</t>
        </is>
      </c>
      <c r="I264" s="47" t="n">
        <v>21</v>
      </c>
      <c r="J264" s="47" t="inlineStr">
        <is>
          <t>samyangfoods_2025.pdf, p.113 - 'Turnover rate' table, Voluntary turnover ratio = 21% (2024). Exact match to Claude. DeepSeek's 2.1 does not match; DeepSeek's Involuntary-Turnover value for 2024 (21, see Ind.21 note) exactly equals this Voluntary figure - same swap pattern as 2023.</t>
        </is>
      </c>
      <c r="K264" s="47" t="inlineStr">
        <is>
          <t>Yes</t>
        </is>
      </c>
    </row>
    <row r="265" ht="15" customHeight="1" s="43">
      <c r="A265" s="45" t="inlineStr">
        <is>
          <t>SAMYANGFOODS</t>
        </is>
      </c>
      <c r="B265" s="45" t="inlineStr">
        <is>
          <t>003230</t>
        </is>
      </c>
      <c r="C265" s="45" t="inlineStr">
        <is>
          <t>2022</t>
        </is>
      </c>
      <c r="D265" s="45" t="inlineStr">
        <is>
          <t>LTIFR</t>
        </is>
      </c>
      <c r="E265" s="45" t="n">
        <v>0.52</v>
      </c>
      <c r="F265" s="45" t="n">
        <v>0.1</v>
      </c>
      <c r="G265" s="45" t="n">
        <v>80.8</v>
      </c>
      <c r="H265" s="46" t="inlineStr">
        <is>
          <t>Ind.23 (LTIFR): Claude=0</t>
        </is>
      </c>
      <c r="I265" s="47" t="n">
        <v>0.52</v>
      </c>
      <c r="J265" s="47" t="inlineStr">
        <is>
          <t>SAMYANGFOODS_2023.pdf, p.89 - 'Lost Time Injury Rate (LTIR)' = 0.52 (2022). Exact match to Claude. DeepSeek's 0.1 matches the adjacent 'Occupational Illness Frequency Rate (OIFR)' row (0.1, 2022) - DeepSeek pulled the wrong safety-metric row (illness rate instead of injury rate).</t>
        </is>
      </c>
      <c r="K265" s="47" t="inlineStr">
        <is>
          <t>Yes</t>
        </is>
      </c>
    </row>
    <row r="266" ht="15" customHeight="1" s="43">
      <c r="A266" s="45" t="inlineStr">
        <is>
          <t>SAMYANGFOODS</t>
        </is>
      </c>
      <c r="B266" s="45" t="inlineStr">
        <is>
          <t>003230</t>
        </is>
      </c>
      <c r="C266" s="45" t="inlineStr">
        <is>
          <t>2021</t>
        </is>
      </c>
      <c r="D266" s="45" t="inlineStr">
        <is>
          <t>LTIFR</t>
        </is>
      </c>
      <c r="E266" s="45" t="n">
        <v>0.24</v>
      </c>
      <c r="F266" s="45" t="n">
        <v>0.06</v>
      </c>
      <c r="G266" s="45" t="n">
        <v>75</v>
      </c>
      <c r="H266" s="46" t="inlineStr">
        <is>
          <t>Ind.23 (LTIFR): Claude=0</t>
        </is>
      </c>
      <c r="I266" s="47" t="n">
        <v>0.24</v>
      </c>
      <c r="J266" s="47" t="inlineStr">
        <is>
          <t>SAMYANGFOODS_2023.pdf, p.89 - LTIR = 0.24 (2021). Exact match to Claude. DeepSeek's 0.06 matches OIFR (0.06, 2021) - same row-mislabeling as 2022.</t>
        </is>
      </c>
      <c r="K266" s="47" t="inlineStr">
        <is>
          <t>Yes</t>
        </is>
      </c>
    </row>
    <row r="267" ht="15" customHeight="1" s="43">
      <c r="A267" s="45" t="inlineStr">
        <is>
          <t>SAMYANGFOODS</t>
        </is>
      </c>
      <c r="B267" s="45" t="inlineStr">
        <is>
          <t>003230</t>
        </is>
      </c>
      <c r="C267" s="45" t="inlineStr">
        <is>
          <t>2022</t>
        </is>
      </c>
      <c r="D267" s="45" t="inlineStr">
        <is>
          <t>Female Contract Workers %</t>
        </is>
      </c>
      <c r="E267" s="45" t="n">
        <v>41.49</v>
      </c>
      <c r="F267" s="45" t="n">
        <v>65.11</v>
      </c>
      <c r="G267" s="45" t="n">
        <v>56.9</v>
      </c>
      <c r="H267" s="46" t="inlineStr">
        <is>
          <t>Ind.3 (Female Contract%): Claude=41</t>
        </is>
      </c>
      <c r="I267" s="47" t="n">
        <v>41.49</v>
      </c>
      <c r="J267" s="47" t="inlineStr">
        <is>
          <t>SAMYANGFOODS_2023.pdf, p.87 - 'Employees' table: Temporary employees, Female 139 / Total temporary (Male 196 + Female 139 = 335) = 41.49% (2022). Exact match to Claude. DeepSeek's 65.11 does not match any ratio on this page.</t>
        </is>
      </c>
      <c r="K267" s="47" t="inlineStr">
        <is>
          <t>Yes</t>
        </is>
      </c>
    </row>
    <row r="268" ht="15" customHeight="1" s="43">
      <c r="A268" s="45" t="inlineStr">
        <is>
          <t>SAMYANGFOODS</t>
        </is>
      </c>
      <c r="B268" s="45" t="inlineStr">
        <is>
          <t>003230</t>
        </is>
      </c>
      <c r="C268" s="45" t="inlineStr">
        <is>
          <t>2021</t>
        </is>
      </c>
      <c r="D268" s="45" t="inlineStr">
        <is>
          <t>Female Contract Workers %</t>
        </is>
      </c>
      <c r="E268" s="45" t="n">
        <v>39.06</v>
      </c>
      <c r="F268" s="45" t="n">
        <v>59</v>
      </c>
      <c r="G268" s="45" t="n">
        <v>51</v>
      </c>
      <c r="H268" s="46" t="inlineStr">
        <is>
          <t>Ind.3 (Female Contract%): Claude=39</t>
        </is>
      </c>
      <c r="I268" s="47" t="n">
        <v>39.06</v>
      </c>
      <c r="J268" s="47" t="inlineStr">
        <is>
          <t>SAMYANGFOODS_2023.pdf, p.87 - Temporary employees, Female 75 / Total temporary (Male 117 + Female 75 = 192) = 39.06% (2021). Exact match to Claude. DeepSeek's 59 does not match.</t>
        </is>
      </c>
      <c r="K268" s="47" t="inlineStr">
        <is>
          <t>Yes</t>
        </is>
      </c>
    </row>
    <row r="269" ht="15" customHeight="1" s="43">
      <c r="A269" s="48" t="inlineStr">
        <is>
          <t>SAMYANGFOODS</t>
        </is>
      </c>
      <c r="B269" s="48" t="inlineStr">
        <is>
          <t>003230</t>
        </is>
      </c>
      <c r="C269" s="48" t="inlineStr">
        <is>
          <t>2022</t>
        </is>
      </c>
      <c r="D269" s="48" t="inlineStr">
        <is>
          <t>Contract Workers %</t>
        </is>
      </c>
      <c r="E269" s="48" t="n">
        <v>17.39</v>
      </c>
      <c r="F269" s="48" t="n">
        <v>22.68</v>
      </c>
      <c r="G269" s="48" t="n">
        <v>30.4</v>
      </c>
      <c r="H269" s="46" t="inlineStr">
        <is>
          <t>Ind.1 (Contract Workers%): Claude=17</t>
        </is>
      </c>
      <c r="I269" s="47" t="n">
        <v>17.39</v>
      </c>
      <c r="J269" s="47" t="inlineStr">
        <is>
          <t>SAMYANGFOODS_2023.pdf, p.87 - Temporary employees (Male 196 + Female 139 = 335) / Total employees (1,926) = 17.39% (2022). Exact match to Claude. DeepSeek's 22.68 does not correspond to any denominator combination on this page.</t>
        </is>
      </c>
      <c r="K269" s="47" t="inlineStr">
        <is>
          <t>Yes</t>
        </is>
      </c>
    </row>
    <row r="270" ht="15" customHeight="1" s="43">
      <c r="A270" s="48" t="inlineStr">
        <is>
          <t>SAMYANGFOODS</t>
        </is>
      </c>
      <c r="B270" s="48" t="inlineStr">
        <is>
          <t>003230</t>
        </is>
      </c>
      <c r="C270" s="48" t="inlineStr">
        <is>
          <t>2022</t>
        </is>
      </c>
      <c r="D270" s="48" t="inlineStr">
        <is>
          <t>Female Permanent Workers %</t>
        </is>
      </c>
      <c r="E270" s="48" t="n">
        <v>44.18</v>
      </c>
      <c r="F270" s="48" t="n">
        <v>35.41</v>
      </c>
      <c r="G270" s="48" t="n">
        <v>19.9</v>
      </c>
      <c r="H270" s="46" t="inlineStr">
        <is>
          <t>Ind.2 (Female Permanent%): Claude=44</t>
        </is>
      </c>
      <c r="I270" s="47" t="n">
        <v>44.18</v>
      </c>
      <c r="J270" s="47" t="inlineStr">
        <is>
          <t>SAMYANGFOODS_2023.pdf, p.87 - Permanent employees, Female 691 / Total permanent (Male 873 + Female 691 = 1,564) = 44.18% (2022). Exact match to Claude. DeepSeek's 35.41 does not match.</t>
        </is>
      </c>
      <c r="K270" s="47" t="inlineStr">
        <is>
          <t>Yes</t>
        </is>
      </c>
    </row>
    <row r="271" ht="15" customHeight="1" s="43">
      <c r="A271" s="48" t="inlineStr">
        <is>
          <t>SAMYANGFOODS</t>
        </is>
      </c>
      <c r="B271" s="48" t="inlineStr">
        <is>
          <t>003230</t>
        </is>
      </c>
      <c r="C271" s="48" t="inlineStr">
        <is>
          <t>2021</t>
        </is>
      </c>
      <c r="D271" s="48" t="inlineStr">
        <is>
          <t>Female Permanent Workers %</t>
        </is>
      </c>
      <c r="E271" s="48" t="n">
        <v>41.82</v>
      </c>
      <c r="F271" s="48" t="n">
        <v>36.96</v>
      </c>
      <c r="G271" s="48" t="n">
        <v>11.6</v>
      </c>
      <c r="H271" s="46" t="inlineStr">
        <is>
          <t>Ind.2 (Female Permanent%): Claude=41</t>
        </is>
      </c>
      <c r="I271" s="47" t="n">
        <v>41.82</v>
      </c>
      <c r="J271" s="47" t="inlineStr">
        <is>
          <t>SAMYANGFOODS_2023.pdf, p.87 - Permanent employees, Female 675 / Total permanent (Male 939 + Female 675 = 1,614) = 41.82% (2021). Exact match to Claude. DeepSeek's 36.96 does not match.</t>
        </is>
      </c>
      <c r="K271" s="47" t="inlineStr">
        <is>
          <t>Yes</t>
        </is>
      </c>
    </row>
    <row r="272" ht="15" customHeight="1" s="43">
      <c r="A272" s="45" t="inlineStr">
        <is>
          <t>SHINSEGAE</t>
        </is>
      </c>
      <c r="B272" s="45" t="inlineStr">
        <is>
          <t>004170</t>
        </is>
      </c>
      <c r="C272" s="45" t="inlineStr">
        <is>
          <t>2023</t>
        </is>
      </c>
      <c r="D272" s="45" t="inlineStr">
        <is>
          <t>New Hires Contract %</t>
        </is>
      </c>
      <c r="E272" s="45" t="n">
        <v>0</v>
      </c>
      <c r="F272" s="45" t="n">
        <v>33.09</v>
      </c>
      <c r="G272" s="45" t="inlineStr">
        <is>
          <t>N/A (div/0)</t>
        </is>
      </c>
      <c r="H272" s="46" t="inlineStr">
        <is>
          <t>Ind.5 (New Hires Contract%): Claude=0, DeepSeek=33</t>
        </is>
      </c>
      <c r="I272" s="47" t="n">
        <v>0</v>
      </c>
      <c r="J272" s="47" t="inlineStr">
        <is>
          <t>Shinsegae 2025 ESG Report, p.145 (ESG DATA – 신규 채용 현황/New Recruitment Status, 백화점 사업부문 column)</t>
        </is>
      </c>
      <c r="K272" s="47" t="inlineStr">
        <is>
          <t>Yes</t>
        </is>
      </c>
    </row>
    <row r="273" ht="15" customHeight="1" s="43">
      <c r="A273" s="45" t="inlineStr">
        <is>
          <t>SHINSEGAE</t>
        </is>
      </c>
      <c r="B273" s="45" t="inlineStr">
        <is>
          <t>004170</t>
        </is>
      </c>
      <c r="C273" s="45" t="inlineStr">
        <is>
          <t>2024</t>
        </is>
      </c>
      <c r="D273" s="45" t="inlineStr">
        <is>
          <t>New Hires Contract %</t>
        </is>
      </c>
      <c r="E273" s="45" t="n">
        <v>0.9</v>
      </c>
      <c r="F273" s="45" t="n">
        <v>42.08</v>
      </c>
      <c r="G273" s="45" t="n">
        <v>4575.6</v>
      </c>
      <c r="H273" s="46" t="inlineStr">
        <is>
          <t>Ind.5 (New Hires Contract%): Claude=0</t>
        </is>
      </c>
      <c r="I273" s="47" t="n">
        <v>0.9</v>
      </c>
      <c r="J273" s="47" t="inlineStr">
        <is>
          <t>Shinsegae 2025 ESG Report, p.145 (ESG DATA – 신규 채용 현황/New Recruitment Status, 백화점 사업부문 column)</t>
        </is>
      </c>
      <c r="K273" s="47" t="inlineStr">
        <is>
          <t>Yes</t>
        </is>
      </c>
    </row>
    <row r="274" ht="34.5" customHeight="1" s="43">
      <c r="A274" s="45" t="inlineStr">
        <is>
          <t>SHINSEGAE</t>
        </is>
      </c>
      <c r="B274" s="45" t="inlineStr">
        <is>
          <t>004170</t>
        </is>
      </c>
      <c r="C274" s="45" t="inlineStr">
        <is>
          <t>2023</t>
        </is>
      </c>
      <c r="D274" s="45" t="inlineStr">
        <is>
          <t>Parental Leave: Male</t>
        </is>
      </c>
      <c r="E274" s="45" t="n">
        <v>9</v>
      </c>
      <c r="F274" s="45" t="n">
        <v>95</v>
      </c>
      <c r="G274" s="45" t="n">
        <v>955.6</v>
      </c>
      <c r="H274" s="46" t="inlineStr">
        <is>
          <t>Ind.17=9, PROXY - REINTRODUCED using the same 'expected to return' proxy that the 2023 ed || Ind.17 (Parental Leave M): Claude=9, DeepSeek=95, Diff=955</t>
        </is>
      </c>
      <c r="I274" s="47" t="n">
        <v>9</v>
      </c>
      <c r="J274" s="47" t="inlineStr">
        <is>
          <t>Shinsegae 2025 ESG Report, p.144 (ESG DATA – 육아휴직 현황/Parental Leave Status, "scheduled to return" proxy – 백화점 사업부문 column, male row)</t>
        </is>
      </c>
      <c r="K274" s="47" t="inlineStr">
        <is>
          <t>Yes</t>
        </is>
      </c>
    </row>
    <row r="275" ht="23.25" customHeight="1" s="43">
      <c r="A275" s="45" t="inlineStr">
        <is>
          <t>SHINSEGAE</t>
        </is>
      </c>
      <c r="B275" s="45" t="inlineStr">
        <is>
          <t>004170</t>
        </is>
      </c>
      <c r="C275" s="45" t="inlineStr">
        <is>
          <t>2024</t>
        </is>
      </c>
      <c r="D275" s="45" t="inlineStr">
        <is>
          <t>Parental Leave: Male</t>
        </is>
      </c>
      <c r="E275" s="45" t="n">
        <v>5</v>
      </c>
      <c r="F275" s="45" t="n">
        <v>41</v>
      </c>
      <c r="G275" s="45" t="n">
        <v>720</v>
      </c>
      <c r="H275" s="46" t="inlineStr">
        <is>
          <t>Ind.17=5, PROXY (same 'expected to return' methodology as 2023) || Ind.17 (Parental Leave M): Claude=5, DeepSeek=41, Diff=720</t>
        </is>
      </c>
      <c r="I275" s="47" t="n">
        <v>5</v>
      </c>
      <c r="J275" s="47" t="inlineStr">
        <is>
          <t>Shinsegae 2025 ESG Report, p.144 (ESG DATA – 육아휴직 현황/Parental Leave Status, "scheduled to return" proxy – 백화점 사업부문 column, male row)</t>
        </is>
      </c>
      <c r="K275" s="47" t="inlineStr">
        <is>
          <t>Yes</t>
        </is>
      </c>
    </row>
    <row r="276" ht="15" customHeight="1" s="43">
      <c r="A276" s="45" t="inlineStr">
        <is>
          <t>SHINSEGAE</t>
        </is>
      </c>
      <c r="B276" s="45" t="inlineStr">
        <is>
          <t>004170</t>
        </is>
      </c>
      <c r="C276" s="45" t="inlineStr">
        <is>
          <t>2019</t>
        </is>
      </c>
      <c r="D276" s="45" t="inlineStr">
        <is>
          <t>Contract Workers %</t>
        </is>
      </c>
      <c r="E276" s="45" t="n">
        <v>0.25</v>
      </c>
      <c r="F276" s="45" t="n">
        <v>1.3</v>
      </c>
      <c r="G276" s="45" t="n">
        <v>420</v>
      </c>
      <c r="H276" s="46" t="inlineStr">
        <is>
          <t>Ind.1 (Contract Workers%): Claude=0</t>
        </is>
      </c>
      <c r="I276" s="47" t="n">
        <v>0.25</v>
      </c>
      <c r="J276" s="47" t="inlineStr">
        <is>
          <t>Shinsegae 2021 ESG Report, p.77 (ESG Factbook – Employees Status/Diversity)</t>
        </is>
      </c>
      <c r="K276" s="47" t="inlineStr">
        <is>
          <t>Yes</t>
        </is>
      </c>
    </row>
    <row r="277" ht="15" customHeight="1" s="43">
      <c r="A277" s="45" t="inlineStr">
        <is>
          <t>SHINSEGAE</t>
        </is>
      </c>
      <c r="B277" s="45" t="inlineStr">
        <is>
          <t>004170</t>
        </is>
      </c>
      <c r="C277" s="45" t="inlineStr">
        <is>
          <t>2019</t>
        </is>
      </c>
      <c r="D277" s="45" t="inlineStr">
        <is>
          <t>Female Middle Managers %</t>
        </is>
      </c>
      <c r="E277" s="45" t="n">
        <v>16.25</v>
      </c>
      <c r="F277" s="45" t="n">
        <v>66.67</v>
      </c>
      <c r="G277" s="45" t="n">
        <v>310.3</v>
      </c>
      <c r="H277" s="46" t="inlineStr">
        <is>
          <t>Ind.9 (Female Middle Mgrs): Claude=16</t>
        </is>
      </c>
      <c r="I277" s="47" t="n">
        <v>16.25</v>
      </c>
      <c r="J277" s="47" t="inlineStr">
        <is>
          <t>Shinsegae 2021 ESG Report, p.77 (ESG Factbook – Employees Status/Diversity)</t>
        </is>
      </c>
      <c r="K277" s="47" t="inlineStr">
        <is>
          <t>Yes</t>
        </is>
      </c>
    </row>
    <row r="278" ht="15" customHeight="1" s="43">
      <c r="A278" s="45" t="inlineStr">
        <is>
          <t>SHINSEGAE</t>
        </is>
      </c>
      <c r="B278" s="45" t="inlineStr">
        <is>
          <t>004170</t>
        </is>
      </c>
      <c r="C278" s="45" t="inlineStr">
        <is>
          <t>2021</t>
        </is>
      </c>
      <c r="D278" s="45" t="inlineStr">
        <is>
          <t>Female Middle Managers %</t>
        </is>
      </c>
      <c r="E278" s="45" t="n">
        <v>17.5</v>
      </c>
      <c r="F278" s="45" t="n">
        <v>55.76</v>
      </c>
      <c r="G278" s="45" t="n">
        <v>218.6</v>
      </c>
      <c r="H278" s="46" t="inlineStr">
        <is>
          <t>Ind.9 (Female Middle Mgrs): Claude=17</t>
        </is>
      </c>
      <c r="I278" s="47" t="n">
        <v>17.5</v>
      </c>
      <c r="J278" s="47" t="inlineStr">
        <is>
          <t>Shinsegae 2023 ESG Report, p.115 (Quantitative Data – Employee Status/Diversity)</t>
        </is>
      </c>
      <c r="K278" s="47" t="inlineStr">
        <is>
          <t>Yes</t>
        </is>
      </c>
    </row>
    <row r="279" ht="15" customHeight="1" s="43">
      <c r="A279" s="45" t="inlineStr">
        <is>
          <t>SHINSEGAE</t>
        </is>
      </c>
      <c r="B279" s="45" t="inlineStr">
        <is>
          <t>004170</t>
        </is>
      </c>
      <c r="C279" s="45" t="inlineStr">
        <is>
          <t>2020</t>
        </is>
      </c>
      <c r="D279" s="45" t="inlineStr">
        <is>
          <t>Female Middle Managers %</t>
        </is>
      </c>
      <c r="E279" s="45" t="n">
        <v>17.9</v>
      </c>
      <c r="F279" s="45" t="n">
        <v>54.55</v>
      </c>
      <c r="G279" s="45" t="n">
        <v>204.7</v>
      </c>
      <c r="H279" s="46" t="inlineStr">
        <is>
          <t>Ind.9 (Female Middle Mgrs): Claude=17</t>
        </is>
      </c>
      <c r="I279" s="47" t="n">
        <v>17.9</v>
      </c>
      <c r="J279" s="47" t="inlineStr">
        <is>
          <t>Shinsegae 2023 ESG Report, p.115 (Quantitative Data – Employee Status/Diversity)</t>
        </is>
      </c>
      <c r="K279" s="47" t="inlineStr">
        <is>
          <t>Yes</t>
        </is>
      </c>
    </row>
    <row r="280" ht="15" customHeight="1" s="43">
      <c r="A280" s="45" t="inlineStr">
        <is>
          <t>SHINSEGAE</t>
        </is>
      </c>
      <c r="B280" s="45" t="inlineStr">
        <is>
          <t>004170</t>
        </is>
      </c>
      <c r="C280" s="45" t="inlineStr">
        <is>
          <t>2022</t>
        </is>
      </c>
      <c r="D280" s="45" t="inlineStr">
        <is>
          <t>Female Middle Managers %</t>
        </is>
      </c>
      <c r="E280" s="45" t="n">
        <v>19.4</v>
      </c>
      <c r="F280" s="45" t="n">
        <v>54.81</v>
      </c>
      <c r="G280" s="45" t="n">
        <v>182.5</v>
      </c>
      <c r="H280" s="46" t="inlineStr">
        <is>
          <t>Ind.9 (Female Middle Mgrs): Claude=19</t>
        </is>
      </c>
      <c r="I280" s="47" t="n">
        <v>19.4</v>
      </c>
      <c r="J280" s="47" t="inlineStr">
        <is>
          <t>Shinsegae 2023 ESG Report, p.115 (Quantitative Data – Employee Status/Diversity)</t>
        </is>
      </c>
      <c r="K280" s="47" t="inlineStr">
        <is>
          <t>Yes</t>
        </is>
      </c>
    </row>
    <row r="281" ht="15" customHeight="1" s="43">
      <c r="A281" s="45" t="inlineStr">
        <is>
          <t>SHINSEGAE</t>
        </is>
      </c>
      <c r="B281" s="45" t="inlineStr">
        <is>
          <t>004170</t>
        </is>
      </c>
      <c r="C281" s="45" t="inlineStr">
        <is>
          <t>2021</t>
        </is>
      </c>
      <c r="D281" s="45" t="inlineStr">
        <is>
          <t>New Hires Contract %</t>
        </is>
      </c>
      <c r="E281" s="45" t="n">
        <v>0.85</v>
      </c>
      <c r="F281" s="45" t="n">
        <v>1.79</v>
      </c>
      <c r="G281" s="45" t="n">
        <v>110.6</v>
      </c>
      <c r="H281" s="46" t="inlineStr">
        <is>
          <t>Ind.5 (New Hires Contract%): Claude=0</t>
        </is>
      </c>
      <c r="I281" s="47" t="n">
        <v>0.85</v>
      </c>
      <c r="J281" s="47" t="inlineStr">
        <is>
          <t>Shinsegae 2023 ESG Report, p.116 (Quantitative Data – New Recruitment Status)</t>
        </is>
      </c>
      <c r="K281" s="47" t="inlineStr">
        <is>
          <t>Yes</t>
        </is>
      </c>
    </row>
    <row r="282" ht="15" customHeight="1" s="43">
      <c r="A282" s="45" t="inlineStr">
        <is>
          <t>SHINSEGAE</t>
        </is>
      </c>
      <c r="B282" s="45" t="inlineStr">
        <is>
          <t>004170</t>
        </is>
      </c>
      <c r="C282" s="45" t="inlineStr">
        <is>
          <t>2021</t>
        </is>
      </c>
      <c r="D282" s="45" t="inlineStr">
        <is>
          <t>Female Contract Workers %</t>
        </is>
      </c>
      <c r="E282" s="45" t="n">
        <v>33.33</v>
      </c>
      <c r="F282" s="45" t="n">
        <v>66.67</v>
      </c>
      <c r="G282" s="45" t="n">
        <v>100</v>
      </c>
      <c r="H282" s="46" t="inlineStr">
        <is>
          <t>Ind.3 (Female Contract%): Claude=33</t>
        </is>
      </c>
      <c r="I282" s="47" t="n">
        <v>33.33</v>
      </c>
      <c r="J282" s="47" t="inlineStr">
        <is>
          <t>Shinsegae 2023 ESG Report, p.115 (Quantitative Data – Employee Status/Diversity)</t>
        </is>
      </c>
      <c r="K282" s="47" t="inlineStr">
        <is>
          <t>Yes</t>
        </is>
      </c>
    </row>
    <row r="283" ht="15" customHeight="1" s="43">
      <c r="A283" s="45" t="inlineStr">
        <is>
          <t>SHINSEGAE</t>
        </is>
      </c>
      <c r="B283" s="45" t="inlineStr">
        <is>
          <t>004170</t>
        </is>
      </c>
      <c r="C283" s="45" t="inlineStr">
        <is>
          <t>2022</t>
        </is>
      </c>
      <c r="D283" s="45" t="inlineStr">
        <is>
          <t>New Hires Contract %</t>
        </is>
      </c>
      <c r="E283" s="45" t="n">
        <v>1.15</v>
      </c>
      <c r="F283" s="45" t="n">
        <v>2.16</v>
      </c>
      <c r="G283" s="45" t="n">
        <v>87.8</v>
      </c>
      <c r="H283" s="46" t="inlineStr">
        <is>
          <t>Ind.5 (New Hires Contract%): Claude=1</t>
        </is>
      </c>
      <c r="I283" s="47" t="n">
        <v>1.15</v>
      </c>
      <c r="J283" s="47" t="inlineStr">
        <is>
          <t>Shinsegae 2023 ESG Report, p.116 (Quantitative Data – New Recruitment Status)</t>
        </is>
      </c>
      <c r="K283" s="47" t="inlineStr">
        <is>
          <t>Yes</t>
        </is>
      </c>
    </row>
    <row r="284" ht="15" customHeight="1" s="43">
      <c r="A284" s="45" t="inlineStr">
        <is>
          <t>SHINSEGAE</t>
        </is>
      </c>
      <c r="B284" s="45" t="inlineStr">
        <is>
          <t>004170</t>
        </is>
      </c>
      <c r="C284" s="45" t="inlineStr">
        <is>
          <t>2021</t>
        </is>
      </c>
      <c r="D284" s="45" t="inlineStr">
        <is>
          <t>New Hires Female %</t>
        </is>
      </c>
      <c r="E284" s="45" t="n">
        <v>71.61</v>
      </c>
      <c r="F284" s="45" t="n">
        <v>14.29</v>
      </c>
      <c r="G284" s="45" t="n">
        <v>80</v>
      </c>
      <c r="H284" s="46" t="inlineStr">
        <is>
          <t>Ind.6 (New Hires Female%): Claude=71</t>
        </is>
      </c>
      <c r="I284" s="47" t="n">
        <v>71.61</v>
      </c>
      <c r="J284" s="47" t="inlineStr">
        <is>
          <t>Shinsegae 2023 ESG Report, p.116 (Quantitative Data – New Recruitment Status)</t>
        </is>
      </c>
      <c r="K284" s="47" t="inlineStr">
        <is>
          <t>Yes</t>
        </is>
      </c>
    </row>
    <row r="285" ht="15" customHeight="1" s="43">
      <c r="A285" s="45" t="inlineStr">
        <is>
          <t>SHINSEGAE</t>
        </is>
      </c>
      <c r="B285" s="45" t="inlineStr">
        <is>
          <t>004170</t>
        </is>
      </c>
      <c r="C285" s="45" t="inlineStr">
        <is>
          <t>2022</t>
        </is>
      </c>
      <c r="D285" s="45" t="inlineStr">
        <is>
          <t>Female Contract Workers %</t>
        </is>
      </c>
      <c r="E285" s="45" t="n">
        <v>40</v>
      </c>
      <c r="F285" s="45" t="n">
        <v>66.67</v>
      </c>
      <c r="G285" s="45" t="n">
        <v>66.7</v>
      </c>
      <c r="H285" s="46" t="inlineStr">
        <is>
          <t>Ind.3 (Female Contract%): Claude=40, DeepSeek=66</t>
        </is>
      </c>
      <c r="I285" s="47" t="n">
        <v>40</v>
      </c>
      <c r="J285" s="47" t="inlineStr">
        <is>
          <t>Shinsegae 2023 ESG Report, p.115 (Quantitative Data – Employee Status/Diversity)</t>
        </is>
      </c>
      <c r="K285" s="47" t="inlineStr">
        <is>
          <t>Yes</t>
        </is>
      </c>
    </row>
    <row r="286" ht="15" customHeight="1" s="43">
      <c r="A286" s="45" t="inlineStr">
        <is>
          <t>SHINSEGAE</t>
        </is>
      </c>
      <c r="B286" s="45" t="inlineStr">
        <is>
          <t>004170</t>
        </is>
      </c>
      <c r="C286" s="45" t="inlineStr">
        <is>
          <t>2019</t>
        </is>
      </c>
      <c r="D286" s="45" t="inlineStr">
        <is>
          <t>Female Contract Workers %</t>
        </is>
      </c>
      <c r="E286" s="45" t="n">
        <v>50</v>
      </c>
      <c r="F286" s="45" t="n">
        <v>19.51</v>
      </c>
      <c r="G286" s="45" t="n">
        <v>61</v>
      </c>
      <c r="H286" s="46" t="inlineStr">
        <is>
          <t>Ind.3 (Female Contract%): Claude=50, DeepSeek=19</t>
        </is>
      </c>
      <c r="I286" s="47" t="n">
        <v>50</v>
      </c>
      <c r="J286" s="47" t="inlineStr">
        <is>
          <t>Shinsegae 2021 ESG Report, p.77 (ESG Factbook – Employees Status/Diversity)</t>
        </is>
      </c>
      <c r="K286" s="47" t="inlineStr">
        <is>
          <t>Yes</t>
        </is>
      </c>
    </row>
    <row r="287" ht="15" customHeight="1" s="43">
      <c r="A287" s="45" t="inlineStr">
        <is>
          <t>SHINSEGAE</t>
        </is>
      </c>
      <c r="B287" s="45" t="inlineStr">
        <is>
          <t>004170</t>
        </is>
      </c>
      <c r="C287" s="45" t="inlineStr">
        <is>
          <t>2021</t>
        </is>
      </c>
      <c r="D287" s="45" t="inlineStr">
        <is>
          <t>New Hire Rate %</t>
        </is>
      </c>
      <c r="E287" s="45" t="n">
        <v>7.59</v>
      </c>
      <c r="F287" s="45" t="n">
        <v>3.6</v>
      </c>
      <c r="G287" s="45" t="n">
        <v>52.6</v>
      </c>
      <c r="H287" s="46" t="inlineStr">
        <is>
          <t>Ind.4 (New Hire Rate): Claude=7</t>
        </is>
      </c>
      <c r="I287" s="47" t="n">
        <v>7.59</v>
      </c>
      <c r="J287" s="47" t="inlineStr">
        <is>
          <t>Shinsegae 2023 ESG Report, pp.115–116 (derived: New Recruitment Status ÷ Employee Status headcount)</t>
        </is>
      </c>
      <c r="K287" s="47" t="inlineStr">
        <is>
          <t>Yes</t>
        </is>
      </c>
    </row>
    <row r="288" ht="15" customHeight="1" s="43">
      <c r="A288" s="48" t="inlineStr">
        <is>
          <t>SHINSEGAE</t>
        </is>
      </c>
      <c r="B288" s="48" t="inlineStr">
        <is>
          <t>004170</t>
        </is>
      </c>
      <c r="C288" s="48" t="inlineStr">
        <is>
          <t>2022</t>
        </is>
      </c>
      <c r="D288" s="48" t="inlineStr">
        <is>
          <t>New Hire Rate %</t>
        </is>
      </c>
      <c r="E288" s="48" t="n">
        <v>8.44</v>
      </c>
      <c r="F288" s="48" t="n">
        <v>4.48</v>
      </c>
      <c r="G288" s="48" t="n">
        <v>46.9</v>
      </c>
      <c r="H288" s="46" t="inlineStr">
        <is>
          <t>Ind.4 (New Hire Rate): Claude=8</t>
        </is>
      </c>
      <c r="I288" s="47" t="n">
        <v>8.44</v>
      </c>
      <c r="J288" s="47" t="inlineStr">
        <is>
          <t>Shinsegae 2023 ESG Report, pp.115–116 (derived: New Recruitment Status ÷ Employee Status headcount)</t>
        </is>
      </c>
      <c r="K288" s="47" t="inlineStr">
        <is>
          <t>Yes</t>
        </is>
      </c>
    </row>
    <row r="289" ht="15" customHeight="1" s="43">
      <c r="A289" s="48" t="inlineStr">
        <is>
          <t>SHINSEGAE</t>
        </is>
      </c>
      <c r="B289" s="48" t="inlineStr">
        <is>
          <t>004170</t>
        </is>
      </c>
      <c r="C289" s="48" t="inlineStr">
        <is>
          <t>2022</t>
        </is>
      </c>
      <c r="D289" s="48" t="inlineStr">
        <is>
          <t>Contract Workers %</t>
        </is>
      </c>
      <c r="E289" s="48" t="n">
        <v>0.16</v>
      </c>
      <c r="F289" s="48" t="n">
        <v>0.097</v>
      </c>
      <c r="G289" s="48" t="n">
        <v>39.4</v>
      </c>
      <c r="H289" s="46" t="inlineStr">
        <is>
          <t>Ind.1 (Contract Workers%): Claude=0</t>
        </is>
      </c>
      <c r="I289" s="47" t="n">
        <v>0.16</v>
      </c>
      <c r="J289" s="47" t="inlineStr">
        <is>
          <t>Shinsegae 2023 ESG Report, p.115 (Quantitative Data – Employee Status/Diversity)</t>
        </is>
      </c>
      <c r="K289" s="47" t="inlineStr">
        <is>
          <t>Yes</t>
        </is>
      </c>
    </row>
    <row r="290" ht="15" customHeight="1" s="43">
      <c r="A290" s="48" t="inlineStr">
        <is>
          <t>SHINSEGAE</t>
        </is>
      </c>
      <c r="B290" s="48" t="inlineStr">
        <is>
          <t>004170</t>
        </is>
      </c>
      <c r="C290" s="48" t="inlineStr">
        <is>
          <t>2022</t>
        </is>
      </c>
      <c r="D290" s="48" t="inlineStr">
        <is>
          <t>New Hires Female %</t>
        </is>
      </c>
      <c r="E290" s="48" t="n">
        <v>64.12</v>
      </c>
      <c r="F290" s="48" t="n">
        <v>51.08</v>
      </c>
      <c r="G290" s="48" t="n">
        <v>20.3</v>
      </c>
      <c r="H290" s="46" t="inlineStr">
        <is>
          <t>Ind.6 (New Hires Female%): Claude=64</t>
        </is>
      </c>
      <c r="I290" s="47" t="n">
        <v>64.12</v>
      </c>
      <c r="J290" s="47" t="inlineStr">
        <is>
          <t>Shinsegae 2023 ESG Report, p.116 (Quantitative Data – New Recruitment Status)</t>
        </is>
      </c>
      <c r="K290" s="47" t="inlineStr">
        <is>
          <t>Yes</t>
        </is>
      </c>
    </row>
    <row r="291" ht="23.25" customHeight="1" s="43">
      <c r="A291" s="48" t="inlineStr">
        <is>
          <t>SHINSEGAE</t>
        </is>
      </c>
      <c r="B291" s="48" t="inlineStr">
        <is>
          <t>004170</t>
        </is>
      </c>
      <c r="C291" s="48" t="inlineStr">
        <is>
          <t>2020</t>
        </is>
      </c>
      <c r="D291" s="48" t="inlineStr">
        <is>
          <t>Contract Workers %</t>
        </is>
      </c>
      <c r="E291" s="48" t="n">
        <v>0.07000000000000001</v>
      </c>
      <c r="F291" s="48" t="n">
        <v>0.066</v>
      </c>
      <c r="G291" s="48" t="n">
        <v>5.7</v>
      </c>
      <c r="H291" s="46" t="inlineStr">
        <is>
          <t>Ind.1/2/3/4(disability headcount) all MATCH the 2021 ed || Ind.1 (Contract Workers%): Claude=0</t>
        </is>
      </c>
      <c r="I291" s="47" t="n">
        <v>0.07000000000000001</v>
      </c>
      <c r="J291" s="47" t="inlineStr">
        <is>
          <t>Shinsegae 2023 ESG Report, p.115 (Quantitative Data – Employee Status/Diversity)</t>
        </is>
      </c>
      <c r="K291" s="47" t="inlineStr">
        <is>
          <t>Yes</t>
        </is>
      </c>
    </row>
    <row r="292" ht="15" customHeight="1" s="43">
      <c r="A292" s="45" t="inlineStr">
        <is>
          <t>SKBP</t>
        </is>
      </c>
      <c r="B292" s="45" t="inlineStr">
        <is>
          <t>326030</t>
        </is>
      </c>
      <c r="C292" s="45" t="inlineStr">
        <is>
          <t>2019</t>
        </is>
      </c>
      <c r="D292" s="45" t="inlineStr">
        <is>
          <t>Female Executives %</t>
        </is>
      </c>
      <c r="E292" s="45" t="n">
        <v>0</v>
      </c>
      <c r="F292" s="45" t="n">
        <v>8.33</v>
      </c>
      <c r="G292" s="45" t="inlineStr">
        <is>
          <t>N/A (div/0)</t>
        </is>
      </c>
      <c r="H292" s="46" t="inlineStr">
        <is>
          <t>Ind.10 (Female Executives): Claude=0, DeepSeek=8</t>
        </is>
      </c>
      <c r="I292" s="47" t="n">
        <v>0</v>
      </c>
      <c r="J292" s="47" t="inlineStr">
        <is>
          <t>SKBP_2022.pdf p.64, ESG Data Sheet, 'Diversity – SK Biopharmaceuticals' table: Executives Total=5, Female=0, 'Percentage of female' = 0% (2019). Claude confirmed correct (exact match); DeepSeek's 8.33 does not match any ratio on this page.</t>
        </is>
      </c>
      <c r="K292" s="47" t="inlineStr">
        <is>
          <t>Yes</t>
        </is>
      </c>
    </row>
    <row r="293" ht="15" customHeight="1" s="43">
      <c r="A293" s="45" t="inlineStr">
        <is>
          <t>SKBP</t>
        </is>
      </c>
      <c r="B293" s="45" t="inlineStr">
        <is>
          <t>326030</t>
        </is>
      </c>
      <c r="C293" s="45" t="inlineStr">
        <is>
          <t>2020</t>
        </is>
      </c>
      <c r="D293" s="45" t="inlineStr">
        <is>
          <t>Involuntary Turnover %</t>
        </is>
      </c>
      <c r="E293" s="45" t="n">
        <v>0</v>
      </c>
      <c r="F293" s="45" t="n">
        <v>0.66</v>
      </c>
      <c r="G293" s="45" t="inlineStr">
        <is>
          <t>N/A (div/0)</t>
        </is>
      </c>
      <c r="H293" s="46" t="inlineStr">
        <is>
          <t>Ind.21=0 || Ind.21 (Involuntary Turnover): Claude=0, DeepSeek=0</t>
        </is>
      </c>
      <c r="I293" s="47" t="n">
        <v>0</v>
      </c>
      <c r="J293" s="47" t="inlineStr">
        <is>
          <t>SKBP_2022.pdf p.65, ESG Data Sheet, 'Turnover – SK Biopharmaceuticals' table: Involuntary turnover, 'Others' headcount = 0 (2020) / Total employees 200 (p.64) = 0%. Claude confirmed correct; DeepSeek's 0.66 does not match.</t>
        </is>
      </c>
      <c r="K293" s="47" t="inlineStr">
        <is>
          <t>Yes</t>
        </is>
      </c>
    </row>
    <row r="294" ht="15" customHeight="1" s="43">
      <c r="A294" s="45" t="inlineStr">
        <is>
          <t>SKBP</t>
        </is>
      </c>
      <c r="B294" s="45" t="inlineStr">
        <is>
          <t>326030</t>
        </is>
      </c>
      <c r="C294" s="45" t="inlineStr">
        <is>
          <t>2019</t>
        </is>
      </c>
      <c r="D294" s="45" t="inlineStr">
        <is>
          <t>Involuntary Turnover %</t>
        </is>
      </c>
      <c r="E294" s="45" t="n">
        <v>0.47</v>
      </c>
      <c r="F294" s="45" t="n">
        <v>1.11</v>
      </c>
      <c r="G294" s="45" t="n">
        <v>136.2</v>
      </c>
      <c r="H294" s="46" t="inlineStr">
        <is>
          <t>Ind.21=0 || Ind.21 (Involuntary Turnover): Claude=0</t>
        </is>
      </c>
      <c r="I294" s="47" t="n">
        <v>0.47</v>
      </c>
      <c r="J294" s="47" t="inlineStr">
        <is>
          <t>SKBP_2022.pdf p.65, ESG Data Sheet, 'Turnover – SK Biopharmaceuticals' table: Involuntary turnover, 'Others' headcount = 1 (2019) / Total employees 214 (p.64) = 0.47%. Claude confirmed correct (exact recomputation match); DeepSeek's 1.11 does not match.</t>
        </is>
      </c>
      <c r="K294" s="47" t="inlineStr">
        <is>
          <t>Yes</t>
        </is>
      </c>
    </row>
    <row r="295" ht="15" customHeight="1" s="43">
      <c r="A295" s="45" t="inlineStr">
        <is>
          <t>SKBP</t>
        </is>
      </c>
      <c r="B295" s="45" t="inlineStr">
        <is>
          <t>326030</t>
        </is>
      </c>
      <c r="C295" s="45" t="inlineStr">
        <is>
          <t>2019</t>
        </is>
      </c>
      <c r="D295" s="45" t="inlineStr">
        <is>
          <t>Voluntary Turnover %</t>
        </is>
      </c>
      <c r="E295" s="45" t="n">
        <v>5.2</v>
      </c>
      <c r="F295" s="45" t="n">
        <v>11.45</v>
      </c>
      <c r="G295" s="45" t="n">
        <v>120.2</v>
      </c>
      <c r="H295" s="46" t="inlineStr">
        <is>
          <t>Ind.20=5 || Ind.20 (Voluntary Turnover): Claude=5</t>
        </is>
      </c>
      <c r="I295" s="47" t="n">
        <v>5.2</v>
      </c>
      <c r="J295" s="47" t="inlineStr">
        <is>
          <t>SKBP_2022.pdf p.65, ESG Data Sheet, 'Turnover – SK Biopharmaceuticals' table: 'Voluntary turnover rate %' row, 2019 = 5.2%. Claude confirmed correct (exact match); DeepSeek's 11.45 does not match.</t>
        </is>
      </c>
      <c r="K295" s="47" t="inlineStr">
        <is>
          <t>Yes</t>
        </is>
      </c>
    </row>
    <row r="296" ht="15" customHeight="1" s="43">
      <c r="A296" s="45" t="inlineStr">
        <is>
          <t>SKBP</t>
        </is>
      </c>
      <c r="B296" s="45" t="inlineStr">
        <is>
          <t>326030</t>
        </is>
      </c>
      <c r="C296" s="45" t="inlineStr">
        <is>
          <t>2021</t>
        </is>
      </c>
      <c r="D296" s="45" t="inlineStr">
        <is>
          <t>Voluntary Turnover %</t>
        </is>
      </c>
      <c r="E296" s="45" t="n">
        <v>6</v>
      </c>
      <c r="F296" s="45" t="n">
        <v>12.67</v>
      </c>
      <c r="G296" s="45" t="n">
        <v>111.2</v>
      </c>
      <c r="H296" s="46" t="inlineStr">
        <is>
          <t>Ind.20 (Voluntary Turnover): Claude=6, DeepSeek=12</t>
        </is>
      </c>
      <c r="I296" s="47" t="n">
        <v>6</v>
      </c>
      <c r="J296" s="47" t="inlineStr">
        <is>
          <t>SKBP_2022.pdf p.65, ESG Data Sheet, 'Turnover – SK Biopharmaceuticals' table: 'Voluntary turnover rate %' row, 2021 = 6.0%. Claude confirmed correct (exact match); DeepSeek's 12.67 does not match.</t>
        </is>
      </c>
      <c r="K296" s="47" t="inlineStr">
        <is>
          <t>Yes</t>
        </is>
      </c>
    </row>
    <row r="297" ht="15" customHeight="1" s="43">
      <c r="A297" s="45" t="inlineStr">
        <is>
          <t>SKBP</t>
        </is>
      </c>
      <c r="B297" s="45" t="inlineStr">
        <is>
          <t>326030</t>
        </is>
      </c>
      <c r="C297" s="45" t="inlineStr">
        <is>
          <t>2022</t>
        </is>
      </c>
      <c r="D297" s="45" t="inlineStr">
        <is>
          <t>Contract Workers %</t>
        </is>
      </c>
      <c r="E297" s="45" t="n">
        <v>8.789999999999999</v>
      </c>
      <c r="F297" s="45" t="n">
        <v>0.73</v>
      </c>
      <c r="G297" s="45" t="n">
        <v>91.7</v>
      </c>
      <c r="H297" s="46" t="inlineStr">
        <is>
          <t>Ind.1 (Contract Workers%): Claude=8</t>
        </is>
      </c>
      <c r="I297" s="47" t="n">
        <v>8.789999999999999</v>
      </c>
      <c r="J297" s="47" t="inlineStr">
        <is>
          <t>SKBP_2025.pdf, ESG Data Book p.70, 'Employees - SK Biopharmaceuticals' table: By contract type, Fixed-term=24 / Total=273 (2022) = 8.79%. Claude confirmed correct (exact recomputation match); DeepSeek's 0.73 does not match any ratio on this page.</t>
        </is>
      </c>
      <c r="K297" s="47" t="inlineStr">
        <is>
          <t>Yes</t>
        </is>
      </c>
    </row>
    <row r="298" ht="15" customHeight="1" s="43">
      <c r="A298" s="45" t="inlineStr">
        <is>
          <t>SKBP</t>
        </is>
      </c>
      <c r="B298" s="45" t="inlineStr">
        <is>
          <t>326030</t>
        </is>
      </c>
      <c r="C298" s="45" t="inlineStr">
        <is>
          <t>2023</t>
        </is>
      </c>
      <c r="D298" s="45" t="inlineStr">
        <is>
          <t>Parental Leave: Female</t>
        </is>
      </c>
      <c r="E298" s="45" t="n">
        <v>11</v>
      </c>
      <c r="F298" s="45" t="n">
        <v>1</v>
      </c>
      <c r="G298" s="45" t="n">
        <v>90.90000000000001</v>
      </c>
      <c r="H298" s="46" t="inlineStr">
        <is>
          <t>Ind.16 (Parental Leave F): Claude=11, DeepSeek=1, Diff=90</t>
        </is>
      </c>
      <c r="I298" s="47" t="n">
        <v>11</v>
      </c>
      <c r="J298" s="47" t="inlineStr">
        <is>
          <t>SKBP_2025.pdf, ESG Data Book p.73, 'Parental leaves' table: 'Employees who took parental leave', Female = 11 (2023). Claude confirmed correct (exact match); DeepSeek's 1 does not match (1 is the 2019-edition figure per SKBP_2022.pdf, not applicable to 2023).</t>
        </is>
      </c>
      <c r="K298" s="47" t="inlineStr">
        <is>
          <t>Yes</t>
        </is>
      </c>
    </row>
    <row r="299" ht="15" customHeight="1" s="43">
      <c r="A299" s="45" t="inlineStr">
        <is>
          <t>SKBP</t>
        </is>
      </c>
      <c r="B299" s="45" t="inlineStr">
        <is>
          <t>326030</t>
        </is>
      </c>
      <c r="C299" s="45" t="inlineStr">
        <is>
          <t>2024</t>
        </is>
      </c>
      <c r="D299" s="45" t="inlineStr">
        <is>
          <t>Parental Leave: Female</t>
        </is>
      </c>
      <c r="E299" s="45" t="n">
        <v>7</v>
      </c>
      <c r="F299" s="45" t="n">
        <v>1</v>
      </c>
      <c r="G299" s="45" t="n">
        <v>85.7</v>
      </c>
      <c r="H299" s="46" t="inlineStr">
        <is>
          <t>Ind.16 (Parental Leave F): Claude=7, DeepSeek=1, Diff=85</t>
        </is>
      </c>
      <c r="I299" s="47" t="n">
        <v>7</v>
      </c>
      <c r="J299" s="47" t="inlineStr">
        <is>
          <t>SKBP_2025.pdf, ESG Data Book p.73, 'Parental leaves' table: 'Employees who took parental leave', Female = 7 (2024). Claude confirmed correct (exact match); DeepSeek's 1 does not match.</t>
        </is>
      </c>
      <c r="K299" s="47" t="inlineStr">
        <is>
          <t>Yes</t>
        </is>
      </c>
    </row>
    <row r="300" ht="15" customHeight="1" s="43">
      <c r="A300" s="45" t="inlineStr">
        <is>
          <t>SKBP</t>
        </is>
      </c>
      <c r="B300" s="45" t="inlineStr">
        <is>
          <t>326030</t>
        </is>
      </c>
      <c r="C300" s="45" t="inlineStr">
        <is>
          <t>2020</t>
        </is>
      </c>
      <c r="D300" s="45" t="inlineStr">
        <is>
          <t>Voluntary Turnover %</t>
        </is>
      </c>
      <c r="E300" s="45" t="n">
        <v>41.6</v>
      </c>
      <c r="F300" s="45" t="n">
        <v>9.41</v>
      </c>
      <c r="G300" s="45" t="n">
        <v>77.40000000000001</v>
      </c>
      <c r="H300" s="46" t="inlineStr">
        <is>
          <t>Ind.20=41 || Ind.20 (Voluntary Turnover): Claude=41</t>
        </is>
      </c>
      <c r="I300" s="47" t="n">
        <v>41.6</v>
      </c>
      <c r="J300" s="47" t="inlineStr">
        <is>
          <t>SKBP_2022.pdf p.65, ESG Data Sheet, 'Turnover – SK Biopharmaceuticals' table: 'Voluntary turnover rate %' row, 2020 = 41.6%. Claude confirmed correct (exact match); DeepSeek's 9.41 does not match.</t>
        </is>
      </c>
      <c r="K300" s="47" t="inlineStr">
        <is>
          <t>Yes</t>
        </is>
      </c>
    </row>
    <row r="301" ht="15" customHeight="1" s="43">
      <c r="A301" s="45" t="inlineStr">
        <is>
          <t>SKBP</t>
        </is>
      </c>
      <c r="B301" s="45" t="inlineStr">
        <is>
          <t>326030</t>
        </is>
      </c>
      <c r="C301" s="45" t="inlineStr">
        <is>
          <t>2020</t>
        </is>
      </c>
      <c r="D301" s="45" t="inlineStr">
        <is>
          <t>New Hire Rate %</t>
        </is>
      </c>
      <c r="E301" s="45" t="n">
        <v>36.5</v>
      </c>
      <c r="F301" s="45" t="n">
        <v>17.04</v>
      </c>
      <c r="G301" s="45" t="n">
        <v>53.3</v>
      </c>
      <c r="H301" s="46" t="inlineStr">
        <is>
          <t>Ind.4 (New Hire Rate): Claude=36</t>
        </is>
      </c>
      <c r="I301" s="47" t="n">
        <v>36.5</v>
      </c>
      <c r="J301" s="47" t="inlineStr">
        <is>
          <t>SKBP_2022.pdf p.65, ESG Data Sheet, 'Recruitment – SK Biopharmaceuticals' table + p.64 Employee data: Total new hires 73 / Total employees 200 (2020) = 36.5%. Claude confirmed correct (exact recomputation match); DeepSeek's 17.04 does not match.</t>
        </is>
      </c>
      <c r="K301" s="47" t="inlineStr">
        <is>
          <t>Yes</t>
        </is>
      </c>
    </row>
    <row r="302" ht="15" customHeight="1" s="43">
      <c r="A302" s="45" t="inlineStr">
        <is>
          <t>SKBP</t>
        </is>
      </c>
      <c r="B302" s="45" t="inlineStr">
        <is>
          <t>326030</t>
        </is>
      </c>
      <c r="C302" s="45" t="inlineStr">
        <is>
          <t>2021</t>
        </is>
      </c>
      <c r="D302" s="45" t="inlineStr">
        <is>
          <t>COVID-19 Response</t>
        </is>
      </c>
      <c r="E302" s="45" t="n">
        <v>2</v>
      </c>
      <c r="F302" s="45" t="n">
        <v>3</v>
      </c>
      <c r="G302" s="45" t="n">
        <v>50</v>
      </c>
      <c r="H302" s="46" t="inlineStr">
        <is>
          <t>Ind.25 (COVID Response): Claude=2, DeepSeek=3, Diff=50</t>
        </is>
      </c>
      <c r="I302" s="47" t="n">
        <v>2</v>
      </c>
      <c r="J302" s="47" t="inlineStr">
        <is>
          <t>UNRESOLVED - Indicator 25 (Covid Response Policies) is a purple/external-source indicator per project methodology ('cannot be extracted from company reports... mark ND'). SKBP_2022.pdf (the correct 2021-edition source per the Extraction Log) does not contain a dedicated COVID-19 itemized-measures section (unlike Hanwha/DWEC reports, where this indicator was hand-counted from narrative text). Neither Claude's 2 nor DeepSeek's 3 corresponds to any disclosed numeric count in this report. Recommend treating as ND, consistent with how the same indicator was left unresolved for DWEC 2020 and Hanwha 2020.</t>
        </is>
      </c>
      <c r="K302" s="47" t="inlineStr">
        <is>
          <t>FINAL: Claude value retained (source inconclusive; see note)</t>
        </is>
      </c>
    </row>
    <row r="303" ht="15" customHeight="1" s="43">
      <c r="A303" s="48" t="inlineStr">
        <is>
          <t>SKBP</t>
        </is>
      </c>
      <c r="B303" s="48" t="inlineStr">
        <is>
          <t>326030</t>
        </is>
      </c>
      <c r="C303" s="48" t="inlineStr">
        <is>
          <t>2018</t>
        </is>
      </c>
      <c r="D303" s="48" t="inlineStr">
        <is>
          <t>Voluntary Turnover %</t>
        </is>
      </c>
      <c r="E303" s="48" t="n">
        <v>83</v>
      </c>
      <c r="F303" s="48" t="n">
        <v>47.98</v>
      </c>
      <c r="G303" s="48" t="n">
        <v>42.2</v>
      </c>
      <c r="H303" s="46" t="inlineStr">
        <is>
          <t>Ind.20=83, Ind || Ind.20 (Voluntary Turnover): Claude=83, DeepSeek=47</t>
        </is>
      </c>
      <c r="I303" s="47" t="n">
        <v>83</v>
      </c>
      <c r="J303" s="47" t="inlineStr">
        <is>
          <t>SKBP_2021.pdf, p.65 (SASB HC-BP-330a.2 table, 'Number of voluntary turnovers' row, 'All other employees' column, 2018)</t>
        </is>
      </c>
      <c r="K303" s="47" t="inlineStr">
        <is>
          <t>Yes</t>
        </is>
      </c>
    </row>
    <row r="304" ht="34.5" customHeight="1" s="43">
      <c r="A304" s="48" t="inlineStr">
        <is>
          <t>SKBP</t>
        </is>
      </c>
      <c r="B304" s="48" t="inlineStr">
        <is>
          <t>326030</t>
        </is>
      </c>
      <c r="C304" s="48" t="inlineStr">
        <is>
          <t>2018</t>
        </is>
      </c>
      <c r="D304" s="48" t="inlineStr">
        <is>
          <t>Involuntary Turnover %</t>
        </is>
      </c>
      <c r="E304" s="48" t="n">
        <v>17</v>
      </c>
      <c r="F304" s="48" t="n">
        <v>9.83</v>
      </c>
      <c r="G304" s="48" t="n">
        <v>42.2</v>
      </c>
      <c r="H304" s="46" t="inlineStr">
        <is>
          <t>Ind.21=17: both SCOPE-LIMITED to SASB 'all other employees' category (not company-wide blended rate) - not directly comparable to later years' figures || Ind.21 (Involuntary Turnover): Claude=17, DeepSeek=9</t>
        </is>
      </c>
      <c r="I304" s="47" t="n">
        <v>17</v>
      </c>
      <c r="J304" s="47" t="inlineStr">
        <is>
          <t>SKBP_2021.pdf, p.65 (SASB HC-BP-330a.2 table, 'Number of non-voluntary turnovers' row, 'All other employees' column, 2018; footnote (3) explains scope = contract-expiry non-conversions, no dismissals)</t>
        </is>
      </c>
      <c r="K304" s="47" t="inlineStr">
        <is>
          <t>Yes</t>
        </is>
      </c>
    </row>
    <row r="305" ht="15" customHeight="1" s="43">
      <c r="A305" s="48" t="inlineStr">
        <is>
          <t>SKBP</t>
        </is>
      </c>
      <c r="B305" s="48" t="inlineStr">
        <is>
          <t>326030</t>
        </is>
      </c>
      <c r="C305" s="48" t="inlineStr">
        <is>
          <t>2021</t>
        </is>
      </c>
      <c r="D305" s="48" t="inlineStr">
        <is>
          <t>New Hire Rate %</t>
        </is>
      </c>
      <c r="E305" s="48" t="n">
        <v>24.08</v>
      </c>
      <c r="F305" s="48" t="n">
        <v>15.11</v>
      </c>
      <c r="G305" s="48" t="n">
        <v>37.3</v>
      </c>
      <c r="H305" s="46" t="inlineStr">
        <is>
          <t>Ind.4 (New Hire Rate): Claude=24</t>
        </is>
      </c>
      <c r="I305" s="47" t="n">
        <v>24.08</v>
      </c>
      <c r="J305" s="47" t="inlineStr">
        <is>
          <t>SKBP_2022.pdf p.65, ESG Data Sheet, 'Recruitment – SK Biopharmaceuticals' table + p.64 Employee data: Total new hires 59 / Total employees 245 (2021) = 24.08%. Claude confirmed correct (exact recomputation match); DeepSeek's 15.11 does not match.</t>
        </is>
      </c>
      <c r="K305" s="47" t="inlineStr">
        <is>
          <t>Yes</t>
        </is>
      </c>
    </row>
    <row r="306" ht="15" customHeight="1" s="43">
      <c r="A306" s="48" t="inlineStr">
        <is>
          <t>SKBP</t>
        </is>
      </c>
      <c r="B306" s="48" t="inlineStr">
        <is>
          <t>326030</t>
        </is>
      </c>
      <c r="C306" s="48" t="inlineStr">
        <is>
          <t>2019</t>
        </is>
      </c>
      <c r="D306" s="48" t="inlineStr">
        <is>
          <t>New Hire Rate %</t>
        </is>
      </c>
      <c r="E306" s="48" t="n">
        <v>21.96</v>
      </c>
      <c r="F306" s="48" t="n">
        <v>14.13</v>
      </c>
      <c r="G306" s="48" t="n">
        <v>35.7</v>
      </c>
      <c r="H306" s="46" t="inlineStr">
        <is>
          <t>Ind.4 (New Hire Rate): Claude=21</t>
        </is>
      </c>
      <c r="I306" s="47" t="n">
        <v>21.96</v>
      </c>
      <c r="J306" s="47" t="inlineStr">
        <is>
          <t>SKBP_2022.pdf p.65, ESG Data Sheet, 'Recruitment – SK Biopharmaceuticals' table + p.64 Employee data: Total new hires 47 / Total employees 214 (2019) = 21.96%. Claude confirmed correct (exact recomputation match); DeepSeek's 14.13 does not match.</t>
        </is>
      </c>
      <c r="K306" s="47" t="inlineStr">
        <is>
          <t>Yes</t>
        </is>
      </c>
    </row>
    <row r="307" ht="15" customHeight="1" s="43">
      <c r="A307" s="48" t="inlineStr">
        <is>
          <t>SKBP</t>
        </is>
      </c>
      <c r="B307" s="48" t="inlineStr">
        <is>
          <t>326030</t>
        </is>
      </c>
      <c r="C307" s="48" t="inlineStr">
        <is>
          <t>2021</t>
        </is>
      </c>
      <c r="D307" s="48" t="inlineStr">
        <is>
          <t>Female Middle Managers %</t>
        </is>
      </c>
      <c r="E307" s="48" t="n">
        <v>49.6</v>
      </c>
      <c r="F307" s="48" t="n">
        <v>34.62</v>
      </c>
      <c r="G307" s="48" t="n">
        <v>30.2</v>
      </c>
      <c r="H307" s="46" t="inlineStr">
        <is>
          <t>Ind.9=49 || Ind.9 (Female Middle Mgrs): Claude=49</t>
        </is>
      </c>
      <c r="I307" s="47" t="n">
        <v>49.6</v>
      </c>
      <c r="J307" s="47" t="inlineStr">
        <is>
          <t>SKBP_2022.pdf p.64, ESG Data Sheet, 'Diversity – SK Biopharmaceuticals' table: 'Total managers' row, Percentage of female = 49.6% (2021). Claude confirmed correct (exact match) — note this indicator maps to the report's 'Total managers' row, not the narrower 'Low-level managers' row (59.7% in 2021); DeepSeek's 34.62 does not match either row.</t>
        </is>
      </c>
      <c r="K307" s="47" t="inlineStr">
        <is>
          <t>Yes</t>
        </is>
      </c>
    </row>
    <row r="308" ht="15" customHeight="1" s="43">
      <c r="A308" s="48" t="inlineStr">
        <is>
          <t>SKBP</t>
        </is>
      </c>
      <c r="B308" s="48" t="inlineStr">
        <is>
          <t>326030</t>
        </is>
      </c>
      <c r="C308" s="48" t="inlineStr">
        <is>
          <t>2019</t>
        </is>
      </c>
      <c r="D308" s="48" t="inlineStr">
        <is>
          <t>Female Middle Managers %</t>
        </is>
      </c>
      <c r="E308" s="48" t="n">
        <v>48.6</v>
      </c>
      <c r="F308" s="48" t="n">
        <v>35</v>
      </c>
      <c r="G308" s="48" t="n">
        <v>28</v>
      </c>
      <c r="H308" s="46" t="inlineStr">
        <is>
          <t>Ind.9=48 || Ind.9 (Female Middle Mgrs): Claude=48</t>
        </is>
      </c>
      <c r="I308" s="47" t="n">
        <v>48.6</v>
      </c>
      <c r="J308" s="47" t="inlineStr">
        <is>
          <t>SKBP_2022.pdf p.64, ESG Data Sheet, 'Diversity – SK Biopharmaceuticals' table: 'Total managers' row, Percentage of female = 48.6% (2019). Claude confirmed correct (exact match); DeepSeek's 35 does not match.</t>
        </is>
      </c>
      <c r="K308" s="47" t="inlineStr">
        <is>
          <t>Yes</t>
        </is>
      </c>
    </row>
    <row r="309" ht="15" customHeight="1" s="43">
      <c r="A309" s="48" t="inlineStr">
        <is>
          <t>SKBP</t>
        </is>
      </c>
      <c r="B309" s="48" t="inlineStr">
        <is>
          <t>326030</t>
        </is>
      </c>
      <c r="C309" s="48" t="inlineStr">
        <is>
          <t>2021</t>
        </is>
      </c>
      <c r="D309" s="48" t="inlineStr">
        <is>
          <t>Female Executives %</t>
        </is>
      </c>
      <c r="E309" s="48" t="n">
        <v>16.7</v>
      </c>
      <c r="F309" s="48" t="n">
        <v>13.64</v>
      </c>
      <c r="G309" s="48" t="n">
        <v>18.3</v>
      </c>
      <c r="H309" s="46" t="inlineStr">
        <is>
          <t>Ind.10 (Female Executives): Claude=16</t>
        </is>
      </c>
      <c r="I309" s="47" t="n">
        <v>16.7</v>
      </c>
      <c r="J309" s="47" t="inlineStr">
        <is>
          <t>SKBP_2022.pdf p.64, ESG Data Sheet, 'Diversity – SK Biopharmaceuticals' table: Executives, 'Percentage of female' = 16.7% (2021). Claude confirmed correct (exact match); DeepSeek's 13.64 does not match.</t>
        </is>
      </c>
      <c r="K309" s="47" t="inlineStr">
        <is>
          <t>Yes</t>
        </is>
      </c>
    </row>
    <row r="310" ht="15" customHeight="1" s="43">
      <c r="A310" s="48" t="inlineStr">
        <is>
          <t>SKBP</t>
        </is>
      </c>
      <c r="B310" s="48" t="inlineStr">
        <is>
          <t>326030</t>
        </is>
      </c>
      <c r="C310" s="48" t="inlineStr">
        <is>
          <t>2020</t>
        </is>
      </c>
      <c r="D310" s="48" t="inlineStr">
        <is>
          <t>Female Executives %</t>
        </is>
      </c>
      <c r="E310" s="48" t="n">
        <v>12.5</v>
      </c>
      <c r="F310" s="48" t="n">
        <v>11.11</v>
      </c>
      <c r="G310" s="48" t="n">
        <v>11.1</v>
      </c>
      <c r="H310" s="46" t="inlineStr">
        <is>
          <t>Ind.10 (Female Executives): Claude=12</t>
        </is>
      </c>
      <c r="I310" s="47" t="n">
        <v>12.5</v>
      </c>
      <c r="J310" s="47" t="inlineStr">
        <is>
          <t>SKBP_2022.pdf p.64, ESG Data Sheet, 'Diversity – SK Biopharmaceuticals' table: Executives, 'Percentage of female' = 12.5% (2020). Claude confirmed correct (exact match); DeepSeek's 11.11 does not match.</t>
        </is>
      </c>
      <c r="K310" s="47" t="inlineStr">
        <is>
          <t>Yes</t>
        </is>
      </c>
    </row>
    <row r="311" ht="15" customHeight="1" s="43">
      <c r="A311" s="48" t="inlineStr">
        <is>
          <t>SKBP</t>
        </is>
      </c>
      <c r="B311" s="48" t="inlineStr">
        <is>
          <t>326030</t>
        </is>
      </c>
      <c r="C311" s="48" t="inlineStr">
        <is>
          <t>2021</t>
        </is>
      </c>
      <c r="D311" s="48" t="inlineStr">
        <is>
          <t>New Hires Female %</t>
        </is>
      </c>
      <c r="E311" s="48" t="n">
        <v>57.63</v>
      </c>
      <c r="F311" s="48" t="n">
        <v>53.95</v>
      </c>
      <c r="G311" s="48" t="n">
        <v>6.4</v>
      </c>
      <c r="H311" s="46" t="inlineStr">
        <is>
          <t>Ind.6 (New Hires Female%): Claude=57</t>
        </is>
      </c>
      <c r="I311" s="47" t="n">
        <v>57.63</v>
      </c>
      <c r="J311" s="47" t="inlineStr">
        <is>
          <t>SKBP_2022.pdf p.65, ESG Data Sheet, 'Recruitment – SK Biopharmaceuticals' table: New hires by gender, Female 34 / Total new hires 59 (2021) = 57.63%. Claude confirmed correct (exact recomputation match); DeepSeek's 53.95 does not match.</t>
        </is>
      </c>
      <c r="K311" s="47" t="inlineStr">
        <is>
          <t>Yes</t>
        </is>
      </c>
    </row>
    <row r="312" ht="15" customHeight="1" s="43">
      <c r="A312" s="48" t="inlineStr">
        <is>
          <t>SKBP</t>
        </is>
      </c>
      <c r="B312" s="48" t="inlineStr">
        <is>
          <t>326030</t>
        </is>
      </c>
      <c r="C312" s="48" t="inlineStr">
        <is>
          <t>2020</t>
        </is>
      </c>
      <c r="D312" s="48" t="inlineStr">
        <is>
          <t>Female Middle Managers %</t>
        </is>
      </c>
      <c r="E312" s="48" t="n">
        <v>39.6</v>
      </c>
      <c r="F312" s="48" t="n">
        <v>37.14</v>
      </c>
      <c r="G312" s="48" t="n">
        <v>6.2</v>
      </c>
      <c r="H312" s="46" t="inlineStr">
        <is>
          <t>Ind.9=39 || Ind.9 (Female Middle Mgrs): Claude=39</t>
        </is>
      </c>
      <c r="I312" s="47" t="n">
        <v>39.6</v>
      </c>
      <c r="J312" s="47" t="inlineStr">
        <is>
          <t>SKBP_2022.pdf p.64, ESG Data Sheet, 'Diversity – SK Biopharmaceuticals' table: 'Total managers' row, Percentage of female = 39.6% (2020). Claude confirmed correct (exact match); DeepSeek's 37.14 does not match.</t>
        </is>
      </c>
      <c r="K312" s="47" t="inlineStr">
        <is>
          <t>Yes</t>
        </is>
      </c>
    </row>
    <row r="313" ht="15" customHeight="1" s="43">
      <c r="A313" s="48" t="inlineStr">
        <is>
          <t>SKBP</t>
        </is>
      </c>
      <c r="B313" s="48" t="inlineStr">
        <is>
          <t>326030</t>
        </is>
      </c>
      <c r="C313" s="48" t="inlineStr">
        <is>
          <t>2020</t>
        </is>
      </c>
      <c r="D313" s="48" t="inlineStr">
        <is>
          <t>New Hires Female %</t>
        </is>
      </c>
      <c r="E313" s="48" t="n">
        <v>42.47</v>
      </c>
      <c r="F313" s="48" t="n">
        <v>40.26</v>
      </c>
      <c r="G313" s="48" t="n">
        <v>5.2</v>
      </c>
      <c r="H313" s="46" t="inlineStr">
        <is>
          <t>Ind.6 (New Hires Female%): Claude=42</t>
        </is>
      </c>
      <c r="I313" s="47" t="n">
        <v>42.47</v>
      </c>
      <c r="J313" s="47" t="inlineStr">
        <is>
          <t>SKBP_2022.pdf p.65, ESG Data Sheet, 'Recruitment – SK Biopharmaceuticals' table: New hires by gender, Female 31 / Total new hires 73 (2020) = 42.47%. Claude confirmed correct (exact recomputation match); DeepSeek's 40.26 does not match.</t>
        </is>
      </c>
      <c r="K313" s="47" t="inlineStr">
        <is>
          <t>Yes</t>
        </is>
      </c>
    </row>
    <row r="314" ht="15" customHeight="1" s="43">
      <c r="A314" s="45" t="inlineStr">
        <is>
          <t>SKC</t>
        </is>
      </c>
      <c r="B314" s="45" t="inlineStr">
        <is>
          <t>011790</t>
        </is>
      </c>
      <c r="C314" s="45" t="inlineStr">
        <is>
          <t>2021</t>
        </is>
      </c>
      <c r="D314" s="45" t="inlineStr">
        <is>
          <t>Contract Workers %</t>
        </is>
      </c>
      <c r="E314" s="45" t="n">
        <v>2.58</v>
      </c>
      <c r="F314" s="45" t="n">
        <v>7.2081</v>
      </c>
      <c r="G314" s="45" t="n">
        <v>179.4</v>
      </c>
      <c r="H314" s="46" t="inlineStr">
        <is>
          <t>Ind.1 (Contract Workers%): Claude=2</t>
        </is>
      </c>
      <c r="I314" s="47" t="n">
        <v>2.58</v>
      </c>
      <c r="J314" s="47" t="inlineStr">
        <is>
          <t>SKC 2022 Report (SR2022), p.53 'Employee Status' table: Total contracted employees 67 / Total employees 2,592 = 2.58%. Matches Claude.</t>
        </is>
      </c>
      <c r="K314" s="47" t="inlineStr">
        <is>
          <t>Yes</t>
        </is>
      </c>
    </row>
    <row r="315" ht="15" customHeight="1" s="43">
      <c r="A315" s="45" t="inlineStr">
        <is>
          <t>SKC</t>
        </is>
      </c>
      <c r="B315" s="45" t="inlineStr">
        <is>
          <t>011790</t>
        </is>
      </c>
      <c r="C315" s="45" t="inlineStr">
        <is>
          <t>2019</t>
        </is>
      </c>
      <c r="D315" s="45" t="inlineStr">
        <is>
          <t>Female Contract Workers %</t>
        </is>
      </c>
      <c r="E315" s="45" t="n">
        <v>31.91</v>
      </c>
      <c r="F315" s="45" t="n">
        <v>88.23999999999999</v>
      </c>
      <c r="G315" s="45" t="n">
        <v>176.5</v>
      </c>
      <c r="H315" s="46" t="inlineStr">
        <is>
          <t>Ind.3=31 || Ind.3 (Female Contract%): Claude=31</t>
        </is>
      </c>
      <c r="I315" s="47" t="n">
        <v>31.91</v>
      </c>
      <c r="J315" s="47" t="inlineStr">
        <is>
          <t>SR2022, p.53: Female contracted 15 / Total contracted 47 = 31.91%. Matches Claude.</t>
        </is>
      </c>
      <c r="K315" s="47" t="inlineStr">
        <is>
          <t>Yes</t>
        </is>
      </c>
    </row>
    <row r="316" ht="15" customHeight="1" s="43">
      <c r="A316" s="45" t="inlineStr">
        <is>
          <t>SKC</t>
        </is>
      </c>
      <c r="B316" s="45" t="inlineStr">
        <is>
          <t>011790</t>
        </is>
      </c>
      <c r="C316" s="45" t="inlineStr">
        <is>
          <t>2020</t>
        </is>
      </c>
      <c r="D316" s="45" t="inlineStr">
        <is>
          <t>Female Contract Workers %</t>
        </is>
      </c>
      <c r="E316" s="45" t="n">
        <v>42.19</v>
      </c>
      <c r="F316" s="45" t="n">
        <v>90</v>
      </c>
      <c r="G316" s="45" t="n">
        <v>113.3</v>
      </c>
      <c r="H316" s="46" t="inlineStr">
        <is>
          <t>Ind.3 (Female Contract%): Claude=42</t>
        </is>
      </c>
      <c r="I316" s="47" t="n">
        <v>42.19</v>
      </c>
      <c r="J316" s="47" t="inlineStr">
        <is>
          <t>SR2022, p.53: Female contracted 27 / Total contracted 64 = 42.19%. Matches Claude.</t>
        </is>
      </c>
      <c r="K316" s="47" t="inlineStr">
        <is>
          <t>Yes</t>
        </is>
      </c>
    </row>
    <row r="317" ht="15" customHeight="1" s="43">
      <c r="A317" s="45" t="inlineStr">
        <is>
          <t>SKC</t>
        </is>
      </c>
      <c r="B317" s="45" t="inlineStr">
        <is>
          <t>011790</t>
        </is>
      </c>
      <c r="C317" s="45" t="inlineStr">
        <is>
          <t>2018</t>
        </is>
      </c>
      <c r="D317" s="45" t="inlineStr">
        <is>
          <t>New Hires Female %</t>
        </is>
      </c>
      <c r="E317" s="45" t="n">
        <v>22.92</v>
      </c>
      <c r="F317" s="45" t="n">
        <v>45.69</v>
      </c>
      <c r="G317" s="45" t="n">
        <v>99.3</v>
      </c>
      <c r="H317" s="46" t="inlineStr">
        <is>
          <t>UNRESOLVED: requires SKC_2020.pdf ('SKC's first sustainability report, only report covering 2018' per Extraction Log Source col). Neither uploaded PDF (SKC_2022.pdf, SKC_2025.pdf) contains 2018 data. Leave flagged until 2020 report edition is sourced.</t>
        </is>
      </c>
      <c r="I317" s="47" t="n">
        <v>22.92</v>
      </c>
      <c r="J317" s="47" t="inlineStr">
        <is>
          <t>SKC Sustainability Report 2020 (SR2020), p.58 'Quantitative Performance Table &gt; Social Performance &gt; New Employment and Turnover': 46th Term (2018) col - No. of New Employees: Female=11, Total=48. 11/48=22.92%. Matches Claude exactly. DeepSeek's 45.69 does not reconcile with any numerator/denominator pair in this table.</t>
        </is>
      </c>
      <c r="K317" s="47" t="inlineStr">
        <is>
          <t>Yes</t>
        </is>
      </c>
    </row>
    <row r="318" ht="15" customHeight="1" s="43">
      <c r="A318" s="45" t="inlineStr">
        <is>
          <t>SKC</t>
        </is>
      </c>
      <c r="B318" s="45" t="inlineStr">
        <is>
          <t>011790</t>
        </is>
      </c>
      <c r="C318" s="45" t="inlineStr">
        <is>
          <t>2019</t>
        </is>
      </c>
      <c r="D318" s="45" t="inlineStr">
        <is>
          <t>Contract Workers %</t>
        </is>
      </c>
      <c r="E318" s="45" t="n">
        <v>2.01</v>
      </c>
      <c r="F318" s="45" t="n">
        <v>0.73</v>
      </c>
      <c r="G318" s="45" t="n">
        <v>63.7</v>
      </c>
      <c r="H318" s="46" t="inlineStr">
        <is>
          <t>Ind.1=2 || Ind.1 (Contract Workers%): Claude=2</t>
        </is>
      </c>
      <c r="I318" s="47" t="n">
        <v>2.01</v>
      </c>
      <c r="J318" s="47" t="inlineStr">
        <is>
          <t>SR2022, p.53: Total contracted 47 / Total employees 2,341 = 2.01%. Matches Claude.</t>
        </is>
      </c>
      <c r="K318" s="47" t="inlineStr">
        <is>
          <t>Yes</t>
        </is>
      </c>
    </row>
    <row r="319" ht="15" customHeight="1" s="43">
      <c r="A319" s="45" t="inlineStr">
        <is>
          <t>SKC</t>
        </is>
      </c>
      <c r="B319" s="45" t="inlineStr">
        <is>
          <t>011790</t>
        </is>
      </c>
      <c r="C319" s="45" t="inlineStr">
        <is>
          <t>2020</t>
        </is>
      </c>
      <c r="D319" s="45" t="inlineStr">
        <is>
          <t>Contract Workers %</t>
        </is>
      </c>
      <c r="E319" s="45" t="n">
        <v>2.47</v>
      </c>
      <c r="F319" s="45" t="n">
        <v>1.16</v>
      </c>
      <c r="G319" s="45" t="n">
        <v>53</v>
      </c>
      <c r="H319" s="46" t="inlineStr">
        <is>
          <t>Ind.1 (Contract Workers%): Claude=2</t>
        </is>
      </c>
      <c r="I319" s="47" t="n">
        <v>2.47</v>
      </c>
      <c r="J319" s="47" t="inlineStr">
        <is>
          <t>SR2022, p.53: Total contracted 64 / Total employees 2,586 = 2.47%. Matches Claude.</t>
        </is>
      </c>
      <c r="K319" s="47" t="inlineStr">
        <is>
          <t>Yes</t>
        </is>
      </c>
    </row>
    <row r="320" ht="15" customHeight="1" s="43">
      <c r="A320" s="45" t="inlineStr">
        <is>
          <t>SKC</t>
        </is>
      </c>
      <c r="B320" s="45" t="inlineStr">
        <is>
          <t>011790</t>
        </is>
      </c>
      <c r="C320" s="45" t="inlineStr">
        <is>
          <t>2022</t>
        </is>
      </c>
      <c r="D320" s="45" t="inlineStr">
        <is>
          <t>New Hire Rate %</t>
        </is>
      </c>
      <c r="E320" s="45" t="n">
        <v>14.72</v>
      </c>
      <c r="F320" s="45" t="n">
        <v>22.2734</v>
      </c>
      <c r="G320" s="45" t="n">
        <v>51.3</v>
      </c>
      <c r="H320" s="46" t="inlineStr">
        <is>
          <t>Ind.4 (New Hire Rate): Claude=14</t>
        </is>
      </c>
      <c r="I320" s="47" t="n">
        <v>14.72</v>
      </c>
      <c r="J320" s="47" t="inlineStr">
        <is>
          <t>SKC 2025 Report (SR2025), p.86 'Employee Status' (Total Employees 2022=1,970) &amp; p.88 'Recruitment &amp; Tenure' (All New Hires 2022=290): 290/1,970=14.72%. Matches Claude.</t>
        </is>
      </c>
      <c r="K320" s="47" t="inlineStr">
        <is>
          <t>Yes</t>
        </is>
      </c>
    </row>
    <row r="321" ht="15" customHeight="1" s="43">
      <c r="A321" s="45" t="inlineStr">
        <is>
          <t>SKC</t>
        </is>
      </c>
      <c r="B321" s="45" t="inlineStr">
        <is>
          <t>011790</t>
        </is>
      </c>
      <c r="C321" s="45" t="inlineStr">
        <is>
          <t>2023</t>
        </is>
      </c>
      <c r="D321" s="45" t="inlineStr">
        <is>
          <t>Female Permanent Workers %</t>
        </is>
      </c>
      <c r="E321" s="45" t="n">
        <v>14.42</v>
      </c>
      <c r="F321" s="45" t="n">
        <v>21.7391</v>
      </c>
      <c r="G321" s="45" t="n">
        <v>50.8</v>
      </c>
      <c r="H321" s="46" t="inlineStr">
        <is>
          <t>Ind.2 (Female Permanent%): Claude=14</t>
        </is>
      </c>
      <c r="I321" s="47" t="n">
        <v>14.42</v>
      </c>
      <c r="J321" s="47" t="inlineStr">
        <is>
          <t>SR2025, p.86: Female regular 171 / Total regular 1,186 = 14.42%. Matches Claude.</t>
        </is>
      </c>
      <c r="K321" s="47" t="inlineStr">
        <is>
          <t>Yes</t>
        </is>
      </c>
    </row>
    <row r="322" ht="15" customHeight="1" s="43">
      <c r="A322" s="48" t="inlineStr">
        <is>
          <t>SKC</t>
        </is>
      </c>
      <c r="B322" s="48" t="inlineStr">
        <is>
          <t>011790</t>
        </is>
      </c>
      <c r="C322" s="48" t="inlineStr">
        <is>
          <t>2023</t>
        </is>
      </c>
      <c r="D322" s="48" t="inlineStr">
        <is>
          <t>Female Contract Workers %</t>
        </is>
      </c>
      <c r="E322" s="48" t="n">
        <v>36.21</v>
      </c>
      <c r="F322" s="48" t="n">
        <v>20.8092</v>
      </c>
      <c r="G322" s="48" t="n">
        <v>42.5</v>
      </c>
      <c r="H322" s="46" t="inlineStr">
        <is>
          <t>Ind.3 (Female Contract%): Claude=36</t>
        </is>
      </c>
      <c r="I322" s="47" t="n">
        <v>36.21</v>
      </c>
      <c r="J322" s="47" t="inlineStr">
        <is>
          <t>SR2025, p.86: Female non-regular 42 / Total non-regular 116 = 36.21%. Matches Claude.</t>
        </is>
      </c>
      <c r="K322" s="47" t="inlineStr">
        <is>
          <t>Yes</t>
        </is>
      </c>
    </row>
    <row r="323" ht="15" customHeight="1" s="43">
      <c r="A323" s="48" t="inlineStr">
        <is>
          <t>SKC</t>
        </is>
      </c>
      <c r="B323" s="48" t="inlineStr">
        <is>
          <t>011790</t>
        </is>
      </c>
      <c r="C323" s="48" t="inlineStr">
        <is>
          <t>2023</t>
        </is>
      </c>
      <c r="D323" s="48" t="inlineStr">
        <is>
          <t>Contract Workers %</t>
        </is>
      </c>
      <c r="E323" s="48" t="n">
        <v>8.91</v>
      </c>
      <c r="F323" s="48" t="n">
        <v>12.2261</v>
      </c>
      <c r="G323" s="48" t="n">
        <v>37.2</v>
      </c>
      <c r="H323" s="46" t="inlineStr">
        <is>
          <t>Ind.1 (Contract Workers%): Claude=8</t>
        </is>
      </c>
      <c r="I323" s="47" t="n">
        <v>8.91</v>
      </c>
      <c r="J323" s="47" t="inlineStr">
        <is>
          <t>SR2025, p.86: Total non-regular 116 / Total employees 1,302 = 8.91%. Matches Claude.</t>
        </is>
      </c>
      <c r="K323" s="47" t="inlineStr">
        <is>
          <t>Yes</t>
        </is>
      </c>
    </row>
    <row r="324" ht="15" customHeight="1" s="43">
      <c r="A324" s="48" t="inlineStr">
        <is>
          <t>SKC</t>
        </is>
      </c>
      <c r="B324" s="48" t="inlineStr">
        <is>
          <t>011790</t>
        </is>
      </c>
      <c r="C324" s="48" t="inlineStr">
        <is>
          <t>2024</t>
        </is>
      </c>
      <c r="D324" s="48" t="inlineStr">
        <is>
          <t>Female Contract Workers %</t>
        </is>
      </c>
      <c r="E324" s="48" t="n">
        <v>30.64</v>
      </c>
      <c r="F324" s="48" t="n">
        <v>20.8092</v>
      </c>
      <c r="G324" s="48" t="n">
        <v>32.1</v>
      </c>
      <c r="H324" s="46" t="inlineStr">
        <is>
          <t>Ind.3 (Female Contract%): Claude=30</t>
        </is>
      </c>
      <c r="I324" s="47" t="n">
        <v>30.64</v>
      </c>
      <c r="J324" s="47" t="inlineStr">
        <is>
          <t>SR2025, p.86: Female non-regular 53 / Total non-regular 173 = 30.64%. Matches Claude.</t>
        </is>
      </c>
      <c r="K324" s="47" t="inlineStr">
        <is>
          <t>Yes</t>
        </is>
      </c>
    </row>
    <row r="325" ht="15" customHeight="1" s="43">
      <c r="A325" s="48" t="inlineStr">
        <is>
          <t>SKC</t>
        </is>
      </c>
      <c r="B325" s="48" t="inlineStr">
        <is>
          <t>011790</t>
        </is>
      </c>
      <c r="C325" s="48" t="inlineStr">
        <is>
          <t>2021</t>
        </is>
      </c>
      <c r="D325" s="48" t="inlineStr">
        <is>
          <t>Female Permanent Workers %</t>
        </is>
      </c>
      <c r="E325" s="48" t="n">
        <v>9.98</v>
      </c>
      <c r="F325" s="48" t="n">
        <v>12.8008</v>
      </c>
      <c r="G325" s="48" t="n">
        <v>28.3</v>
      </c>
      <c r="H325" s="46" t="inlineStr">
        <is>
          <t>Ind.2 (Female Permanent%): Claude=9</t>
        </is>
      </c>
      <c r="I325" s="47" t="n">
        <v>9.98</v>
      </c>
      <c r="J325" s="47" t="inlineStr">
        <is>
          <t>SR2022, p.53: Female full-time 252 / Total full-time 2,525 = 9.98%. Matches Claude.</t>
        </is>
      </c>
      <c r="K325" s="47" t="inlineStr">
        <is>
          <t>Yes</t>
        </is>
      </c>
    </row>
    <row r="326" ht="15" customHeight="1" s="43">
      <c r="A326" s="48" t="inlineStr">
        <is>
          <t>SKC</t>
        </is>
      </c>
      <c r="B326" s="48" t="inlineStr">
        <is>
          <t>011790</t>
        </is>
      </c>
      <c r="C326" s="48" t="inlineStr">
        <is>
          <t>2021</t>
        </is>
      </c>
      <c r="D326" s="48" t="inlineStr">
        <is>
          <t>Female Contract Workers %</t>
        </is>
      </c>
      <c r="E326" s="48" t="n">
        <v>49.25</v>
      </c>
      <c r="F326" s="48" t="n">
        <v>35.9154</v>
      </c>
      <c r="G326" s="48" t="n">
        <v>27.1</v>
      </c>
      <c r="H326" s="46" t="inlineStr">
        <is>
          <t>Ind.3 (Female Contract%): Claude=49</t>
        </is>
      </c>
      <c r="I326" s="47" t="n">
        <v>49.25</v>
      </c>
      <c r="J326" s="47" t="inlineStr">
        <is>
          <t>SR2022, p.53: Female contracted 33 / Total contracted 67 = 49.25%. Matches Claude.</t>
        </is>
      </c>
      <c r="K326" s="47" t="inlineStr">
        <is>
          <t>Yes</t>
        </is>
      </c>
    </row>
    <row r="327" ht="15" customHeight="1" s="43">
      <c r="A327" s="48" t="inlineStr">
        <is>
          <t>SKC</t>
        </is>
      </c>
      <c r="B327" s="48" t="inlineStr">
        <is>
          <t>011790</t>
        </is>
      </c>
      <c r="C327" s="48" t="inlineStr">
        <is>
          <t>2022</t>
        </is>
      </c>
      <c r="D327" s="48" t="inlineStr">
        <is>
          <t>Contract Workers %</t>
        </is>
      </c>
      <c r="E327" s="48" t="n">
        <v>7.21</v>
      </c>
      <c r="F327" s="48" t="n">
        <v>8.9093</v>
      </c>
      <c r="G327" s="48" t="n">
        <v>23.6</v>
      </c>
      <c r="H327" s="46" t="inlineStr">
        <is>
          <t>Ind.1 jumps to 7 || Ind.1 (Contract Workers%): Claude=7</t>
        </is>
      </c>
      <c r="I327" s="47" t="n">
        <v>7.21</v>
      </c>
      <c r="J327" s="47" t="inlineStr">
        <is>
          <t>SR2025, p.86: Total non-regular 142 / Total employees 1,970 = 7.21%. Matches Claude.</t>
        </is>
      </c>
      <c r="K327" s="47" t="inlineStr">
        <is>
          <t>Yes</t>
        </is>
      </c>
    </row>
    <row r="328" ht="15" customHeight="1" s="43">
      <c r="A328" s="48" t="inlineStr">
        <is>
          <t>SKC</t>
        </is>
      </c>
      <c r="B328" s="48" t="inlineStr">
        <is>
          <t>011790</t>
        </is>
      </c>
      <c r="C328" s="48" t="inlineStr">
        <is>
          <t>2024</t>
        </is>
      </c>
      <c r="D328" s="48" t="inlineStr">
        <is>
          <t>LTIFR</t>
        </is>
      </c>
      <c r="E328" s="48" t="n">
        <v>1.73</v>
      </c>
      <c r="F328" s="48" t="n">
        <v>1.39</v>
      </c>
      <c r="G328" s="48" t="n">
        <v>19.7</v>
      </c>
      <c r="H328" s="46" t="inlineStr">
        <is>
          <t>Ind.23 (LTIFR): Claude=1</t>
        </is>
      </c>
      <c r="I328" s="47" t="n">
        <v>1.73</v>
      </c>
      <c r="J328" s="47" t="inlineStr">
        <is>
          <t>SR2025, p.93 'Lost-Time Injuries Frequency Rate' table, 2024 col, 'Employees' row = 1.73 (per 1,000,000 hrs); report's own SASB section (p.~?) independently states 'Employee Lost Time Injury Rate: 1.73'. Matches Claude. DeepSeek's 1.39 is the 'Total' row (Employees+Suppliers combined) - wrong scope, not employee-only.</t>
        </is>
      </c>
      <c r="K328" s="47" t="inlineStr">
        <is>
          <t>Yes</t>
        </is>
      </c>
    </row>
    <row r="329" ht="15" customHeight="1" s="43">
      <c r="A329" s="48" t="inlineStr">
        <is>
          <t>SKC</t>
        </is>
      </c>
      <c r="B329" s="48" t="inlineStr">
        <is>
          <t>011790</t>
        </is>
      </c>
      <c r="C329" s="48" t="inlineStr">
        <is>
          <t>2022</t>
        </is>
      </c>
      <c r="D329" s="48" t="inlineStr">
        <is>
          <t>Female Permanent Workers %</t>
        </is>
      </c>
      <c r="E329" s="48" t="n">
        <v>12.8</v>
      </c>
      <c r="F329" s="48" t="n">
        <v>14.8398</v>
      </c>
      <c r="G329" s="48" t="n">
        <v>15.9</v>
      </c>
      <c r="H329" s="46" t="inlineStr">
        <is>
          <t>Ind.2 also jumps to 12 || Ind.2 (Female Permanent%): Claude=12</t>
        </is>
      </c>
      <c r="I329" s="47" t="n">
        <v>12.8</v>
      </c>
      <c r="J329" s="47" t="inlineStr">
        <is>
          <t>SR2025, p.86: Female regular 234 / Total regular 1,828 = 12.80%. Matches Claude.</t>
        </is>
      </c>
      <c r="K329" s="47" t="inlineStr">
        <is>
          <t>Yes</t>
        </is>
      </c>
    </row>
    <row r="330" ht="15" customHeight="1" s="43">
      <c r="A330" s="48" t="inlineStr">
        <is>
          <t>SKC</t>
        </is>
      </c>
      <c r="B330" s="48" t="inlineStr">
        <is>
          <t>011790</t>
        </is>
      </c>
      <c r="C330" s="48" t="inlineStr">
        <is>
          <t>2022</t>
        </is>
      </c>
      <c r="D330" s="48" t="inlineStr">
        <is>
          <t>Female Contract Workers %</t>
        </is>
      </c>
      <c r="E330" s="48" t="n">
        <v>35.92</v>
      </c>
      <c r="F330" s="48" t="n">
        <v>31.8965</v>
      </c>
      <c r="G330" s="48" t="n">
        <v>11.2</v>
      </c>
      <c r="H330" s="46" t="inlineStr">
        <is>
          <t>Ind.3 (Female Contract%): Claude=35</t>
        </is>
      </c>
      <c r="I330" s="47" t="n">
        <v>35.92</v>
      </c>
      <c r="J330" s="47" t="inlineStr">
        <is>
          <t>SR2025, p.86: Female non-regular 51 / Total non-regular 142 = 35.92%. Matches Claude.</t>
        </is>
      </c>
      <c r="K330" s="47" t="inlineStr">
        <is>
          <t>Yes</t>
        </is>
      </c>
    </row>
    <row r="331" ht="15" customHeight="1" s="43">
      <c r="A331" s="48" t="inlineStr">
        <is>
          <t>SKC</t>
        </is>
      </c>
      <c r="B331" s="48" t="inlineStr">
        <is>
          <t>011790</t>
        </is>
      </c>
      <c r="C331" s="48" t="inlineStr">
        <is>
          <t>2019</t>
        </is>
      </c>
      <c r="D331" s="48" t="inlineStr">
        <is>
          <t>New Hire Rate %</t>
        </is>
      </c>
      <c r="E331" s="48" t="n">
        <v>9.609999999999999</v>
      </c>
      <c r="F331" s="48" t="n">
        <v>10.64</v>
      </c>
      <c r="G331" s="48" t="n">
        <v>10.7</v>
      </c>
      <c r="H331" s="46" t="inlineStr">
        <is>
          <t>Ind.4(New Hire Rate)=9 || Ind.4 (New Hire Rate): Claude=9</t>
        </is>
      </c>
      <c r="I331" s="47" t="n">
        <v>10.64</v>
      </c>
      <c r="J331" s="47" t="inlineStr">
        <is>
          <t>SR2022, p.53 (Total Employees 2019=2,341) &amp; p.54 (Total new hires 2019=249): 249/2,341=10.64%. *** DeepSeek is correct here, NOT Claude *** - Claude's 9.61 does not reconcile with any disclosed denominator/numerator combination in the report.</t>
        </is>
      </c>
      <c r="K331" s="47" t="inlineStr">
        <is>
          <t>Yes</t>
        </is>
      </c>
    </row>
    <row r="332" ht="15" customHeight="1" s="43">
      <c r="A332" s="48" t="inlineStr">
        <is>
          <t>SKC</t>
        </is>
      </c>
      <c r="B332" s="48" t="inlineStr">
        <is>
          <t>011790</t>
        </is>
      </c>
      <c r="C332" s="48" t="inlineStr">
        <is>
          <t>2022</t>
        </is>
      </c>
      <c r="D332" s="48" t="inlineStr">
        <is>
          <t>LTIFR</t>
        </is>
      </c>
      <c r="E332" s="48" t="n">
        <v>3.27</v>
      </c>
      <c r="F332" s="48" t="n">
        <v>2.93</v>
      </c>
      <c r="G332" s="48" t="n">
        <v>10.4</v>
      </c>
      <c r="H332" s="46" t="inlineStr">
        <is>
          <t>Ind.23=3 || Ind.23 (LTIFR): Claude=3</t>
        </is>
      </c>
      <c r="I332" s="47" t="n">
        <v>3.27</v>
      </c>
      <c r="J332" s="47" t="inlineStr">
        <is>
          <t>SR2025, p.93, 2022 col, 'Employees' row = 3.27 (per 1,000,000 hrs). Matches Claude. DeepSeek's 2.93 is the 'Total' (incl. suppliers) row.</t>
        </is>
      </c>
      <c r="K332" s="47" t="inlineStr">
        <is>
          <t>Yes</t>
        </is>
      </c>
    </row>
    <row r="333" ht="15" customHeight="1" s="43">
      <c r="A333" s="48" t="inlineStr">
        <is>
          <t>SKC</t>
        </is>
      </c>
      <c r="B333" s="48" t="inlineStr">
        <is>
          <t>011790</t>
        </is>
      </c>
      <c r="C333" s="48" t="inlineStr">
        <is>
          <t>2020</t>
        </is>
      </c>
      <c r="D333" s="48" t="inlineStr">
        <is>
          <t>New Hire Rate %</t>
        </is>
      </c>
      <c r="E333" s="48" t="n">
        <v>8.43</v>
      </c>
      <c r="F333" s="48" t="n">
        <v>9.199999999999999</v>
      </c>
      <c r="G333" s="48" t="n">
        <v>9.1</v>
      </c>
      <c r="H333" s="46" t="inlineStr">
        <is>
          <t>Ind.4 (New Hire Rate): Claude=8</t>
        </is>
      </c>
      <c r="I333" s="47" t="n">
        <v>9.199999999999999</v>
      </c>
      <c r="J333" s="47" t="inlineStr">
        <is>
          <t>SR2022, p.53 (Total Employees 2020=2,586) &amp; p.54 (Total new hires 2020=238): 238/2,586=9.20%. *** DeepSeek is correct here, NOT Claude *** - same issue as 2019 (row 331).</t>
        </is>
      </c>
      <c r="K333" s="47" t="inlineStr">
        <is>
          <t>Yes</t>
        </is>
      </c>
    </row>
    <row r="334" ht="15" customHeight="1" s="43">
      <c r="A334" s="48" t="inlineStr">
        <is>
          <t>SKC</t>
        </is>
      </c>
      <c r="B334" s="48" t="inlineStr">
        <is>
          <t>011790</t>
        </is>
      </c>
      <c r="C334" s="48" t="inlineStr">
        <is>
          <t>2023</t>
        </is>
      </c>
      <c r="D334" s="48" t="inlineStr">
        <is>
          <t>New Hire Rate %</t>
        </is>
      </c>
      <c r="E334" s="48" t="n">
        <v>12.21</v>
      </c>
      <c r="F334" s="48" t="n">
        <v>11.2367</v>
      </c>
      <c r="G334" s="48" t="n">
        <v>8</v>
      </c>
      <c r="H334" s="46" t="inlineStr">
        <is>
          <t>Ind.4 (New Hire Rate): Claude=12</t>
        </is>
      </c>
      <c r="I334" s="47" t="n">
        <v>12.21</v>
      </c>
      <c r="J334" s="47" t="inlineStr">
        <is>
          <t>SR2025, p.86 (Total Employees 2023=1,302) &amp; p.88 (All New Hires 2023=159): 159/1,302=12.21%. Matches Claude.</t>
        </is>
      </c>
      <c r="K334" s="47" t="inlineStr">
        <is>
          <t>Yes</t>
        </is>
      </c>
    </row>
    <row r="335" ht="15" customHeight="1" s="43">
      <c r="A335" s="48" t="inlineStr">
        <is>
          <t>SKC</t>
        </is>
      </c>
      <c r="B335" s="48" t="inlineStr">
        <is>
          <t>011790</t>
        </is>
      </c>
      <c r="C335" s="48" t="inlineStr">
        <is>
          <t>2024</t>
        </is>
      </c>
      <c r="D335" s="48" t="inlineStr">
        <is>
          <t>Female Permanent Workers %</t>
        </is>
      </c>
      <c r="E335" s="48" t="n">
        <v>20.37</v>
      </c>
      <c r="F335" s="48" t="n">
        <v>21.7391</v>
      </c>
      <c r="G335" s="48" t="n">
        <v>6.7</v>
      </c>
      <c r="H335" s="46" t="inlineStr">
        <is>
          <t>Ind.2=20 || Ind.2 (Female Permanent%): Claude=20</t>
        </is>
      </c>
      <c r="I335" s="47" t="n">
        <v>20.37</v>
      </c>
      <c r="J335" s="47" t="inlineStr">
        <is>
          <t>SR2025, p.86: Female regular 253 / Total regular 1,242 = 20.37%. Matches Claude.</t>
        </is>
      </c>
      <c r="K335" s="47" t="inlineStr">
        <is>
          <t>Yes</t>
        </is>
      </c>
    </row>
    <row r="336" ht="15" customHeight="1" s="43">
      <c r="A336" s="48" t="inlineStr">
        <is>
          <t>SKC</t>
        </is>
      </c>
      <c r="B336" s="48" t="inlineStr">
        <is>
          <t>011790</t>
        </is>
      </c>
      <c r="C336" s="48" t="inlineStr">
        <is>
          <t>2023</t>
        </is>
      </c>
      <c r="D336" s="48" t="inlineStr">
        <is>
          <t>LTIFR</t>
        </is>
      </c>
      <c r="E336" s="48" t="n">
        <v>2.15</v>
      </c>
      <c r="F336" s="48" t="n">
        <v>2.28</v>
      </c>
      <c r="G336" s="48" t="n">
        <v>6</v>
      </c>
      <c r="H336" s="46" t="inlineStr">
        <is>
          <t>Ind.23 (LTIFR): Claude=2</t>
        </is>
      </c>
      <c r="I336" s="47" t="n">
        <v>2.15</v>
      </c>
      <c r="J336" s="47" t="inlineStr">
        <is>
          <t>SR2025, p.93, 2023 col, 'Employees' row = 2.15 (per 1,000,000 hrs). Matches Claude. DeepSeek's 2.28 is the 'Total' (incl. suppliers) row.</t>
        </is>
      </c>
      <c r="K336" s="47" t="inlineStr">
        <is>
          <t>Yes</t>
        </is>
      </c>
    </row>
    <row r="337" ht="15" customHeight="1" s="43">
      <c r="A337" s="45" t="inlineStr">
        <is>
          <t>YUHAN</t>
        </is>
      </c>
      <c r="B337" s="45" t="inlineStr">
        <is>
          <t>000100</t>
        </is>
      </c>
      <c r="C337" s="45" t="inlineStr">
        <is>
          <t>2024</t>
        </is>
      </c>
      <c r="D337" s="45" t="inlineStr">
        <is>
          <t>Voluntary Turnover %</t>
        </is>
      </c>
      <c r="E337" s="45" t="n">
        <v>4.1</v>
      </c>
      <c r="F337" s="45" t="n">
        <v>51</v>
      </c>
      <c r="G337" s="45" t="n">
        <v>1143.9</v>
      </c>
      <c r="H337" s="46" t="inlineStr">
        <is>
          <t>Ind.20 (Voluntary Turnover): Claude=4</t>
        </is>
      </c>
      <c r="I337" s="47" t="n">
        <v>4.1</v>
      </c>
      <c r="J337" s="47" t="inlineStr">
        <is>
          <t>Yuhan Sustainability Report 2024-2025, p.142 - 'Turnover (Resignation)' table, 'Voluntary Turnover Rate' row, 2024 column (5.1% / 4.7% / 4.1% for 2022/23/24). Confirms Claude; DeepSeek's 51 does not match any figure in this table.</t>
        </is>
      </c>
      <c r="K337" s="47" t="inlineStr">
        <is>
          <t>Yes</t>
        </is>
      </c>
    </row>
    <row r="338" ht="23.25" customHeight="1" s="43">
      <c r="A338" s="45" t="inlineStr">
        <is>
          <t>YUHAN</t>
        </is>
      </c>
      <c r="B338" s="45" t="inlineStr">
        <is>
          <t>000100</t>
        </is>
      </c>
      <c r="C338" s="45" t="inlineStr">
        <is>
          <t>2019</t>
        </is>
      </c>
      <c r="D338" s="45" t="inlineStr">
        <is>
          <t>COVID-19 Response</t>
        </is>
      </c>
      <c r="E338" s="45" t="n">
        <v>6</v>
      </c>
      <c r="F338" s="45" t="n">
        <v>0</v>
      </c>
      <c r="G338" s="45" t="n">
        <v>100</v>
      </c>
      <c r="H338" s="46" t="inlineStr">
        <is>
          <t>Ind.25=6, applied identically across 2019-2021 (not year-specific per source) || Ind.25 (COVID Response): Claude=6, DeepSeek=0, Diff=100</t>
        </is>
      </c>
      <c r="I338" s="47" t="n">
        <v>6</v>
      </c>
      <c r="J338" s="47" t="inlineStr">
        <is>
          <t>UNRESOLVED - Ind.25 'Covid Response Policies' is an analyst-coded qualitative score (count/presence of COVID-related measures mentioned in the report - e.g. masks/sanitizer distribution, remote work, disinfection), not a single reported figure that appears verbatim in the PDF. The 2021-2022 report describes COVID measures narratively in several places (CEO Message p.3; Business Review p.16-17 'Certified as a Family-friendly Company' and health/hygiene donation items; Social Contribution p.85 'Personal Hygiene Improvement Project' pop-up book/Happy Home kits) but never tabulates a score, and does not distinguish measures by year (hence Claude applying the same value across 2019-2021 per the Diagnostic Note). Cannot confirm which of Claude's or DeepSeek's coding is 'correct' without the original scoring rubric used to generate Ind.25 - recommend either (a) documenting the scoring methodology and re-deriving the score directly from report text, or (b) treating Ind.25 as out-of-scope for PDF-based verification, consistent with Indicators 25-30 generally being flagged for external/derived sourcing in the 'How to Use' sheet.</t>
        </is>
      </c>
      <c r="K338" s="47" t="inlineStr">
        <is>
          <t>FINAL: Claude value retained (source inconclusive; see note)</t>
        </is>
      </c>
    </row>
    <row r="339" ht="15" customHeight="1" s="43">
      <c r="A339" s="45" t="inlineStr">
        <is>
          <t>YUHAN</t>
        </is>
      </c>
      <c r="B339" s="45" t="inlineStr">
        <is>
          <t>000100</t>
        </is>
      </c>
      <c r="C339" s="45" t="inlineStr">
        <is>
          <t>2023</t>
        </is>
      </c>
      <c r="D339" s="45" t="inlineStr">
        <is>
          <t>Union Membership %</t>
        </is>
      </c>
      <c r="E339" s="45" t="n">
        <v>43.2</v>
      </c>
      <c r="F339" s="45" t="n">
        <v>19.36</v>
      </c>
      <c r="G339" s="45" t="n">
        <v>55.2</v>
      </c>
      <c r="H339" s="46" t="inlineStr">
        <is>
          <t>Ind.22 (Union Membership): Claude=43</t>
        </is>
      </c>
      <c r="I339" s="47" t="n">
        <v>43.2</v>
      </c>
      <c r="J339" s="47" t="inlineStr">
        <is>
          <t>Yuhan Sustainability Report 2024-2025, p.144 - 'Labor Union' table, 'Union Membership Rate' row, 2023 column = 43.2% (388 members / 899 eligible). Confirms Claude. DeepSeek's 19.36 = 388 members / 2,004 total employees (p.142 'Total Employees') - wrong denominator (used total workforce instead of the report's own 'eligible for union membership' base).</t>
        </is>
      </c>
      <c r="K339" s="47" t="inlineStr">
        <is>
          <t>Yes</t>
        </is>
      </c>
    </row>
    <row r="340" ht="15" customHeight="1" s="43">
      <c r="A340" s="45" t="inlineStr">
        <is>
          <t>YUHAN</t>
        </is>
      </c>
      <c r="B340" s="45" t="inlineStr">
        <is>
          <t>000100</t>
        </is>
      </c>
      <c r="C340" s="45" t="inlineStr">
        <is>
          <t>2022</t>
        </is>
      </c>
      <c r="D340" s="45" t="inlineStr">
        <is>
          <t>Union Membership %</t>
        </is>
      </c>
      <c r="E340" s="45" t="n">
        <v>44.4</v>
      </c>
      <c r="F340" s="45" t="n">
        <v>20.23</v>
      </c>
      <c r="G340" s="45" t="n">
        <v>54.4</v>
      </c>
      <c r="H340" s="46" t="inlineStr">
        <is>
          <t>Ind.22 (Union Membership): Claude=44</t>
        </is>
      </c>
      <c r="I340" s="47" t="n">
        <v>44.4</v>
      </c>
      <c r="J340" s="47" t="inlineStr">
        <is>
          <t>Yuhan Sustainability Report 2024-2025, p.144 - 'Labor Union' table, 'Union Membership Rate' row, 2022 column = 44.4% (392 members / 882 eligible). Confirms Claude. DeepSeek's 20.23 = 392 / 1,938 total employees - same wrong-denominator error as 2023.</t>
        </is>
      </c>
      <c r="K340" s="47" t="inlineStr">
        <is>
          <t>Yes</t>
        </is>
      </c>
    </row>
    <row r="341" ht="23.25" customHeight="1" s="43">
      <c r="A341" s="48" t="inlineStr">
        <is>
          <t>YUHAN</t>
        </is>
      </c>
      <c r="B341" s="48" t="inlineStr">
        <is>
          <t>000100</t>
        </is>
      </c>
      <c r="C341" s="48" t="inlineStr">
        <is>
          <t>2020</t>
        </is>
      </c>
      <c r="D341" s="48" t="inlineStr">
        <is>
          <t>COVID-19 Response</t>
        </is>
      </c>
      <c r="E341" s="48" t="n">
        <v>6</v>
      </c>
      <c r="F341" s="48" t="n">
        <v>8</v>
      </c>
      <c r="G341" s="48" t="n">
        <v>33.3</v>
      </c>
      <c r="H341" s="46" t="inlineStr">
        <is>
          <t>Ind.25=6, same non-year-specific caveat || Ind.25 (COVID Response): Claude=6, DeepSeek=8, Diff=33</t>
        </is>
      </c>
      <c r="I341" s="47" t="n">
        <v>6</v>
      </c>
      <c r="J341" s="47" t="inlineStr">
        <is>
          <t>UNRESOLVED - Ind.25 'Covid Response Policies' is an analyst-coded qualitative score (count/presence of COVID-related measures mentioned in the report - e.g. masks/sanitizer distribution, remote work, disinfection), not a single reported figure that appears verbatim in the PDF. The 2021-2022 report describes COVID measures narratively in several places (CEO Message p.3; Business Review p.16-17 'Certified as a Family-friendly Company' and health/hygiene donation items; Social Contribution p.85 'Personal Hygiene Improvement Project' pop-up book/Happy Home kits) but never tabulates a score, and does not distinguish measures by year (hence Claude applying the same value across 2019-2021 per the Diagnostic Note). Cannot confirm which of Claude's or DeepSeek's coding is 'correct' without the original scoring rubric used to generate Ind.25 - recommend either (a) documenting the scoring methodology and re-deriving the score directly from report text, or (b) treating Ind.25 as out-of-scope for PDF-based verification, consistent with Indicators 25-30 generally being flagged for external/derived sourcing in the 'How to Use' sheet.</t>
        </is>
      </c>
      <c r="K341" s="47" t="inlineStr">
        <is>
          <t>FINAL: Claude value retained (source inconclusive; see note)</t>
        </is>
      </c>
    </row>
    <row r="342" ht="23.25" customHeight="1" s="43">
      <c r="A342" s="48" t="inlineStr">
        <is>
          <t>YUHAN</t>
        </is>
      </c>
      <c r="B342" s="48" t="inlineStr">
        <is>
          <t>000100</t>
        </is>
      </c>
      <c r="C342" s="48" t="inlineStr">
        <is>
          <t>2021</t>
        </is>
      </c>
      <c r="D342" s="48" t="inlineStr">
        <is>
          <t>COVID-19 Response</t>
        </is>
      </c>
      <c r="E342" s="48" t="n">
        <v>6</v>
      </c>
      <c r="F342" s="48" t="n">
        <v>8</v>
      </c>
      <c r="G342" s="48" t="n">
        <v>33.3</v>
      </c>
      <c r="H342" s="46" t="inlineStr">
        <is>
          <t>Ind.25=6, same non-year-specific caveat || Ind.25 (COVID Response): Claude=6, DeepSeek=8, Diff=33</t>
        </is>
      </c>
      <c r="I342" s="47" t="n">
        <v>6</v>
      </c>
      <c r="J342" s="47" t="inlineStr">
        <is>
          <t>UNRESOLVED - Ind.25 'Covid Response Policies' is an analyst-coded qualitative score (count/presence of COVID-related measures mentioned in the report - e.g. masks/sanitizer distribution, remote work, disinfection), not a single reported figure that appears verbatim in the PDF. The 2021-2022 report describes COVID measures narratively in several places (CEO Message p.3; Business Review p.16-17 'Certified as a Family-friendly Company' and health/hygiene donation items; Social Contribution p.85 'Personal Hygiene Improvement Project' pop-up book/Happy Home kits) but never tabulates a score, and does not distinguish measures by year (hence Claude applying the same value across 2019-2021 per the Diagnostic Note). Cannot confirm which of Claude's or DeepSeek's coding is 'correct' without the original scoring rubric used to generate Ind.25 - recommend either (a) documenting the scoring methodology and re-deriving the score directly from report text, or (b) treating Ind.25 as out-of-scope for PDF-based verification, consistent with Indicators 25-30 generally being flagged for external/derived sourcing in the 'How to Use' sheet.</t>
        </is>
      </c>
      <c r="K342" s="47" t="inlineStr">
        <is>
          <t>FINAL: Claude value retained (source inconclusive; see note)</t>
        </is>
      </c>
    </row>
    <row r="343" ht="15" customHeight="1" s="43">
      <c r="A343" s="48" t="inlineStr">
        <is>
          <t>YUHAN</t>
        </is>
      </c>
      <c r="B343" s="48" t="inlineStr">
        <is>
          <t>000100</t>
        </is>
      </c>
      <c r="C343" s="48" t="inlineStr">
        <is>
          <t>2019</t>
        </is>
      </c>
      <c r="D343" s="48" t="inlineStr">
        <is>
          <t>Female Contract Workers %</t>
        </is>
      </c>
      <c r="E343" s="48" t="n">
        <v>34.48</v>
      </c>
      <c r="F343" s="48" t="n">
        <v>45.71</v>
      </c>
      <c r="G343" s="48" t="n">
        <v>32.6</v>
      </c>
      <c r="H343" s="46" t="inlineStr">
        <is>
          <t>Ind.3 (Female Contract%): Claude=34</t>
        </is>
      </c>
      <c r="I343" s="47" t="n">
        <v>34.48</v>
      </c>
      <c r="J343" s="47" t="inlineStr">
        <is>
          <t>Yuhan Sustainability Report 2021-2022, p.114 - 'Employee Diversity' table, 'By contract &gt; Part-timers' row, 2019 column: Female part-timers=10, Total part-timers=29 -&gt; 10/29=34.48%. Confirms Claude. DeepSeek's 45.71 does not correspond to any ratio derivable from this table (and is identical to DeepSeek's 2020 value, suggesting a copy/lookup error).</t>
        </is>
      </c>
      <c r="K343" s="47" t="inlineStr">
        <is>
          <t>Yes</t>
        </is>
      </c>
    </row>
    <row r="344" ht="15" customHeight="1" s="43">
      <c r="A344" s="48" t="inlineStr">
        <is>
          <t>YUHAN</t>
        </is>
      </c>
      <c r="B344" s="48" t="inlineStr">
        <is>
          <t>000100</t>
        </is>
      </c>
      <c r="C344" s="48" t="inlineStr">
        <is>
          <t>2024</t>
        </is>
      </c>
      <c r="D344" s="48" t="inlineStr">
        <is>
          <t>Involuntary Turnover %</t>
        </is>
      </c>
      <c r="E344" s="48" t="n">
        <v>1.7</v>
      </c>
      <c r="F344" s="48" t="n">
        <v>1.2</v>
      </c>
      <c r="G344" s="48" t="n">
        <v>29.4</v>
      </c>
      <c r="H344" s="46" t="inlineStr">
        <is>
          <t>Ind.21 (Involuntary Turnover): Claude=1</t>
        </is>
      </c>
      <c r="I344" s="47" t="n">
        <v>1.7</v>
      </c>
      <c r="J344" s="47" t="inlineStr">
        <is>
          <t>Yuhan Sustainability Report 2024-2025, p.142 - 'Turnover (Resignation)' table, 'Involuntary Turnover Rate' row, 2024 column = 1.7%. Confirms Claude. DeepSeek's 1.2 matches the 2023 column value in the same row - appears DeepSeek read the wrong year's column.</t>
        </is>
      </c>
      <c r="K344" s="47" t="inlineStr">
        <is>
          <t>Yes</t>
        </is>
      </c>
    </row>
    <row r="345" ht="34.5" customHeight="1" s="43">
      <c r="A345" s="48" t="inlineStr">
        <is>
          <t>YUHAN</t>
        </is>
      </c>
      <c r="B345" s="48" t="inlineStr">
        <is>
          <t>000100</t>
        </is>
      </c>
      <c r="C345" s="48" t="inlineStr">
        <is>
          <t>2019</t>
        </is>
      </c>
      <c r="D345" s="48" t="inlineStr">
        <is>
          <t>Contract Workers %</t>
        </is>
      </c>
      <c r="E345" s="48" t="n">
        <v>1.6</v>
      </c>
      <c r="F345" s="48" t="n">
        <v>1.93</v>
      </c>
      <c r="G345" s="48" t="n">
        <v>20.6</v>
      </c>
      <c r="H345" s="46" t="inlineStr">
        <is>
          <t>Ind.1-3 PROXY: 'Full-timer/Part-timer' used as stand-in for permanent/contract (report never uses 'contract worker') || Ind.1 (Contract Workers%): Claude=1</t>
        </is>
      </c>
      <c r="I345" s="47" t="n">
        <v>1.6</v>
      </c>
      <c r="J345" s="47" t="inlineStr">
        <is>
          <t>Yuhan Sustainability Report 2021-2022, p.114 - 'Employee Diversity' table, 2019 column: Part-timers total (Male 19 + Female 10 = 29) / Total employees (1,816) = 1.60%. Confirms Claude (report never uses the term 'contract worker'; full-timer/part-timer used as proxy, per Extraction Log note).</t>
        </is>
      </c>
      <c r="K345" s="47" t="inlineStr">
        <is>
          <t>Yes</t>
        </is>
      </c>
    </row>
    <row r="346" ht="15" customHeight="1" s="43">
      <c r="A346" s="48" t="inlineStr">
        <is>
          <t>YUHAN</t>
        </is>
      </c>
      <c r="B346" s="48" t="inlineStr">
        <is>
          <t>000100</t>
        </is>
      </c>
      <c r="C346" s="48" t="inlineStr">
        <is>
          <t>2020</t>
        </is>
      </c>
      <c r="D346" s="48" t="inlineStr">
        <is>
          <t>Contract Workers %</t>
        </is>
      </c>
      <c r="E346" s="48" t="n">
        <v>1.67</v>
      </c>
      <c r="F346" s="48" t="n">
        <v>1.89</v>
      </c>
      <c r="G346" s="48" t="n">
        <v>13.2</v>
      </c>
      <c r="H346" s="46" t="inlineStr">
        <is>
          <t>Ind.1-3, 21, 24) || Ind.1 (Contract Workers%): Claude=1</t>
        </is>
      </c>
      <c r="I346" s="47" t="n">
        <v>1.67</v>
      </c>
      <c r="J346" s="47" t="inlineStr">
        <is>
          <t>Yuhan Sustainability Report 2021-2022, p.114 - 'Employee Diversity' table, 2020 column: Part-timers total (16+15=31) / Total employees (1,855) = 1.67%. Confirms Claude.</t>
        </is>
      </c>
      <c r="K346" s="47" t="inlineStr">
        <is>
          <t>Yes</t>
        </is>
      </c>
    </row>
    <row r="347" ht="15" customHeight="1" s="43">
      <c r="A347" s="48" t="inlineStr">
        <is>
          <t>YUHAN</t>
        </is>
      </c>
      <c r="B347" s="48" t="inlineStr">
        <is>
          <t>000100</t>
        </is>
      </c>
      <c r="C347" s="48" t="inlineStr">
        <is>
          <t>2024</t>
        </is>
      </c>
      <c r="D347" s="48" t="inlineStr">
        <is>
          <t>Female Board Directors %</t>
        </is>
      </c>
      <c r="E347" s="48" t="n">
        <v>14.29</v>
      </c>
      <c r="F347" s="48" t="n">
        <v>12.5</v>
      </c>
      <c r="G347" s="48" t="n">
        <v>12.5</v>
      </c>
      <c r="H347" s="46" t="inlineStr">
        <is>
          <t>Ind.11 (Female Board Directors): Claude=14</t>
        </is>
      </c>
      <c r="I347" s="47" t="n">
        <v>14.29</v>
      </c>
      <c r="J347" s="47" t="inlineStr">
        <is>
          <t>Yuhan Sustainability Report 2024-2025, p.147 - 'Board of Directors' table, 'Board Composition' row, 2024 column: Total=7, Female=1 -&gt; 1/7=14.29%. Confirms Claude. DeepSeek's 12.5 = 1/8, i.e. it appears to have used the 2022 board size (8 members) rather than the 2024 figure (7 members).</t>
        </is>
      </c>
      <c r="K347" s="47" t="inlineStr">
        <is>
          <t>Yes</t>
        </is>
      </c>
    </row>
    <row r="348" ht="15" customHeight="1" s="43">
      <c r="A348" s="48" t="inlineStr">
        <is>
          <t>YUHAN</t>
        </is>
      </c>
      <c r="B348" s="48" t="inlineStr">
        <is>
          <t>000100</t>
        </is>
      </c>
      <c r="C348" s="48" t="inlineStr">
        <is>
          <t>2019</t>
        </is>
      </c>
      <c r="D348" s="48" t="inlineStr">
        <is>
          <t>Female Middle Managers %</t>
        </is>
      </c>
      <c r="E348" s="48" t="n">
        <v>10.9</v>
      </c>
      <c r="F348" s="48" t="n">
        <v>12.22</v>
      </c>
      <c r="G348" s="48" t="n">
        <v>12.1</v>
      </c>
      <c r="H348" s="46" t="inlineStr">
        <is>
          <t>Ind.9 (Female Middle Mgrs): Claude=10</t>
        </is>
      </c>
      <c r="I348" s="47" t="n">
        <v>10.9</v>
      </c>
      <c r="J348" s="47" t="inlineStr">
        <is>
          <t>Yuhan Sustainability Report 2021-2022, p.73 - 'Female Manager Overview' table, 2019 column: Female managers=12, Total managers=110, Percentage=10.9 (stated directly in report). Confirms Claude.</t>
        </is>
      </c>
      <c r="K348" s="47" t="inlineStr">
        <is>
          <t>Yes</t>
        </is>
      </c>
    </row>
    <row r="349" ht="15" customHeight="1" s="43">
      <c r="A349" s="48" t="inlineStr">
        <is>
          <t>YUHAN</t>
        </is>
      </c>
      <c r="B349" s="48" t="inlineStr">
        <is>
          <t>000100</t>
        </is>
      </c>
      <c r="C349" s="48" t="inlineStr">
        <is>
          <t>2021</t>
        </is>
      </c>
      <c r="D349" s="48" t="inlineStr">
        <is>
          <t>Female Contract Workers %</t>
        </is>
      </c>
      <c r="E349" s="48" t="n">
        <v>44.83</v>
      </c>
      <c r="F349" s="48" t="n">
        <v>50</v>
      </c>
      <c r="G349" s="48" t="n">
        <v>11.5</v>
      </c>
      <c r="H349" s="46" t="inlineStr">
        <is>
          <t>Ind.3 (Female Contract%): Claude=44</t>
        </is>
      </c>
      <c r="I349" s="47" t="n">
        <v>44.83</v>
      </c>
      <c r="J349" s="47" t="inlineStr">
        <is>
          <t>Yuhan Sustainability Report 2021-2022, p.114 - 'Employee Diversity' table, 2021 column: Female part-timers=13 / Total part-timers=29 = 44.83%. Confirms Claude.</t>
        </is>
      </c>
      <c r="K349" s="47" t="inlineStr">
        <is>
          <t>Yes</t>
        </is>
      </c>
    </row>
    <row r="350" ht="15" customHeight="1" s="43">
      <c r="A350" s="48" t="inlineStr">
        <is>
          <t>YUHAN</t>
        </is>
      </c>
      <c r="B350" s="48" t="inlineStr">
        <is>
          <t>000100</t>
        </is>
      </c>
      <c r="C350" s="48" t="inlineStr">
        <is>
          <t>2021</t>
        </is>
      </c>
      <c r="D350" s="48" t="inlineStr">
        <is>
          <t>Contract Workers %</t>
        </is>
      </c>
      <c r="E350" s="48" t="n">
        <v>1.54</v>
      </c>
      <c r="F350" s="48" t="n">
        <v>1.7</v>
      </c>
      <c r="G350" s="48" t="n">
        <v>10.4</v>
      </c>
      <c r="H350" s="46" t="inlineStr">
        <is>
          <t>Ind.1-3, 21, 24) || Ind.1 (Contract Workers%): Claude=1</t>
        </is>
      </c>
      <c r="I350" s="47" t="n">
        <v>1.54</v>
      </c>
      <c r="J350" s="47" t="inlineStr">
        <is>
          <t>Yuhan Sustainability Report 2021-2022, p.114 - 'Employee Diversity' table, 2021 column: Part-timers total (16+13=29) / Total employees (1,878) = 1.54%. Confirms Claude.</t>
        </is>
      </c>
      <c r="K350" s="47" t="inlineStr">
        <is>
          <t>Yes</t>
        </is>
      </c>
    </row>
    <row r="351" ht="15" customHeight="1" s="43">
      <c r="A351" s="48" t="inlineStr">
        <is>
          <t>YUHAN</t>
        </is>
      </c>
      <c r="B351" s="48" t="inlineStr">
        <is>
          <t>000100</t>
        </is>
      </c>
      <c r="C351" s="48" t="inlineStr">
        <is>
          <t>2020</t>
        </is>
      </c>
      <c r="D351" s="48" t="inlineStr">
        <is>
          <t>Female Middle Managers %</t>
        </is>
      </c>
      <c r="E351" s="48" t="n">
        <v>12.4</v>
      </c>
      <c r="F351" s="48" t="n">
        <v>13.13</v>
      </c>
      <c r="G351" s="48" t="n">
        <v>5.9</v>
      </c>
      <c r="H351" s="46" t="inlineStr">
        <is>
          <t>Ind.9 (Female Middle Mgrs): Claude=12</t>
        </is>
      </c>
      <c r="I351" s="47" t="n">
        <v>12.4</v>
      </c>
      <c r="J351" s="47" t="inlineStr">
        <is>
          <t>Yuhan Sustainability Report 2021-2022, p.73 - 'Female Manager Overview' table, 2020 column: Female managers=15, Total managers=121, Percentage=12.4 (stated directly in report). Confirms Claude.</t>
        </is>
      </c>
      <c r="K351" s="47" t="inlineStr">
        <is>
          <t>Yes</t>
        </is>
      </c>
    </row>
    <row r="352" ht="15" customHeight="1" s="43">
      <c r="A352" s="48" t="inlineStr">
        <is>
          <t>YUHAN</t>
        </is>
      </c>
      <c r="B352" s="48" t="inlineStr">
        <is>
          <t>000100</t>
        </is>
      </c>
      <c r="C352" s="48" t="inlineStr">
        <is>
          <t>2020</t>
        </is>
      </c>
      <c r="D352" s="48" t="inlineStr">
        <is>
          <t>Female Contract Workers %</t>
        </is>
      </c>
      <c r="E352" s="48" t="n">
        <v>48.39</v>
      </c>
      <c r="F352" s="48" t="n">
        <v>45.71</v>
      </c>
      <c r="G352" s="48" t="n">
        <v>5.5</v>
      </c>
      <c r="H352" s="46" t="inlineStr">
        <is>
          <t>Ind.3 (Female Contract%): Claude=48</t>
        </is>
      </c>
      <c r="I352" s="47" t="n">
        <v>48.39</v>
      </c>
      <c r="J352" s="47" t="inlineStr">
        <is>
          <t>Yuhan Sustainability Report 2021-2022, p.114 - 'Employee Diversity' table, 2020 column: Female part-timers=15 / Total part-timers=31 = 48.39%. Confirms Claude.</t>
        </is>
      </c>
      <c r="K352" s="47" t="inlineStr">
        <is>
          <t>Yes</t>
        </is>
      </c>
    </row>
  </sheetData>
  <autoFilter ref="A1:K35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DW163"/>
  <sheetViews>
    <sheetView showFormulas="0" showGridLines="1" showRowColHeaders="1" showZeros="1" rightToLeft="0" tabSelected="1" showOutlineSymbols="1" defaultGridColor="1" view="normal" topLeftCell="A1" colorId="64" zoomScale="100" zoomScaleNormal="100" zoomScalePageLayoutView="100" workbookViewId="0">
      <pane xSplit="0" ySplit="3" topLeftCell="G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42" min="1" max="1"/>
    <col width="11" customWidth="1" style="42" min="2" max="2"/>
    <col width="20" customWidth="1" style="42" min="3" max="3"/>
    <col width="7" customWidth="1" style="42" min="4" max="4"/>
    <col width="25" customWidth="1" style="42" min="5" max="5"/>
    <col width="11" customWidth="1" style="42" min="6" max="6"/>
    <col width="9" customWidth="1" style="42" min="7" max="126"/>
    <col width="30" customWidth="1" style="42" min="127" max="127"/>
  </cols>
  <sheetData>
    <row r="1" ht="15" customHeight="1" s="43">
      <c r="A1" s="50" t="inlineStr">
        <is>
          <t>COMPANY &amp; REPORT INFO</t>
        </is>
      </c>
      <c r="G1" s="51" t="inlineStr">
        <is>
          <t>01: % Contract/Non-regular Workers</t>
        </is>
      </c>
      <c r="K1" s="51" t="inlineStr">
        <is>
          <t>02: % Female Permanent Workers</t>
        </is>
      </c>
      <c r="O1" s="51" t="inlineStr">
        <is>
          <t>03: % Female Contract Workers</t>
        </is>
      </c>
      <c r="S1" s="51" t="inlineStr">
        <is>
          <t>04: % New Hire Rate</t>
        </is>
      </c>
      <c r="W1" s="51" t="inlineStr">
        <is>
          <t>05: % New Hires - Contract</t>
        </is>
      </c>
      <c r="AA1" s="51" t="inlineStr">
        <is>
          <t>06: % New Hires - Female</t>
        </is>
      </c>
      <c r="AE1" s="51" t="inlineStr">
        <is>
          <t>07: % Workers with Disabilities</t>
        </is>
      </c>
      <c r="AI1" s="51" t="inlineStr">
        <is>
          <t>08: % Foreign Workers</t>
        </is>
      </c>
      <c r="AM1" s="51" t="inlineStr">
        <is>
          <t>09: % Female Middle Managers</t>
        </is>
      </c>
      <c r="AQ1" s="51" t="inlineStr">
        <is>
          <t>10: % Female Executives</t>
        </is>
      </c>
      <c r="AU1" s="51" t="inlineStr">
        <is>
          <t>11: % Female Board Directors</t>
        </is>
      </c>
      <c r="AY1" s="51" t="inlineStr">
        <is>
          <t>12: Average Salary</t>
        </is>
      </c>
      <c r="BC1" s="51" t="inlineStr">
        <is>
          <t>13: Gender Pay Gap (100=parity)</t>
        </is>
      </c>
      <c r="BG1" s="51" t="inlineStr">
        <is>
          <t>14: Training Spend per Employee</t>
        </is>
      </c>
      <c r="BK1" s="51" t="inlineStr">
        <is>
          <t>15: Training Hours per Employee</t>
        </is>
      </c>
      <c r="BO1" s="51" t="inlineStr">
        <is>
          <t>16: Female Parental Leave Taken</t>
        </is>
      </c>
      <c r="BS1" s="51" t="inlineStr">
        <is>
          <t>17: Male Parental Leave Taken</t>
        </is>
      </c>
      <c r="BW1" s="51" t="inlineStr">
        <is>
          <t>18: Parental Leave Return Rate %</t>
        </is>
      </c>
      <c r="CA1" s="51" t="inlineStr">
        <is>
          <t>19: Avg Length of Service (yrs)</t>
        </is>
      </c>
      <c r="CE1" s="51" t="inlineStr">
        <is>
          <t>20: Voluntary Turnover Rate %</t>
        </is>
      </c>
      <c r="CI1" s="51" t="inlineStr">
        <is>
          <t>21: Involuntary Turnover Rate %</t>
        </is>
      </c>
      <c r="CM1" s="51" t="inlineStr">
        <is>
          <t>22: Union Membership Rate %</t>
        </is>
      </c>
      <c r="CQ1" s="51" t="inlineStr">
        <is>
          <t>23: Lost Time Injury Rate</t>
        </is>
      </c>
      <c r="CU1" s="51" t="inlineStr">
        <is>
          <t>24: Workplace Fatalities</t>
        </is>
      </c>
      <c r="CY1" s="52" t="inlineStr">
        <is>
          <t>25: Covid Response Policies</t>
        </is>
      </c>
      <c r="DC1" s="52" t="inlineStr">
        <is>
          <t>26: Workplace Policy Score</t>
        </is>
      </c>
      <c r="DG1" s="52" t="inlineStr">
        <is>
          <t>27: Employee Engagement Score</t>
        </is>
      </c>
      <c r="DK1" s="52" t="inlineStr">
        <is>
          <t>28: Media Commentary Score</t>
        </is>
      </c>
      <c r="DO1" s="52" t="inlineStr">
        <is>
          <t>29: Sustainalytics ESG Score</t>
        </is>
      </c>
      <c r="DS1" s="52" t="inlineStr">
        <is>
          <t>30: KCGS ESG Rating</t>
        </is>
      </c>
      <c r="DW1" s="53" t="inlineStr">
        <is>
          <t>NOTES</t>
        </is>
      </c>
    </row>
    <row r="2" ht="49.5" customHeight="1" s="43">
      <c r="A2" s="54" t="inlineStr">
        <is>
          <t>Company</t>
        </is>
      </c>
      <c r="B2" s="54" t="inlineStr">
        <is>
          <t>Issue Code</t>
        </is>
      </c>
      <c r="C2" s="54" t="inlineStr">
        <is>
          <t>Sector</t>
        </is>
      </c>
      <c r="D2" s="54" t="inlineStr">
        <is>
          <t>Year</t>
        </is>
      </c>
      <c r="E2" s="54" t="inlineStr">
        <is>
          <t>Source (URL or DART)</t>
        </is>
      </c>
      <c r="F2" s="54" t="inlineStr">
        <is>
          <t>Language</t>
        </is>
      </c>
      <c r="G2" s="55" t="inlineStr">
        <is>
          <t>Claude
Sonnet</t>
        </is>
      </c>
      <c r="H2" s="55" t="inlineStr">
        <is>
          <t>DeepSeek</t>
        </is>
      </c>
      <c r="I2" s="55" t="inlineStr">
        <is>
          <t>Diff%
(auto)</t>
        </is>
      </c>
      <c r="J2" s="56" t="inlineStr">
        <is>
          <t>Decision</t>
        </is>
      </c>
      <c r="K2" s="55" t="inlineStr">
        <is>
          <t>Claude
Sonnet</t>
        </is>
      </c>
      <c r="L2" s="55" t="inlineStr">
        <is>
          <t>DeepSeek</t>
        </is>
      </c>
      <c r="M2" s="55" t="inlineStr">
        <is>
          <t>Diff%
(auto)</t>
        </is>
      </c>
      <c r="N2" s="56" t="inlineStr">
        <is>
          <t>Decision</t>
        </is>
      </c>
      <c r="O2" s="55" t="inlineStr">
        <is>
          <t>Claude
Sonnet</t>
        </is>
      </c>
      <c r="P2" s="55" t="inlineStr">
        <is>
          <t>DeepSeek</t>
        </is>
      </c>
      <c r="Q2" s="55" t="inlineStr">
        <is>
          <t>Diff%
(auto)</t>
        </is>
      </c>
      <c r="R2" s="56" t="inlineStr">
        <is>
          <t>Decision</t>
        </is>
      </c>
      <c r="S2" s="55" t="inlineStr">
        <is>
          <t>Claude
Sonnet</t>
        </is>
      </c>
      <c r="T2" s="55" t="inlineStr">
        <is>
          <t>DeepSeek</t>
        </is>
      </c>
      <c r="U2" s="55" t="inlineStr">
        <is>
          <t>Diff%
(auto)</t>
        </is>
      </c>
      <c r="V2" s="56" t="inlineStr">
        <is>
          <t>Decision</t>
        </is>
      </c>
      <c r="W2" s="55" t="inlineStr">
        <is>
          <t>Claude
Sonnet</t>
        </is>
      </c>
      <c r="X2" s="55" t="inlineStr">
        <is>
          <t>DeepSeek</t>
        </is>
      </c>
      <c r="Y2" s="55" t="inlineStr">
        <is>
          <t>Diff%
(auto)</t>
        </is>
      </c>
      <c r="Z2" s="56" t="inlineStr">
        <is>
          <t>Decision</t>
        </is>
      </c>
      <c r="AA2" s="55" t="inlineStr">
        <is>
          <t>Claude
Sonnet</t>
        </is>
      </c>
      <c r="AB2" s="55" t="inlineStr">
        <is>
          <t>DeepSeek</t>
        </is>
      </c>
      <c r="AC2" s="55" t="inlineStr">
        <is>
          <t>Diff%
(auto)</t>
        </is>
      </c>
      <c r="AD2" s="56" t="inlineStr">
        <is>
          <t>Decision</t>
        </is>
      </c>
      <c r="AE2" s="55" t="inlineStr">
        <is>
          <t>Claude
Sonnet</t>
        </is>
      </c>
      <c r="AF2" s="55" t="inlineStr">
        <is>
          <t>DeepSeek</t>
        </is>
      </c>
      <c r="AG2" s="55" t="inlineStr">
        <is>
          <t>Diff%
(auto)</t>
        </is>
      </c>
      <c r="AH2" s="56" t="inlineStr">
        <is>
          <t>Decision</t>
        </is>
      </c>
      <c r="AI2" s="55" t="inlineStr">
        <is>
          <t>Claude
Sonnet</t>
        </is>
      </c>
      <c r="AJ2" s="55" t="inlineStr">
        <is>
          <t>DeepSeek</t>
        </is>
      </c>
      <c r="AK2" s="55" t="inlineStr">
        <is>
          <t>Diff%
(auto)</t>
        </is>
      </c>
      <c r="AL2" s="56" t="inlineStr">
        <is>
          <t>Decision</t>
        </is>
      </c>
      <c r="AM2" s="55" t="inlineStr">
        <is>
          <t>Claude
Sonnet</t>
        </is>
      </c>
      <c r="AN2" s="55" t="inlineStr">
        <is>
          <t>DeepSeek</t>
        </is>
      </c>
      <c r="AO2" s="55" t="inlineStr">
        <is>
          <t>Diff%
(auto)</t>
        </is>
      </c>
      <c r="AP2" s="56" t="inlineStr">
        <is>
          <t>Decision</t>
        </is>
      </c>
      <c r="AQ2" s="55" t="inlineStr">
        <is>
          <t>Claude
Sonnet</t>
        </is>
      </c>
      <c r="AR2" s="55" t="inlineStr">
        <is>
          <t>DeepSeek</t>
        </is>
      </c>
      <c r="AS2" s="55" t="inlineStr">
        <is>
          <t>Diff%
(auto)</t>
        </is>
      </c>
      <c r="AT2" s="56" t="inlineStr">
        <is>
          <t>Decision</t>
        </is>
      </c>
      <c r="AU2" s="55" t="inlineStr">
        <is>
          <t>Claude
Sonnet</t>
        </is>
      </c>
      <c r="AV2" s="55" t="inlineStr">
        <is>
          <t>DeepSeek</t>
        </is>
      </c>
      <c r="AW2" s="55" t="inlineStr">
        <is>
          <t>Diff%
(auto)</t>
        </is>
      </c>
      <c r="AX2" s="56" t="inlineStr">
        <is>
          <t>Decision</t>
        </is>
      </c>
      <c r="AY2" s="55" t="inlineStr">
        <is>
          <t>Claude
Sonnet</t>
        </is>
      </c>
      <c r="AZ2" s="55" t="inlineStr">
        <is>
          <t>DeepSeek</t>
        </is>
      </c>
      <c r="BA2" s="55" t="inlineStr">
        <is>
          <t>Diff%
(auto)</t>
        </is>
      </c>
      <c r="BB2" s="56" t="inlineStr">
        <is>
          <t>Decision</t>
        </is>
      </c>
      <c r="BC2" s="55" t="inlineStr">
        <is>
          <t>Claude
Sonnet</t>
        </is>
      </c>
      <c r="BD2" s="55" t="inlineStr">
        <is>
          <t>DeepSeek</t>
        </is>
      </c>
      <c r="BE2" s="55" t="inlineStr">
        <is>
          <t>Diff%
(auto)</t>
        </is>
      </c>
      <c r="BF2" s="56" t="inlineStr">
        <is>
          <t>Decision</t>
        </is>
      </c>
      <c r="BG2" s="55" t="inlineStr">
        <is>
          <t>Claude
Sonnet</t>
        </is>
      </c>
      <c r="BH2" s="55" t="inlineStr">
        <is>
          <t>DeepSeek</t>
        </is>
      </c>
      <c r="BI2" s="55" t="inlineStr">
        <is>
          <t>Diff%
(auto)</t>
        </is>
      </c>
      <c r="BJ2" s="56" t="inlineStr">
        <is>
          <t>Decision</t>
        </is>
      </c>
      <c r="BK2" s="55" t="inlineStr">
        <is>
          <t>Claude
Sonnet</t>
        </is>
      </c>
      <c r="BL2" s="55" t="inlineStr">
        <is>
          <t>DeepSeek</t>
        </is>
      </c>
      <c r="BM2" s="55" t="inlineStr">
        <is>
          <t>Diff%
(auto)</t>
        </is>
      </c>
      <c r="BN2" s="56" t="inlineStr">
        <is>
          <t>Decision</t>
        </is>
      </c>
      <c r="BO2" s="55" t="inlineStr">
        <is>
          <t>Claude
Sonnet</t>
        </is>
      </c>
      <c r="BP2" s="55" t="inlineStr">
        <is>
          <t>DeepSeek</t>
        </is>
      </c>
      <c r="BQ2" s="55" t="inlineStr">
        <is>
          <t>Diff%
(auto)</t>
        </is>
      </c>
      <c r="BR2" s="56" t="inlineStr">
        <is>
          <t>Decision</t>
        </is>
      </c>
      <c r="BS2" s="55" t="inlineStr">
        <is>
          <t>Claude
Sonnet</t>
        </is>
      </c>
      <c r="BT2" s="55" t="inlineStr">
        <is>
          <t>DeepSeek</t>
        </is>
      </c>
      <c r="BU2" s="55" t="inlineStr">
        <is>
          <t>Diff%
(auto)</t>
        </is>
      </c>
      <c r="BV2" s="56" t="inlineStr">
        <is>
          <t>Decision</t>
        </is>
      </c>
      <c r="BW2" s="55" t="inlineStr">
        <is>
          <t>Claude
Sonnet</t>
        </is>
      </c>
      <c r="BX2" s="55" t="inlineStr">
        <is>
          <t>DeepSeek</t>
        </is>
      </c>
      <c r="BY2" s="55" t="inlineStr">
        <is>
          <t>Diff%
(auto)</t>
        </is>
      </c>
      <c r="BZ2" s="56" t="inlineStr">
        <is>
          <t>Decision</t>
        </is>
      </c>
      <c r="CA2" s="55" t="inlineStr">
        <is>
          <t>Claude
Sonnet</t>
        </is>
      </c>
      <c r="CB2" s="55" t="inlineStr">
        <is>
          <t>DeepSeek</t>
        </is>
      </c>
      <c r="CC2" s="55" t="inlineStr">
        <is>
          <t>Diff%
(auto)</t>
        </is>
      </c>
      <c r="CD2" s="56" t="inlineStr">
        <is>
          <t>Decision</t>
        </is>
      </c>
      <c r="CE2" s="55" t="inlineStr">
        <is>
          <t>Claude
Sonnet</t>
        </is>
      </c>
      <c r="CF2" s="55" t="inlineStr">
        <is>
          <t>DeepSeek</t>
        </is>
      </c>
      <c r="CG2" s="55" t="inlineStr">
        <is>
          <t>Diff%
(auto)</t>
        </is>
      </c>
      <c r="CH2" s="56" t="inlineStr">
        <is>
          <t>Decision</t>
        </is>
      </c>
      <c r="CI2" s="55" t="inlineStr">
        <is>
          <t>Claude
Sonnet</t>
        </is>
      </c>
      <c r="CJ2" s="55" t="inlineStr">
        <is>
          <t>DeepSeek</t>
        </is>
      </c>
      <c r="CK2" s="55" t="inlineStr">
        <is>
          <t>Diff%
(auto)</t>
        </is>
      </c>
      <c r="CL2" s="56" t="inlineStr">
        <is>
          <t>Decision</t>
        </is>
      </c>
      <c r="CM2" s="55" t="inlineStr">
        <is>
          <t>Claude
Sonnet</t>
        </is>
      </c>
      <c r="CN2" s="55" t="inlineStr">
        <is>
          <t>DeepSeek</t>
        </is>
      </c>
      <c r="CO2" s="55" t="inlineStr">
        <is>
          <t>Diff%
(auto)</t>
        </is>
      </c>
      <c r="CP2" s="56" t="inlineStr">
        <is>
          <t>Decision</t>
        </is>
      </c>
      <c r="CQ2" s="55" t="inlineStr">
        <is>
          <t>Claude
Sonnet</t>
        </is>
      </c>
      <c r="CR2" s="55" t="inlineStr">
        <is>
          <t>DeepSeek</t>
        </is>
      </c>
      <c r="CS2" s="55" t="inlineStr">
        <is>
          <t>Diff%
(auto)</t>
        </is>
      </c>
      <c r="CT2" s="56" t="inlineStr">
        <is>
          <t>Decision</t>
        </is>
      </c>
      <c r="CU2" s="55" t="inlineStr">
        <is>
          <t>Claude
Sonnet</t>
        </is>
      </c>
      <c r="CV2" s="55" t="inlineStr">
        <is>
          <t>DeepSeek</t>
        </is>
      </c>
      <c r="CW2" s="55" t="inlineStr">
        <is>
          <t>Diff%
(auto)</t>
        </is>
      </c>
      <c r="CX2" s="56" t="inlineStr">
        <is>
          <t>Decision</t>
        </is>
      </c>
      <c r="CY2" s="57" t="inlineStr">
        <is>
          <t>Claude
Sonnet</t>
        </is>
      </c>
      <c r="CZ2" s="57" t="inlineStr">
        <is>
          <t>DeepSeek</t>
        </is>
      </c>
      <c r="DA2" s="57" t="inlineStr">
        <is>
          <t>Diff%
(auto)</t>
        </is>
      </c>
      <c r="DB2" s="56" t="inlineStr">
        <is>
          <t>Decision</t>
        </is>
      </c>
      <c r="DC2" s="57" t="inlineStr">
        <is>
          <t>Claude
Sonnet</t>
        </is>
      </c>
      <c r="DD2" s="57" t="inlineStr">
        <is>
          <t>DeepSeek</t>
        </is>
      </c>
      <c r="DE2" s="57" t="inlineStr">
        <is>
          <t>Diff%
(auto)</t>
        </is>
      </c>
      <c r="DF2" s="56" t="inlineStr">
        <is>
          <t>Decision</t>
        </is>
      </c>
      <c r="DG2" s="57" t="inlineStr">
        <is>
          <t>Claude
Sonnet</t>
        </is>
      </c>
      <c r="DH2" s="57" t="inlineStr">
        <is>
          <t>DeepSeek</t>
        </is>
      </c>
      <c r="DI2" s="57" t="inlineStr">
        <is>
          <t>Diff%
(auto)</t>
        </is>
      </c>
      <c r="DJ2" s="56" t="inlineStr">
        <is>
          <t>Decision</t>
        </is>
      </c>
      <c r="DK2" s="57" t="inlineStr">
        <is>
          <t>Claude
Sonnet</t>
        </is>
      </c>
      <c r="DL2" s="57" t="inlineStr">
        <is>
          <t>DeepSeek</t>
        </is>
      </c>
      <c r="DM2" s="57" t="inlineStr">
        <is>
          <t>Diff%
(auto)</t>
        </is>
      </c>
      <c r="DN2" s="56" t="inlineStr">
        <is>
          <t>Decision</t>
        </is>
      </c>
      <c r="DO2" s="57" t="inlineStr">
        <is>
          <t>Claude
Sonnet</t>
        </is>
      </c>
      <c r="DP2" s="57" t="inlineStr">
        <is>
          <t>DeepSeek</t>
        </is>
      </c>
      <c r="DQ2" s="57" t="inlineStr">
        <is>
          <t>Diff%
(auto)</t>
        </is>
      </c>
      <c r="DR2" s="56" t="inlineStr">
        <is>
          <t>Decision</t>
        </is>
      </c>
      <c r="DS2" s="57" t="inlineStr">
        <is>
          <t>Claude
Sonnet</t>
        </is>
      </c>
      <c r="DT2" s="57" t="inlineStr">
        <is>
          <t>DeepSeek</t>
        </is>
      </c>
      <c r="DU2" s="57" t="inlineStr">
        <is>
          <t>Diff%
(auto)</t>
        </is>
      </c>
      <c r="DV2" s="56" t="inlineStr">
        <is>
          <t>Decision</t>
        </is>
      </c>
      <c r="DW2" s="58" t="inlineStr">
        <is>
          <t>Notes / Manual Flags</t>
        </is>
      </c>
    </row>
    <row r="3" ht="36" customHeight="1" s="43">
      <c r="A3" s="59" t="inlineStr">
        <is>
          <t>DECISION RULES:  Diff%&lt;5 → write 'Claude'  |  One blank → use the number, write LLM name  |  Diff%≥5 → write 'MANUAL FLAG' and check PDF  |  Both blank → write 'ND'  |  PURPLE cols (25-30) = EXTERNAL sources, expect ND for most companies  |  Enter numbers only e.g. 17.6 not 17.6%  |  Leave blank for NOT DISCLOSED — do not enter 0</t>
        </is>
      </c>
      <c r="B3" s="60" t="n"/>
      <c r="C3" s="60" t="n"/>
      <c r="D3" s="60" t="n"/>
      <c r="E3" s="60" t="n"/>
      <c r="F3" s="60" t="n"/>
      <c r="G3" s="60" t="n"/>
      <c r="H3" s="60" t="n"/>
      <c r="I3" s="60" t="n"/>
      <c r="J3" s="60" t="n"/>
      <c r="K3" s="60" t="n"/>
      <c r="L3" s="60" t="n"/>
      <c r="M3" s="60" t="n"/>
      <c r="N3" s="60" t="n"/>
      <c r="O3" s="60" t="n"/>
      <c r="P3" s="60" t="n"/>
      <c r="Q3" s="60" t="n"/>
      <c r="R3" s="60" t="n"/>
      <c r="S3" s="60" t="n"/>
      <c r="T3" s="60" t="n"/>
      <c r="U3" s="60" t="n"/>
      <c r="V3" s="60" t="n"/>
      <c r="W3" s="60" t="n"/>
      <c r="X3" s="60" t="n"/>
      <c r="Y3" s="60" t="n"/>
      <c r="Z3" s="60" t="n"/>
      <c r="AA3" s="60" t="n"/>
      <c r="AB3" s="60" t="n"/>
      <c r="AC3" s="60" t="n"/>
      <c r="AD3" s="60" t="n"/>
      <c r="AE3" s="60" t="n"/>
      <c r="AF3" s="60" t="n"/>
      <c r="AG3" s="60" t="n"/>
      <c r="AH3" s="60" t="n"/>
      <c r="AI3" s="60" t="n"/>
      <c r="AJ3" s="60" t="n"/>
      <c r="AK3" s="60" t="n"/>
      <c r="AL3" s="60" t="n"/>
      <c r="AM3" s="60" t="n"/>
      <c r="AN3" s="60" t="n"/>
      <c r="AO3" s="60" t="n"/>
      <c r="AP3" s="60" t="n"/>
      <c r="AQ3" s="60" t="n"/>
      <c r="AR3" s="60" t="n"/>
      <c r="AS3" s="60" t="n"/>
      <c r="AT3" s="60" t="n"/>
      <c r="AU3" s="60" t="n"/>
      <c r="AV3" s="60" t="n"/>
      <c r="AW3" s="60" t="n"/>
      <c r="AX3" s="60" t="n"/>
      <c r="AY3" s="60" t="n"/>
      <c r="AZ3" s="60" t="n"/>
      <c r="BA3" s="60" t="n"/>
      <c r="BB3" s="60" t="n"/>
      <c r="BC3" s="60" t="n"/>
      <c r="BD3" s="60" t="n"/>
      <c r="BE3" s="60" t="n"/>
      <c r="BF3" s="60" t="n"/>
      <c r="BG3" s="60" t="n"/>
      <c r="BH3" s="60" t="n"/>
      <c r="BI3" s="60" t="n"/>
      <c r="BJ3" s="60" t="n"/>
      <c r="BK3" s="60" t="n"/>
      <c r="BL3" s="60" t="n"/>
      <c r="BM3" s="60" t="n"/>
      <c r="BN3" s="60" t="n"/>
      <c r="BO3" s="60" t="n"/>
      <c r="BP3" s="60" t="n"/>
      <c r="BQ3" s="60" t="n"/>
      <c r="BR3" s="60" t="n"/>
      <c r="BS3" s="60" t="n"/>
      <c r="BT3" s="60" t="n"/>
      <c r="BU3" s="60" t="n"/>
      <c r="BV3" s="60" t="n"/>
      <c r="BW3" s="60" t="n"/>
      <c r="BX3" s="60" t="n"/>
      <c r="BY3" s="60" t="n"/>
      <c r="BZ3" s="60" t="n"/>
      <c r="CA3" s="60" t="n"/>
      <c r="CB3" s="60" t="n"/>
      <c r="CC3" s="60" t="n"/>
      <c r="CD3" s="60" t="n"/>
      <c r="CE3" s="60" t="n"/>
      <c r="CF3" s="60" t="n"/>
      <c r="CG3" s="60" t="n"/>
      <c r="CH3" s="60" t="n"/>
      <c r="CI3" s="60" t="n"/>
      <c r="CJ3" s="60" t="n"/>
      <c r="CK3" s="60" t="n"/>
      <c r="CL3" s="60" t="n"/>
      <c r="CM3" s="60" t="n"/>
      <c r="CN3" s="60" t="n"/>
      <c r="CO3" s="60" t="n"/>
      <c r="CP3" s="60" t="n"/>
      <c r="CQ3" s="60" t="n"/>
      <c r="CR3" s="60" t="n"/>
      <c r="CS3" s="60" t="n"/>
      <c r="CT3" s="60" t="n"/>
      <c r="CU3" s="60" t="n"/>
      <c r="CV3" s="60" t="n"/>
      <c r="CW3" s="60" t="n"/>
      <c r="CX3" s="60" t="n"/>
      <c r="CY3" s="60" t="n"/>
      <c r="CZ3" s="60" t="n"/>
      <c r="DA3" s="60" t="n"/>
      <c r="DB3" s="60" t="n"/>
      <c r="DC3" s="60" t="n"/>
      <c r="DD3" s="60" t="n"/>
      <c r="DE3" s="60" t="n"/>
      <c r="DF3" s="60" t="n"/>
      <c r="DG3" s="60" t="n"/>
      <c r="DH3" s="60" t="n"/>
      <c r="DI3" s="60" t="n"/>
      <c r="DJ3" s="60" t="n"/>
      <c r="DK3" s="60" t="n"/>
      <c r="DL3" s="60" t="n"/>
      <c r="DM3" s="60" t="n"/>
      <c r="DN3" s="60" t="n"/>
      <c r="DO3" s="60" t="n"/>
      <c r="DP3" s="60" t="n"/>
      <c r="DQ3" s="60" t="n"/>
      <c r="DR3" s="60" t="n"/>
      <c r="DS3" s="60" t="n"/>
      <c r="DT3" s="60" t="n"/>
      <c r="DU3" s="60" t="n"/>
      <c r="DV3" s="60" t="n"/>
      <c r="DW3" s="60" t="n"/>
    </row>
    <row r="4" ht="15.75" customHeight="1" s="43">
      <c r="A4" s="61" t="inlineStr">
        <is>
          <t>COWAY</t>
        </is>
      </c>
      <c r="B4" s="62" t="inlineStr">
        <is>
          <t>021240</t>
        </is>
      </c>
      <c r="C4" s="62" t="inlineStr">
        <is>
          <t>Consumer Discretionary</t>
        </is>
      </c>
      <c r="D4" s="62" t="inlineStr">
        <is>
          <t>2018</t>
        </is>
      </c>
      <c r="E4" s="63" t="inlineStr">
        <is>
          <t>COWAY_2022.pdf (2022 report, most recent covering 2018)</t>
        </is>
      </c>
      <c r="F4" s="62" t="n"/>
      <c r="G4" s="64" t="n">
        <v>5.5</v>
      </c>
      <c r="H4" s="64" t="n">
        <v>2.59</v>
      </c>
      <c r="I4" s="65">
        <f>IFERROR(IF(AND(G4&lt;&gt;"",H4&lt;&gt;""),ABS(G4-H4)/ABS(G4)*100,""),"")</f>
        <v/>
      </c>
      <c r="J4" s="66" t="inlineStr">
        <is>
          <t>MANUAL FLAG</t>
        </is>
      </c>
      <c r="K4" s="67" t="n"/>
      <c r="L4" s="67" t="n">
        <v>30.51</v>
      </c>
      <c r="M4" s="65">
        <f>IFERROR(IF(AND(K4&lt;&gt;"",L4&lt;&gt;""),ABS(K4-L4)/ABS(K4)*100,""),"")</f>
        <v/>
      </c>
      <c r="N4" s="62" t="inlineStr">
        <is>
          <t>DeepSeek</t>
        </is>
      </c>
      <c r="O4" s="67" t="n"/>
      <c r="P4" s="67" t="n">
        <v>8.66</v>
      </c>
      <c r="Q4" s="65">
        <f>IFERROR(IF(AND(O4&lt;&gt;"",P4&lt;&gt;""),ABS(O4-P4)/ABS(O4)*100,""),"")</f>
        <v/>
      </c>
      <c r="R4" s="62" t="inlineStr">
        <is>
          <t>DeepSeek</t>
        </is>
      </c>
      <c r="S4" s="67" t="n">
        <v>13.52</v>
      </c>
      <c r="T4" s="67" t="n">
        <v>13.52</v>
      </c>
      <c r="U4" s="65">
        <f>IFERROR(IF(AND(S4&lt;&gt;"",T4&lt;&gt;""),ABS(S4-T4)/ABS(S4)*100,""),"")</f>
        <v/>
      </c>
      <c r="V4" s="62" t="inlineStr">
        <is>
          <t>Claude</t>
        </is>
      </c>
      <c r="W4" s="67" t="n"/>
      <c r="X4" s="67" t="n"/>
      <c r="Y4" s="65">
        <f>IFERROR(IF(AND(W4&lt;&gt;"",X4&lt;&gt;""),ABS(W4-X4)/ABS(W4)*100,""),"")</f>
        <v/>
      </c>
      <c r="Z4" s="62" t="inlineStr">
        <is>
          <t>ND</t>
        </is>
      </c>
      <c r="AA4" s="67" t="n">
        <v>61.84</v>
      </c>
      <c r="AB4" s="67" t="n">
        <v>61.84</v>
      </c>
      <c r="AC4" s="65">
        <f>IFERROR(IF(AND(AA4&lt;&gt;"",AB4&lt;&gt;""),ABS(AA4-AB4)/ABS(AA4)*100,""),"")</f>
        <v/>
      </c>
      <c r="AD4" s="62" t="inlineStr">
        <is>
          <t>Claude</t>
        </is>
      </c>
      <c r="AE4" s="67" t="n">
        <v>0</v>
      </c>
      <c r="AF4" s="67" t="n"/>
      <c r="AG4" s="65">
        <f>IFERROR(IF(AND(AE4&lt;&gt;"",AF4&lt;&gt;""),ABS(AE4-AF4)/ABS(AE4)*100,""),"")</f>
        <v/>
      </c>
      <c r="AH4" s="62" t="inlineStr">
        <is>
          <t>Claude</t>
        </is>
      </c>
      <c r="AI4" s="67" t="n">
        <v>0.102</v>
      </c>
      <c r="AJ4" s="67" t="n"/>
      <c r="AK4" s="65">
        <f>IFERROR(IF(AND(AI4&lt;&gt;"",AJ4&lt;&gt;""),ABS(AI4-AJ4)/ABS(AI4)*100,""),"")</f>
        <v/>
      </c>
      <c r="AL4" s="62" t="inlineStr">
        <is>
          <t>Claude</t>
        </is>
      </c>
      <c r="AM4" s="67" t="n"/>
      <c r="AN4" s="67" t="n"/>
      <c r="AO4" s="65">
        <f>IFERROR(IF(AND(AM4&lt;&gt;"",AN4&lt;&gt;""),ABS(AM4-AN4)/ABS(AM4)*100,""),"")</f>
        <v/>
      </c>
      <c r="AP4" s="62" t="inlineStr">
        <is>
          <t>ND</t>
        </is>
      </c>
      <c r="AQ4" s="67" t="n">
        <v>8</v>
      </c>
      <c r="AR4" s="67" t="n">
        <v>8</v>
      </c>
      <c r="AS4" s="65">
        <f>IFERROR(IF(AND(AQ4&lt;&gt;"",AR4&lt;&gt;""),ABS(AQ4-AR4)/ABS(AQ4)*100,""),"")</f>
        <v/>
      </c>
      <c r="AT4" s="62" t="inlineStr">
        <is>
          <t>Claude</t>
        </is>
      </c>
      <c r="AU4" s="67" t="n">
        <v>0</v>
      </c>
      <c r="AV4" s="67" t="n">
        <v>0</v>
      </c>
      <c r="AW4" s="65">
        <f>IFERROR(IF(AND(AU4&lt;&gt;"",AV4&lt;&gt;""),ABS(AU4-AV4)/ABS(AU4)*100,""),"")</f>
        <v/>
      </c>
      <c r="AX4" s="62" t="inlineStr">
        <is>
          <t>Claude</t>
        </is>
      </c>
      <c r="AY4" s="67" t="n">
        <v>56882000</v>
      </c>
      <c r="AZ4" s="67" t="n">
        <v>56882000</v>
      </c>
      <c r="BA4" s="65">
        <f>IFERROR(IF(AND(AY4&lt;&gt;"",AZ4&lt;&gt;""),ABS(AY4-AZ4)/ABS(AY4)*100,""),"")</f>
        <v/>
      </c>
      <c r="BB4" s="62" t="inlineStr">
        <is>
          <t>Claude</t>
        </is>
      </c>
      <c r="BC4" s="67" t="n"/>
      <c r="BD4" s="67" t="n"/>
      <c r="BE4" s="65">
        <f>IFERROR(IF(AND(BC4&lt;&gt;"",BD4&lt;&gt;""),ABS(BC4-BD4)/ABS(BC4)*100,""),"")</f>
        <v/>
      </c>
      <c r="BF4" s="62" t="inlineStr">
        <is>
          <t>ND</t>
        </is>
      </c>
      <c r="BG4" s="67" t="n"/>
      <c r="BH4" s="67" t="n"/>
      <c r="BI4" s="65">
        <f>IFERROR(IF(AND(BG4&lt;&gt;"",BH4&lt;&gt;""),ABS(BG4-BH4)/ABS(BG4)*100,""),"")</f>
        <v/>
      </c>
      <c r="BJ4" s="62" t="inlineStr">
        <is>
          <t>ND</t>
        </is>
      </c>
      <c r="BK4" s="67" t="n"/>
      <c r="BL4" s="67" t="n"/>
      <c r="BM4" s="65">
        <f>IFERROR(IF(AND(BK4&lt;&gt;"",BL4&lt;&gt;""),ABS(BK4-BL4)/ABS(BK4)*100,""),"")</f>
        <v/>
      </c>
      <c r="BN4" s="62" t="inlineStr">
        <is>
          <t>ND</t>
        </is>
      </c>
      <c r="BO4" s="67" t="n">
        <v>93</v>
      </c>
      <c r="BP4" s="67" t="n">
        <v>93</v>
      </c>
      <c r="BQ4" s="65">
        <f>IFERROR(IF(AND(BO4&lt;&gt;"",BP4&lt;&gt;""),ABS(BO4-BP4)/ABS(BO4)*100,""),"")</f>
        <v/>
      </c>
      <c r="BR4" s="62" t="inlineStr">
        <is>
          <t>Claude</t>
        </is>
      </c>
      <c r="BS4" s="67" t="n">
        <v>17</v>
      </c>
      <c r="BT4" s="67" t="n">
        <v>17</v>
      </c>
      <c r="BU4" s="65">
        <f>IFERROR(IF(AND(BS4&lt;&gt;"",BT4&lt;&gt;""),ABS(BS4-BT4)/ABS(BS4)*100,""),"")</f>
        <v/>
      </c>
      <c r="BV4" s="62" t="inlineStr">
        <is>
          <t>Claude</t>
        </is>
      </c>
      <c r="BW4" s="67" t="n">
        <v>100</v>
      </c>
      <c r="BX4" s="67" t="n">
        <v>100</v>
      </c>
      <c r="BY4" s="65">
        <f>IFERROR(IF(AND(BW4&lt;&gt;"",BX4&lt;&gt;""),ABS(BW4-BX4)/ABS(BW4)*100,""),"")</f>
        <v/>
      </c>
      <c r="BZ4" s="62" t="inlineStr">
        <is>
          <t>Claude</t>
        </is>
      </c>
      <c r="CA4" s="67" t="n">
        <v>7.5</v>
      </c>
      <c r="CB4" s="67" t="n">
        <v>7.5</v>
      </c>
      <c r="CC4" s="65">
        <f>IFERROR(IF(AND(CA4&lt;&gt;"",CB4&lt;&gt;""),ABS(CA4-CB4)/ABS(CA4)*100,""),"")</f>
        <v/>
      </c>
      <c r="CD4" s="62" t="inlineStr">
        <is>
          <t>Claude</t>
        </is>
      </c>
      <c r="CE4" s="64" t="n">
        <v>7.09</v>
      </c>
      <c r="CF4" s="64" t="n">
        <v>95.90000000000001</v>
      </c>
      <c r="CG4" s="65">
        <f>IFERROR(IF(AND(CE4&lt;&gt;"",CF4&lt;&gt;""),ABS(CE4-CF4)/ABS(CE4)*100,""),"")</f>
        <v/>
      </c>
      <c r="CH4" s="66" t="inlineStr">
        <is>
          <t>MANUAL FLAG</t>
        </is>
      </c>
      <c r="CI4" s="64" t="n">
        <v>0.31</v>
      </c>
      <c r="CJ4" s="64" t="n">
        <v>4.1</v>
      </c>
      <c r="CK4" s="65">
        <f>IFERROR(IF(AND(CI4&lt;&gt;"",CJ4&lt;&gt;""),ABS(CI4-CJ4)/ABS(CI4)*100,""),"")</f>
        <v/>
      </c>
      <c r="CL4" s="66" t="inlineStr">
        <is>
          <t>MANUAL FLAG</t>
        </is>
      </c>
      <c r="CM4" s="67" t="n"/>
      <c r="CN4" s="67" t="n"/>
      <c r="CO4" s="65">
        <f>IFERROR(IF(AND(CM4&lt;&gt;"",CN4&lt;&gt;""),ABS(CM4-CN4)/ABS(CM4)*100,""),"")</f>
        <v/>
      </c>
      <c r="CP4" s="62" t="inlineStr">
        <is>
          <t>ND</t>
        </is>
      </c>
      <c r="CQ4" s="67" t="n">
        <v>0.23</v>
      </c>
      <c r="CR4" s="67" t="n">
        <v>0.23</v>
      </c>
      <c r="CS4" s="65">
        <f>IFERROR(IF(AND(CQ4&lt;&gt;"",CR4&lt;&gt;""),ABS(CQ4-CR4)/ABS(CQ4)*100,""),"")</f>
        <v/>
      </c>
      <c r="CT4" s="62" t="inlineStr">
        <is>
          <t>Claude</t>
        </is>
      </c>
      <c r="CU4" s="67" t="n">
        <v>0</v>
      </c>
      <c r="CV4" s="67" t="n">
        <v>0</v>
      </c>
      <c r="CW4" s="65">
        <f>IFERROR(IF(AND(CU4&lt;&gt;"",CV4&lt;&gt;""),ABS(CU4-CV4)/ABS(CU4)*100,""),"")</f>
        <v/>
      </c>
      <c r="CX4" s="62" t="inlineStr">
        <is>
          <t>Claude</t>
        </is>
      </c>
      <c r="CY4" s="68" t="n"/>
      <c r="CZ4" s="68" t="n"/>
      <c r="DA4" s="65">
        <f>IFERROR(IF(AND(CY4&lt;&gt;"",CZ4&lt;&gt;""),ABS(CY4-CZ4)/ABS(CY4)*100,""),"")</f>
        <v/>
      </c>
      <c r="DB4" s="62" t="inlineStr">
        <is>
          <t>ND</t>
        </is>
      </c>
      <c r="DC4" s="68" t="n"/>
      <c r="DD4" s="68" t="n">
        <v>7</v>
      </c>
      <c r="DE4" s="65">
        <f>IFERROR(IF(AND(DC4&lt;&gt;"",DD4&lt;&gt;""),ABS(DC4-DD4)/ABS(DC4)*100,""),"")</f>
        <v/>
      </c>
      <c r="DF4" s="62" t="inlineStr">
        <is>
          <t>DeepSeek</t>
        </is>
      </c>
      <c r="DG4" s="68" t="n"/>
      <c r="DH4" s="68" t="n"/>
      <c r="DI4" s="65">
        <f>IFERROR(IF(AND(DG4&lt;&gt;"",DH4&lt;&gt;""),ABS(DG4-DH4)/ABS(DG4)*100,""),"")</f>
        <v/>
      </c>
      <c r="DJ4" s="62" t="inlineStr">
        <is>
          <t>ND</t>
        </is>
      </c>
      <c r="DK4" s="68" t="n"/>
      <c r="DL4" s="68" t="n"/>
      <c r="DM4" s="65">
        <f>IFERROR(IF(AND(DK4&lt;&gt;"",DL4&lt;&gt;""),ABS(DK4-DL4)/ABS(DK4)*100,""),"")</f>
        <v/>
      </c>
      <c r="DN4" s="62" t="inlineStr">
        <is>
          <t>ND</t>
        </is>
      </c>
      <c r="DO4" s="68" t="n"/>
      <c r="DP4" s="68" t="n"/>
      <c r="DQ4" s="65">
        <f>IFERROR(IF(AND(DO4&lt;&gt;"",DP4&lt;&gt;""),ABS(DO4-DP4)/ABS(DO4)*100,""),"")</f>
        <v/>
      </c>
      <c r="DR4" s="62" t="inlineStr">
        <is>
          <t>ND</t>
        </is>
      </c>
      <c r="DS4" s="68" t="n"/>
      <c r="DT4" s="68" t="n"/>
      <c r="DU4" s="65">
        <f>IFERROR(IF(AND(DS4&lt;&gt;"",DT4&lt;&gt;""),ABS(DS4-DT4)/ABS(DS4)*100,""),"")</f>
        <v/>
      </c>
      <c r="DV4" s="62" t="inlineStr">
        <is>
          <t>ND</t>
        </is>
      </c>
      <c r="DW4" s="63" t="inlineStr">
        <is>
          <t>Claude only (DeepSeek pending). Source=most recent report disclosing this year (2022 ed.). Ind.7/8 recalculated from headcount (0 disabled; 5 foreign) / total workforce 4,905 -- NOTE: 2018 disability headcount=0 conflicts with earlier report editions (2020/2021 eds. reported 49) - possible data quality issue, verify against original PDF. Ind.9 (Female Middle Managers) = ND: report's own 'Intermediate' row had an unresolved unit-mislabeling defect per verification log, not used. || DEEPSEEK RECONCILIATION - MANUAL FLAGS: Ind.1 (Contract Workers%): Claude=5.5, DeepSeek=2.59, Diff=52.9%; Ind.20 (Voluntary Turnover): Claude=7.09, DeepSeek=95.9, Diff=1252.6%; Ind.21 (Involuntary Turnover): Claude=0.31, DeepSeek=4.1, Diff=1222.6%</t>
        </is>
      </c>
    </row>
    <row r="5" ht="15.75" customHeight="1" s="43">
      <c r="A5" s="69" t="n"/>
      <c r="B5" s="69" t="n"/>
      <c r="C5" s="69" t="inlineStr">
        <is>
          <t>Consumer Discretionary</t>
        </is>
      </c>
      <c r="D5" s="69" t="inlineStr">
        <is>
          <t>2019</t>
        </is>
      </c>
      <c r="E5" s="70" t="inlineStr">
        <is>
          <t>COWAY_2022.pdf (2022 report, most recent covering 2019)</t>
        </is>
      </c>
      <c r="F5" s="69" t="n"/>
      <c r="G5" s="64" t="n">
        <v>4.5</v>
      </c>
      <c r="H5" s="64" t="n">
        <v>2.99</v>
      </c>
      <c r="I5" s="71">
        <f>IFERROR(IF(AND(G5&lt;&gt;"",H5&lt;&gt;""),ABS(G5-H5)/ABS(G5)*100,""),"")</f>
        <v/>
      </c>
      <c r="J5" s="66" t="inlineStr">
        <is>
          <t>MANUAL FLAG</t>
        </is>
      </c>
      <c r="K5" s="67" t="n"/>
      <c r="L5" s="67" t="n">
        <v>30.64</v>
      </c>
      <c r="M5" s="71">
        <f>IFERROR(IF(AND(K5&lt;&gt;"",L5&lt;&gt;""),ABS(K5-L5)/ABS(K5)*100,""),"")</f>
        <v/>
      </c>
      <c r="N5" s="69" t="inlineStr">
        <is>
          <t>DeepSeek</t>
        </is>
      </c>
      <c r="O5" s="67" t="n"/>
      <c r="P5" s="67" t="n">
        <v>12.16</v>
      </c>
      <c r="Q5" s="71">
        <f>IFERROR(IF(AND(O5&lt;&gt;"",P5&lt;&gt;""),ABS(O5-P5)/ABS(O5)*100,""),"")</f>
        <v/>
      </c>
      <c r="R5" s="69" t="inlineStr">
        <is>
          <t>DeepSeek</t>
        </is>
      </c>
      <c r="S5" s="67" t="n">
        <v>11.88</v>
      </c>
      <c r="T5" s="67" t="n">
        <v>11.88</v>
      </c>
      <c r="U5" s="71">
        <f>IFERROR(IF(AND(S5&lt;&gt;"",T5&lt;&gt;""),ABS(S5-T5)/ABS(S5)*100,""),"")</f>
        <v/>
      </c>
      <c r="V5" s="69" t="inlineStr">
        <is>
          <t>Claude</t>
        </is>
      </c>
      <c r="W5" s="67" t="n"/>
      <c r="X5" s="67" t="n"/>
      <c r="Y5" s="71">
        <f>IFERROR(IF(AND(W5&lt;&gt;"",X5&lt;&gt;""),ABS(W5-X5)/ABS(W5)*100,""),"")</f>
        <v/>
      </c>
      <c r="Z5" s="69" t="inlineStr">
        <is>
          <t>ND</t>
        </is>
      </c>
      <c r="AA5" s="67" t="n">
        <v>63.16</v>
      </c>
      <c r="AB5" s="67" t="n">
        <v>63.16</v>
      </c>
      <c r="AC5" s="71">
        <f>IFERROR(IF(AND(AA5&lt;&gt;"",AB5&lt;&gt;""),ABS(AA5-AB5)/ABS(AA5)*100,""),"")</f>
        <v/>
      </c>
      <c r="AD5" s="69" t="inlineStr">
        <is>
          <t>Claude</t>
        </is>
      </c>
      <c r="AE5" s="67" t="n">
        <v>0</v>
      </c>
      <c r="AF5" s="67" t="n"/>
      <c r="AG5" s="71">
        <f>IFERROR(IF(AND(AE5&lt;&gt;"",AF5&lt;&gt;""),ABS(AE5-AF5)/ABS(AE5)*100,""),"")</f>
        <v/>
      </c>
      <c r="AH5" s="69" t="inlineStr">
        <is>
          <t>Claude</t>
        </is>
      </c>
      <c r="AI5" s="67" t="n">
        <v>0.101</v>
      </c>
      <c r="AJ5" s="67" t="n"/>
      <c r="AK5" s="71">
        <f>IFERROR(IF(AND(AI5&lt;&gt;"",AJ5&lt;&gt;""),ABS(AI5-AJ5)/ABS(AI5)*100,""),"")</f>
        <v/>
      </c>
      <c r="AL5" s="69" t="inlineStr">
        <is>
          <t>Claude</t>
        </is>
      </c>
      <c r="AM5" s="67" t="n"/>
      <c r="AN5" s="67" t="n"/>
      <c r="AO5" s="71">
        <f>IFERROR(IF(AND(AM5&lt;&gt;"",AN5&lt;&gt;""),ABS(AM5-AN5)/ABS(AM5)*100,""),"")</f>
        <v/>
      </c>
      <c r="AP5" s="69" t="inlineStr">
        <is>
          <t>ND</t>
        </is>
      </c>
      <c r="AQ5" s="67" t="n">
        <v>4</v>
      </c>
      <c r="AR5" s="67" t="n">
        <v>4</v>
      </c>
      <c r="AS5" s="71">
        <f>IFERROR(IF(AND(AQ5&lt;&gt;"",AR5&lt;&gt;""),ABS(AQ5-AR5)/ABS(AQ5)*100,""),"")</f>
        <v/>
      </c>
      <c r="AT5" s="69" t="inlineStr">
        <is>
          <t>Claude</t>
        </is>
      </c>
      <c r="AU5" s="67" t="n">
        <v>0</v>
      </c>
      <c r="AV5" s="67" t="n">
        <v>0</v>
      </c>
      <c r="AW5" s="71">
        <f>IFERROR(IF(AND(AU5&lt;&gt;"",AV5&lt;&gt;""),ABS(AU5-AV5)/ABS(AU5)*100,""),"")</f>
        <v/>
      </c>
      <c r="AX5" s="69" t="inlineStr">
        <is>
          <t>Claude</t>
        </is>
      </c>
      <c r="AY5" s="67" t="n">
        <v>60697000</v>
      </c>
      <c r="AZ5" s="67" t="n">
        <v>60697000</v>
      </c>
      <c r="BA5" s="71">
        <f>IFERROR(IF(AND(AY5&lt;&gt;"",AZ5&lt;&gt;""),ABS(AY5-AZ5)/ABS(AY5)*100,""),"")</f>
        <v/>
      </c>
      <c r="BB5" s="69" t="inlineStr">
        <is>
          <t>Claude</t>
        </is>
      </c>
      <c r="BC5" s="67" t="n"/>
      <c r="BD5" s="67" t="n"/>
      <c r="BE5" s="71">
        <f>IFERROR(IF(AND(BC5&lt;&gt;"",BD5&lt;&gt;""),ABS(BC5-BD5)/ABS(BC5)*100,""),"")</f>
        <v/>
      </c>
      <c r="BF5" s="69" t="inlineStr">
        <is>
          <t>ND</t>
        </is>
      </c>
      <c r="BG5" s="64" t="n">
        <v>1221331</v>
      </c>
      <c r="BH5" s="64" t="n">
        <v>1895322</v>
      </c>
      <c r="BI5" s="71">
        <f>IFERROR(IF(AND(BG5&lt;&gt;"",BH5&lt;&gt;""),ABS(BG5-BH5)/ABS(BG5)*100,""),"")</f>
        <v/>
      </c>
      <c r="BJ5" s="66" t="inlineStr">
        <is>
          <t>MANUAL FLAG</t>
        </is>
      </c>
      <c r="BK5" s="67" t="n">
        <v>88</v>
      </c>
      <c r="BL5" s="67" t="n"/>
      <c r="BM5" s="71">
        <f>IFERROR(IF(AND(BK5&lt;&gt;"",BL5&lt;&gt;""),ABS(BK5-BL5)/ABS(BK5)*100,""),"")</f>
        <v/>
      </c>
      <c r="BN5" s="69" t="inlineStr">
        <is>
          <t>Claude</t>
        </is>
      </c>
      <c r="BO5" s="67" t="n">
        <v>106</v>
      </c>
      <c r="BP5" s="67" t="n">
        <v>106</v>
      </c>
      <c r="BQ5" s="71">
        <f>IFERROR(IF(AND(BO5&lt;&gt;"",BP5&lt;&gt;""),ABS(BO5-BP5)/ABS(BO5)*100,""),"")</f>
        <v/>
      </c>
      <c r="BR5" s="69" t="inlineStr">
        <is>
          <t>Claude</t>
        </is>
      </c>
      <c r="BS5" s="67" t="n">
        <v>8</v>
      </c>
      <c r="BT5" s="67" t="n">
        <v>8</v>
      </c>
      <c r="BU5" s="71">
        <f>IFERROR(IF(AND(BS5&lt;&gt;"",BT5&lt;&gt;""),ABS(BS5-BT5)/ABS(BS5)*100,""),"")</f>
        <v/>
      </c>
      <c r="BV5" s="69" t="inlineStr">
        <is>
          <t>Claude</t>
        </is>
      </c>
      <c r="BW5" s="67" t="n">
        <v>100</v>
      </c>
      <c r="BX5" s="67" t="n">
        <v>100</v>
      </c>
      <c r="BY5" s="71">
        <f>IFERROR(IF(AND(BW5&lt;&gt;"",BX5&lt;&gt;""),ABS(BW5-BX5)/ABS(BW5)*100,""),"")</f>
        <v/>
      </c>
      <c r="BZ5" s="69" t="inlineStr">
        <is>
          <t>Claude</t>
        </is>
      </c>
      <c r="CA5" s="67" t="n">
        <v>8.1</v>
      </c>
      <c r="CB5" s="67" t="n">
        <v>8.1</v>
      </c>
      <c r="CC5" s="71">
        <f>IFERROR(IF(AND(CA5&lt;&gt;"",CB5&lt;&gt;""),ABS(CA5-CB5)/ABS(CA5)*100,""),"")</f>
        <v/>
      </c>
      <c r="CD5" s="69" t="inlineStr">
        <is>
          <t>Claude</t>
        </is>
      </c>
      <c r="CE5" s="64" t="n">
        <v>9.960000000000001</v>
      </c>
      <c r="CF5" s="64" t="n">
        <v>92.3</v>
      </c>
      <c r="CG5" s="71">
        <f>IFERROR(IF(AND(CE5&lt;&gt;"",CF5&lt;&gt;""),ABS(CE5-CF5)/ABS(CE5)*100,""),"")</f>
        <v/>
      </c>
      <c r="CH5" s="66" t="inlineStr">
        <is>
          <t>MANUAL FLAG</t>
        </is>
      </c>
      <c r="CI5" s="64" t="n">
        <v>0.83</v>
      </c>
      <c r="CJ5" s="64" t="n">
        <v>7.7</v>
      </c>
      <c r="CK5" s="71">
        <f>IFERROR(IF(AND(CI5&lt;&gt;"",CJ5&lt;&gt;""),ABS(CI5-CJ5)/ABS(CI5)*100,""),"")</f>
        <v/>
      </c>
      <c r="CL5" s="66" t="inlineStr">
        <is>
          <t>MANUAL FLAG</t>
        </is>
      </c>
      <c r="CM5" s="67" t="n"/>
      <c r="CN5" s="67" t="n"/>
      <c r="CO5" s="71">
        <f>IFERROR(IF(AND(CM5&lt;&gt;"",CN5&lt;&gt;""),ABS(CM5-CN5)/ABS(CM5)*100,""),"")</f>
        <v/>
      </c>
      <c r="CP5" s="69" t="inlineStr">
        <is>
          <t>ND</t>
        </is>
      </c>
      <c r="CQ5" s="67" t="n">
        <v>0.18</v>
      </c>
      <c r="CR5" s="67" t="n">
        <v>0.18</v>
      </c>
      <c r="CS5" s="71">
        <f>IFERROR(IF(AND(CQ5&lt;&gt;"",CR5&lt;&gt;""),ABS(CQ5-CR5)/ABS(CQ5)*100,""),"")</f>
        <v/>
      </c>
      <c r="CT5" s="69" t="inlineStr">
        <is>
          <t>Claude</t>
        </is>
      </c>
      <c r="CU5" s="67" t="n">
        <v>0</v>
      </c>
      <c r="CV5" s="67" t="n">
        <v>0</v>
      </c>
      <c r="CW5" s="71">
        <f>IFERROR(IF(AND(CU5&lt;&gt;"",CV5&lt;&gt;""),ABS(CU5-CV5)/ABS(CU5)*100,""),"")</f>
        <v/>
      </c>
      <c r="CX5" s="69" t="inlineStr">
        <is>
          <t>Claude</t>
        </is>
      </c>
      <c r="CY5" s="68" t="n"/>
      <c r="CZ5" s="68" t="n"/>
      <c r="DA5" s="71">
        <f>IFERROR(IF(AND(CY5&lt;&gt;"",CZ5&lt;&gt;""),ABS(CY5-CZ5)/ABS(CY5)*100,""),"")</f>
        <v/>
      </c>
      <c r="DB5" s="69" t="inlineStr">
        <is>
          <t>ND</t>
        </is>
      </c>
      <c r="DC5" s="68" t="n"/>
      <c r="DD5" s="68" t="n">
        <v>7</v>
      </c>
      <c r="DE5" s="71">
        <f>IFERROR(IF(AND(DC5&lt;&gt;"",DD5&lt;&gt;""),ABS(DC5-DD5)/ABS(DC5)*100,""),"")</f>
        <v/>
      </c>
      <c r="DF5" s="69" t="inlineStr">
        <is>
          <t>DeepSeek</t>
        </is>
      </c>
      <c r="DG5" s="68" t="n"/>
      <c r="DH5" s="68" t="n"/>
      <c r="DI5" s="71">
        <f>IFERROR(IF(AND(DG5&lt;&gt;"",DH5&lt;&gt;""),ABS(DG5-DH5)/ABS(DG5)*100,""),"")</f>
        <v/>
      </c>
      <c r="DJ5" s="69" t="inlineStr">
        <is>
          <t>ND</t>
        </is>
      </c>
      <c r="DK5" s="68" t="n"/>
      <c r="DL5" s="68" t="n"/>
      <c r="DM5" s="71">
        <f>IFERROR(IF(AND(DK5&lt;&gt;"",DL5&lt;&gt;""),ABS(DK5-DL5)/ABS(DK5)*100,""),"")</f>
        <v/>
      </c>
      <c r="DN5" s="69" t="inlineStr">
        <is>
          <t>ND</t>
        </is>
      </c>
      <c r="DO5" s="68" t="n"/>
      <c r="DP5" s="68" t="n"/>
      <c r="DQ5" s="71">
        <f>IFERROR(IF(AND(DO5&lt;&gt;"",DP5&lt;&gt;""),ABS(DO5-DP5)/ABS(DO5)*100,""),"")</f>
        <v/>
      </c>
      <c r="DR5" s="69" t="inlineStr">
        <is>
          <t>ND</t>
        </is>
      </c>
      <c r="DS5" s="68" t="n"/>
      <c r="DT5" s="68" t="n"/>
      <c r="DU5" s="71">
        <f>IFERROR(IF(AND(DS5&lt;&gt;"",DT5&lt;&gt;""),ABS(DS5-DT5)/ABS(DS5)*100,""),"")</f>
        <v/>
      </c>
      <c r="DV5" s="69" t="inlineStr">
        <is>
          <t>ND</t>
        </is>
      </c>
      <c r="DW5" s="70" t="inlineStr">
        <is>
          <t>Claude only (DeepSeek pending). Source=most recent report (2022 ed.). Ind.7/8 recalculated from headcount (0 disabled; 5 foreign)/total 4,958 -- NOTE: 2019 disability headcount=0 also conflicts with earlier editions (51 reported in 2020/2021 eds.) - verify. Ind.9 = ND, same defect as 2018. Ind.14 training spend N/A this year per source (metric first tracked 2019, but per-employee KRW value given = 1,221,331; other prior editions differ). || DEEPSEEK RECONCILIATION - MANUAL FLAGS: Ind.1 (Contract Workers%): Claude=4.5, DeepSeek=2.99, Diff=33.6%; Ind.14 (Training Budget/Employee): Claude=1221331, DeepSeek=1895322, Diff=55.2%; Ind.20 (Voluntary Turnover): Claude=9.96, DeepSeek=92.3, Diff=826.7%; Ind.21 (Involuntary Turnover): Claude=0.83, DeepSeek=7.7, Diff=827.7%</t>
        </is>
      </c>
    </row>
    <row r="6" ht="15.75" customHeight="1" s="43">
      <c r="A6" s="62" t="n"/>
      <c r="B6" s="62" t="n"/>
      <c r="C6" s="62" t="inlineStr">
        <is>
          <t>Consumer Discretionary</t>
        </is>
      </c>
      <c r="D6" s="62" t="inlineStr">
        <is>
          <t>2020</t>
        </is>
      </c>
      <c r="E6" s="63" t="inlineStr">
        <is>
          <t>COWAY_2022.pdf (2022 report, most recent covering 2020)</t>
        </is>
      </c>
      <c r="F6" s="62" t="n"/>
      <c r="G6" s="64" t="n">
        <v>2.1</v>
      </c>
      <c r="H6" s="64" t="n">
        <v>4.52</v>
      </c>
      <c r="I6" s="65">
        <f>IFERROR(IF(AND(G6&lt;&gt;"",H6&lt;&gt;""),ABS(G6-H6)/ABS(G6)*100,""),"")</f>
        <v/>
      </c>
      <c r="J6" s="66" t="inlineStr">
        <is>
          <t>MANUAL FLAG</t>
        </is>
      </c>
      <c r="K6" s="67" t="n"/>
      <c r="L6" s="67" t="n">
        <v>27.26</v>
      </c>
      <c r="M6" s="65">
        <f>IFERROR(IF(AND(K6&lt;&gt;"",L6&lt;&gt;""),ABS(K6-L6)/ABS(K6)*100,""),"")</f>
        <v/>
      </c>
      <c r="N6" s="62" t="inlineStr">
        <is>
          <t>DeepSeek</t>
        </is>
      </c>
      <c r="O6" s="67" t="n"/>
      <c r="P6" s="67" t="n">
        <v>23.63</v>
      </c>
      <c r="Q6" s="65">
        <f>IFERROR(IF(AND(O6&lt;&gt;"",P6&lt;&gt;""),ABS(O6-P6)/ABS(O6)*100,""),"")</f>
        <v/>
      </c>
      <c r="R6" s="62" t="inlineStr">
        <is>
          <t>DeepSeek</t>
        </is>
      </c>
      <c r="S6" s="67" t="n">
        <v>30.3</v>
      </c>
      <c r="T6" s="67" t="n">
        <v>30.3</v>
      </c>
      <c r="U6" s="65">
        <f>IFERROR(IF(AND(S6&lt;&gt;"",T6&lt;&gt;""),ABS(S6-T6)/ABS(S6)*100,""),"")</f>
        <v/>
      </c>
      <c r="V6" s="62" t="inlineStr">
        <is>
          <t>Claude</t>
        </is>
      </c>
      <c r="W6" s="67" t="n"/>
      <c r="X6" s="67" t="n"/>
      <c r="Y6" s="65">
        <f>IFERROR(IF(AND(W6&lt;&gt;"",X6&lt;&gt;""),ABS(W6-X6)/ABS(W6)*100,""),"")</f>
        <v/>
      </c>
      <c r="Z6" s="62" t="inlineStr">
        <is>
          <t>ND</t>
        </is>
      </c>
      <c r="AA6" s="67" t="n">
        <v>13.85</v>
      </c>
      <c r="AB6" s="67" t="n">
        <v>13.85</v>
      </c>
      <c r="AC6" s="65">
        <f>IFERROR(IF(AND(AA6&lt;&gt;"",AB6&lt;&gt;""),ABS(AA6-AB6)/ABS(AA6)*100,""),"")</f>
        <v/>
      </c>
      <c r="AD6" s="62" t="inlineStr">
        <is>
          <t>Claude</t>
        </is>
      </c>
      <c r="AE6" s="67" t="n">
        <v>1.068</v>
      </c>
      <c r="AF6" s="67" t="n"/>
      <c r="AG6" s="65">
        <f>IFERROR(IF(AND(AE6&lt;&gt;"",AF6&lt;&gt;""),ABS(AE6-AF6)/ABS(AE6)*100,""),"")</f>
        <v/>
      </c>
      <c r="AH6" s="62" t="inlineStr">
        <is>
          <t>Claude</t>
        </is>
      </c>
      <c r="AI6" s="67" t="n">
        <v>0.155</v>
      </c>
      <c r="AJ6" s="67" t="n"/>
      <c r="AK6" s="65">
        <f>IFERROR(IF(AND(AI6&lt;&gt;"",AJ6&lt;&gt;""),ABS(AI6-AJ6)/ABS(AI6)*100,""),"")</f>
        <v/>
      </c>
      <c r="AL6" s="62" t="inlineStr">
        <is>
          <t>Claude</t>
        </is>
      </c>
      <c r="AM6" s="67" t="n"/>
      <c r="AN6" s="67" t="n"/>
      <c r="AO6" s="65">
        <f>IFERROR(IF(AND(AM6&lt;&gt;"",AN6&lt;&gt;""),ABS(AM6-AN6)/ABS(AM6)*100,""),"")</f>
        <v/>
      </c>
      <c r="AP6" s="62" t="inlineStr">
        <is>
          <t>ND</t>
        </is>
      </c>
      <c r="AQ6" s="67" t="n">
        <v>17.14</v>
      </c>
      <c r="AR6" s="67" t="n">
        <v>17.14</v>
      </c>
      <c r="AS6" s="65">
        <f>IFERROR(IF(AND(AQ6&lt;&gt;"",AR6&lt;&gt;""),ABS(AQ6-AR6)/ABS(AQ6)*100,""),"")</f>
        <v/>
      </c>
      <c r="AT6" s="62" t="inlineStr">
        <is>
          <t>Claude</t>
        </is>
      </c>
      <c r="AU6" s="67" t="n">
        <v>0</v>
      </c>
      <c r="AV6" s="67" t="n">
        <v>0</v>
      </c>
      <c r="AW6" s="65">
        <f>IFERROR(IF(AND(AU6&lt;&gt;"",AV6&lt;&gt;""),ABS(AU6-AV6)/ABS(AU6)*100,""),"")</f>
        <v/>
      </c>
      <c r="AX6" s="62" t="inlineStr">
        <is>
          <t>Claude</t>
        </is>
      </c>
      <c r="AY6" s="67" t="n">
        <v>52427000</v>
      </c>
      <c r="AZ6" s="67" t="n">
        <v>52427000</v>
      </c>
      <c r="BA6" s="65">
        <f>IFERROR(IF(AND(AY6&lt;&gt;"",AZ6&lt;&gt;""),ABS(AY6-AZ6)/ABS(AY6)*100,""),"")</f>
        <v/>
      </c>
      <c r="BB6" s="62" t="inlineStr">
        <is>
          <t>Claude</t>
        </is>
      </c>
      <c r="BC6" s="67" t="n"/>
      <c r="BD6" s="67" t="n"/>
      <c r="BE6" s="65">
        <f>IFERROR(IF(AND(BC6&lt;&gt;"",BD6&lt;&gt;""),ABS(BC6-BD6)/ABS(BC6)*100,""),"")</f>
        <v/>
      </c>
      <c r="BF6" s="62" t="inlineStr">
        <is>
          <t>ND</t>
        </is>
      </c>
      <c r="BG6" s="64" t="n">
        <v>432624</v>
      </c>
      <c r="BH6" s="64" t="n">
        <v>675754</v>
      </c>
      <c r="BI6" s="65">
        <f>IFERROR(IF(AND(BG6&lt;&gt;"",BH6&lt;&gt;""),ABS(BG6-BH6)/ABS(BG6)*100,""),"")</f>
        <v/>
      </c>
      <c r="BJ6" s="66" t="inlineStr">
        <is>
          <t>MANUAL FLAG</t>
        </is>
      </c>
      <c r="BK6" s="67" t="n">
        <v>77</v>
      </c>
      <c r="BL6" s="67" t="n"/>
      <c r="BM6" s="65">
        <f>IFERROR(IF(AND(BK6&lt;&gt;"",BL6&lt;&gt;""),ABS(BK6-BL6)/ABS(BK6)*100,""),"")</f>
        <v/>
      </c>
      <c r="BN6" s="62" t="inlineStr">
        <is>
          <t>Claude</t>
        </is>
      </c>
      <c r="BO6" s="67" t="n">
        <v>97</v>
      </c>
      <c r="BP6" s="67" t="n">
        <v>97</v>
      </c>
      <c r="BQ6" s="65">
        <f>IFERROR(IF(AND(BO6&lt;&gt;"",BP6&lt;&gt;""),ABS(BO6-BP6)/ABS(BO6)*100,""),"")</f>
        <v/>
      </c>
      <c r="BR6" s="62" t="inlineStr">
        <is>
          <t>Claude</t>
        </is>
      </c>
      <c r="BS6" s="67" t="n">
        <v>12</v>
      </c>
      <c r="BT6" s="67" t="n">
        <v>12</v>
      </c>
      <c r="BU6" s="65">
        <f>IFERROR(IF(AND(BS6&lt;&gt;"",BT6&lt;&gt;""),ABS(BS6-BT6)/ABS(BS6)*100,""),"")</f>
        <v/>
      </c>
      <c r="BV6" s="62" t="inlineStr">
        <is>
          <t>Claude</t>
        </is>
      </c>
      <c r="BW6" s="67" t="n">
        <v>100</v>
      </c>
      <c r="BX6" s="67" t="n">
        <v>100</v>
      </c>
      <c r="BY6" s="65">
        <f>IFERROR(IF(AND(BW6&lt;&gt;"",BX6&lt;&gt;""),ABS(BW6-BX6)/ABS(BW6)*100,""),"")</f>
        <v/>
      </c>
      <c r="BZ6" s="62" t="inlineStr">
        <is>
          <t>Claude</t>
        </is>
      </c>
      <c r="CA6" s="67" t="n">
        <v>6.8</v>
      </c>
      <c r="CB6" s="67" t="n">
        <v>6.8</v>
      </c>
      <c r="CC6" s="65">
        <f>IFERROR(IF(AND(CA6&lt;&gt;"",CB6&lt;&gt;""),ABS(CA6-CB6)/ABS(CA6)*100,""),"")</f>
        <v/>
      </c>
      <c r="CD6" s="62" t="inlineStr">
        <is>
          <t>Claude</t>
        </is>
      </c>
      <c r="CE6" s="64" t="n">
        <v>5.36</v>
      </c>
      <c r="CF6" s="64" t="n">
        <v>92.8</v>
      </c>
      <c r="CG6" s="65">
        <f>IFERROR(IF(AND(CE6&lt;&gt;"",CF6&lt;&gt;""),ABS(CE6-CF6)/ABS(CE6)*100,""),"")</f>
        <v/>
      </c>
      <c r="CH6" s="66" t="inlineStr">
        <is>
          <t>MANUAL FLAG</t>
        </is>
      </c>
      <c r="CI6" s="64" t="n">
        <v>0.42</v>
      </c>
      <c r="CJ6" s="64" t="n">
        <v>7.2</v>
      </c>
      <c r="CK6" s="65">
        <f>IFERROR(IF(AND(CI6&lt;&gt;"",CJ6&lt;&gt;""),ABS(CI6-CJ6)/ABS(CI6)*100,""),"")</f>
        <v/>
      </c>
      <c r="CL6" s="66" t="inlineStr">
        <is>
          <t>MANUAL FLAG</t>
        </is>
      </c>
      <c r="CM6" s="67" t="n"/>
      <c r="CN6" s="67" t="n"/>
      <c r="CO6" s="65">
        <f>IFERROR(IF(AND(CM6&lt;&gt;"",CN6&lt;&gt;""),ABS(CM6-CN6)/ABS(CM6)*100,""),"")</f>
        <v/>
      </c>
      <c r="CP6" s="62" t="inlineStr">
        <is>
          <t>ND</t>
        </is>
      </c>
      <c r="CQ6" s="67" t="n">
        <v>2.21</v>
      </c>
      <c r="CR6" s="67" t="n">
        <v>2.21</v>
      </c>
      <c r="CS6" s="65">
        <f>IFERROR(IF(AND(CQ6&lt;&gt;"",CR6&lt;&gt;""),ABS(CQ6-CR6)/ABS(CQ6)*100,""),"")</f>
        <v/>
      </c>
      <c r="CT6" s="62" t="inlineStr">
        <is>
          <t>Claude</t>
        </is>
      </c>
      <c r="CU6" s="67" t="n">
        <v>0</v>
      </c>
      <c r="CV6" s="67" t="n">
        <v>0</v>
      </c>
      <c r="CW6" s="65">
        <f>IFERROR(IF(AND(CU6&lt;&gt;"",CV6&lt;&gt;""),ABS(CU6-CV6)/ABS(CU6)*100,""),"")</f>
        <v/>
      </c>
      <c r="CX6" s="62" t="inlineStr">
        <is>
          <t>Claude</t>
        </is>
      </c>
      <c r="CY6" s="68" t="n"/>
      <c r="CZ6" s="68" t="n"/>
      <c r="DA6" s="65">
        <f>IFERROR(IF(AND(CY6&lt;&gt;"",CZ6&lt;&gt;""),ABS(CY6-CZ6)/ABS(CY6)*100,""),"")</f>
        <v/>
      </c>
      <c r="DB6" s="62" t="inlineStr">
        <is>
          <t>ND</t>
        </is>
      </c>
      <c r="DC6" s="68" t="n"/>
      <c r="DD6" s="68" t="n">
        <v>7</v>
      </c>
      <c r="DE6" s="65">
        <f>IFERROR(IF(AND(DC6&lt;&gt;"",DD6&lt;&gt;""),ABS(DC6-DD6)/ABS(DC6)*100,""),"")</f>
        <v/>
      </c>
      <c r="DF6" s="62" t="inlineStr">
        <is>
          <t>DeepSeek</t>
        </is>
      </c>
      <c r="DG6" s="68" t="n"/>
      <c r="DH6" s="68" t="n"/>
      <c r="DI6" s="65">
        <f>IFERROR(IF(AND(DG6&lt;&gt;"",DH6&lt;&gt;""),ABS(DG6-DH6)/ABS(DG6)*100,""),"")</f>
        <v/>
      </c>
      <c r="DJ6" s="62" t="inlineStr">
        <is>
          <t>ND</t>
        </is>
      </c>
      <c r="DK6" s="68" t="n"/>
      <c r="DL6" s="68" t="n"/>
      <c r="DM6" s="65">
        <f>IFERROR(IF(AND(DK6&lt;&gt;"",DL6&lt;&gt;""),ABS(DK6-DL6)/ABS(DK6)*100,""),"")</f>
        <v/>
      </c>
      <c r="DN6" s="62" t="inlineStr">
        <is>
          <t>ND</t>
        </is>
      </c>
      <c r="DO6" s="68" t="n"/>
      <c r="DP6" s="68" t="n"/>
      <c r="DQ6" s="65">
        <f>IFERROR(IF(AND(DO6&lt;&gt;"",DP6&lt;&gt;""),ABS(DO6-DP6)/ABS(DO6)*100,""),"")</f>
        <v/>
      </c>
      <c r="DR6" s="62" t="inlineStr">
        <is>
          <t>ND</t>
        </is>
      </c>
      <c r="DS6" s="68" t="n"/>
      <c r="DT6" s="68" t="n"/>
      <c r="DU6" s="65">
        <f>IFERROR(IF(AND(DS6&lt;&gt;"",DT6&lt;&gt;""),ABS(DS6-DT6)/ABS(DS6)*100,""),"")</f>
        <v/>
      </c>
      <c r="DV6" s="62" t="inlineStr">
        <is>
          <t>ND</t>
        </is>
      </c>
      <c r="DW6" s="63" t="inlineStr">
        <is>
          <t>Claude only (DeepSeek pending). Source=most recent report (2022 ed.). Ind.7/8 recalculated from headcount (69 disabled; 10 foreign)/total 6,458. Ind.9 = ND (same defect note as above). || DEEPSEEK RECONCILIATION - MANUAL FLAGS: Ind.1 (Contract Workers%): Claude=2.1, DeepSeek=4.52, Diff=115.2%; Ind.14 (Training Budget/Employee): Claude=432624, DeepSeek=675754, Diff=56.2%; Ind.20 (Voluntary Turnover): Claude=5.36, DeepSeek=92.8, Diff=1631.3%; Ind.21 (Involuntary Turnover): Claude=0.42, DeepSeek=7.2, Diff=1614.3%</t>
        </is>
      </c>
    </row>
    <row r="7" ht="15.75" customHeight="1" s="43">
      <c r="A7" s="69" t="n"/>
      <c r="B7" s="69" t="n"/>
      <c r="C7" s="69" t="inlineStr">
        <is>
          <t>Consumer Discretionary</t>
        </is>
      </c>
      <c r="D7" s="69" t="inlineStr">
        <is>
          <t>2021</t>
        </is>
      </c>
      <c r="E7" s="70" t="inlineStr">
        <is>
          <t>COWAY_2022.pdf (2022 report, most recent covering 2021)</t>
        </is>
      </c>
      <c r="F7" s="69" t="n"/>
      <c r="G7" s="64" t="n">
        <v>2</v>
      </c>
      <c r="H7" s="64" t="n">
        <v>4.9</v>
      </c>
      <c r="I7" s="71">
        <f>IFERROR(IF(AND(G7&lt;&gt;"",H7&lt;&gt;""),ABS(G7-H7)/ABS(G7)*100,""),"")</f>
        <v/>
      </c>
      <c r="J7" s="66" t="inlineStr">
        <is>
          <t>MANUAL FLAG</t>
        </is>
      </c>
      <c r="K7" s="67" t="n"/>
      <c r="L7" s="67" t="n">
        <v>25.8</v>
      </c>
      <c r="M7" s="71">
        <f>IFERROR(IF(AND(K7&lt;&gt;"",L7&lt;&gt;""),ABS(K7-L7)/ABS(K7)*100,""),"")</f>
        <v/>
      </c>
      <c r="N7" s="69" t="inlineStr">
        <is>
          <t>DeepSeek</t>
        </is>
      </c>
      <c r="O7" s="67" t="n"/>
      <c r="P7" s="67" t="n">
        <v>59.12</v>
      </c>
      <c r="Q7" s="71">
        <f>IFERROR(IF(AND(O7&lt;&gt;"",P7&lt;&gt;""),ABS(O7-P7)/ABS(O7)*100,""),"")</f>
        <v/>
      </c>
      <c r="R7" s="69" t="inlineStr">
        <is>
          <t>DeepSeek</t>
        </is>
      </c>
      <c r="S7" s="67" t="n">
        <v>10.34</v>
      </c>
      <c r="T7" s="67" t="n">
        <v>10.34</v>
      </c>
      <c r="U7" s="71">
        <f>IFERROR(IF(AND(S7&lt;&gt;"",T7&lt;&gt;""),ABS(S7-T7)/ABS(S7)*100,""),"")</f>
        <v/>
      </c>
      <c r="V7" s="69" t="inlineStr">
        <is>
          <t>Claude</t>
        </is>
      </c>
      <c r="W7" s="67" t="n"/>
      <c r="X7" s="67" t="n"/>
      <c r="Y7" s="71">
        <f>IFERROR(IF(AND(W7&lt;&gt;"",X7&lt;&gt;""),ABS(W7-X7)/ABS(W7)*100,""),"")</f>
        <v/>
      </c>
      <c r="Z7" s="69" t="inlineStr">
        <is>
          <t>ND</t>
        </is>
      </c>
      <c r="AA7" s="67" t="n">
        <v>40.69</v>
      </c>
      <c r="AB7" s="67" t="n">
        <v>40.69</v>
      </c>
      <c r="AC7" s="71">
        <f>IFERROR(IF(AND(AA7&lt;&gt;"",AB7&lt;&gt;""),ABS(AA7-AB7)/ABS(AA7)*100,""),"")</f>
        <v/>
      </c>
      <c r="AD7" s="69" t="inlineStr">
        <is>
          <t>Claude</t>
        </is>
      </c>
      <c r="AE7" s="67" t="n">
        <v>1.233</v>
      </c>
      <c r="AF7" s="67" t="n"/>
      <c r="AG7" s="71">
        <f>IFERROR(IF(AND(AE7&lt;&gt;"",AF7&lt;&gt;""),ABS(AE7-AF7)/ABS(AE7)*100,""),"")</f>
        <v/>
      </c>
      <c r="AH7" s="69" t="inlineStr">
        <is>
          <t>Claude</t>
        </is>
      </c>
      <c r="AI7" s="67" t="n">
        <v>0.154</v>
      </c>
      <c r="AJ7" s="67" t="n"/>
      <c r="AK7" s="71">
        <f>IFERROR(IF(AND(AI7&lt;&gt;"",AJ7&lt;&gt;""),ABS(AI7-AJ7)/ABS(AI7)*100,""),"")</f>
        <v/>
      </c>
      <c r="AL7" s="69" t="inlineStr">
        <is>
          <t>Claude</t>
        </is>
      </c>
      <c r="AM7" s="67" t="n"/>
      <c r="AN7" s="67" t="n"/>
      <c r="AO7" s="71">
        <f>IFERROR(IF(AND(AM7&lt;&gt;"",AN7&lt;&gt;""),ABS(AM7-AN7)/ABS(AM7)*100,""),"")</f>
        <v/>
      </c>
      <c r="AP7" s="69" t="inlineStr">
        <is>
          <t>ND</t>
        </is>
      </c>
      <c r="AQ7" s="67" t="n">
        <v>19.35</v>
      </c>
      <c r="AR7" s="67" t="n">
        <v>19.35</v>
      </c>
      <c r="AS7" s="71">
        <f>IFERROR(IF(AND(AQ7&lt;&gt;"",AR7&lt;&gt;""),ABS(AQ7-AR7)/ABS(AQ7)*100,""),"")</f>
        <v/>
      </c>
      <c r="AT7" s="69" t="inlineStr">
        <is>
          <t>Claude</t>
        </is>
      </c>
      <c r="AU7" s="67" t="n">
        <v>0</v>
      </c>
      <c r="AV7" s="67" t="n">
        <v>0</v>
      </c>
      <c r="AW7" s="71">
        <f>IFERROR(IF(AND(AU7&lt;&gt;"",AV7&lt;&gt;""),ABS(AU7-AV7)/ABS(AU7)*100,""),"")</f>
        <v/>
      </c>
      <c r="AX7" s="69" t="inlineStr">
        <is>
          <t>Claude</t>
        </is>
      </c>
      <c r="AY7" s="67" t="n">
        <v>55353000</v>
      </c>
      <c r="AZ7" s="67" t="n">
        <v>55353000</v>
      </c>
      <c r="BA7" s="71">
        <f>IFERROR(IF(AND(AY7&lt;&gt;"",AZ7&lt;&gt;""),ABS(AY7-AZ7)/ABS(AY7)*100,""),"")</f>
        <v/>
      </c>
      <c r="BB7" s="69" t="inlineStr">
        <is>
          <t>Claude</t>
        </is>
      </c>
      <c r="BC7" s="67" t="n"/>
      <c r="BD7" s="67" t="n"/>
      <c r="BE7" s="71">
        <f>IFERROR(IF(AND(BC7&lt;&gt;"",BD7&lt;&gt;""),ABS(BC7-BD7)/ABS(BC7)*100,""),"")</f>
        <v/>
      </c>
      <c r="BF7" s="69" t="inlineStr">
        <is>
          <t>ND</t>
        </is>
      </c>
      <c r="BG7" s="64" t="n">
        <v>342438</v>
      </c>
      <c r="BH7" s="64" t="n">
        <v>472185</v>
      </c>
      <c r="BI7" s="71">
        <f>IFERROR(IF(AND(BG7&lt;&gt;"",BH7&lt;&gt;""),ABS(BG7-BH7)/ABS(BG7)*100,""),"")</f>
        <v/>
      </c>
      <c r="BJ7" s="66" t="inlineStr">
        <is>
          <t>MANUAL FLAG</t>
        </is>
      </c>
      <c r="BK7" s="67" t="n">
        <v>62</v>
      </c>
      <c r="BL7" s="67" t="n"/>
      <c r="BM7" s="71">
        <f>IFERROR(IF(AND(BK7&lt;&gt;"",BL7&lt;&gt;""),ABS(BK7-BL7)/ABS(BK7)*100,""),"")</f>
        <v/>
      </c>
      <c r="BN7" s="69" t="inlineStr">
        <is>
          <t>Claude</t>
        </is>
      </c>
      <c r="BO7" s="67" t="n">
        <v>95</v>
      </c>
      <c r="BP7" s="67" t="n">
        <v>95</v>
      </c>
      <c r="BQ7" s="71">
        <f>IFERROR(IF(AND(BO7&lt;&gt;"",BP7&lt;&gt;""),ABS(BO7-BP7)/ABS(BO7)*100,""),"")</f>
        <v/>
      </c>
      <c r="BR7" s="69" t="inlineStr">
        <is>
          <t>Claude</t>
        </is>
      </c>
      <c r="BS7" s="67" t="n">
        <v>34</v>
      </c>
      <c r="BT7" s="67" t="n">
        <v>34</v>
      </c>
      <c r="BU7" s="71">
        <f>IFERROR(IF(AND(BS7&lt;&gt;"",BT7&lt;&gt;""),ABS(BS7-BT7)/ABS(BS7)*100,""),"")</f>
        <v/>
      </c>
      <c r="BV7" s="69" t="inlineStr">
        <is>
          <t>Claude</t>
        </is>
      </c>
      <c r="BW7" s="67" t="n">
        <v>100</v>
      </c>
      <c r="BX7" s="67" t="n">
        <v>100</v>
      </c>
      <c r="BY7" s="71">
        <f>IFERROR(IF(AND(BW7&lt;&gt;"",BX7&lt;&gt;""),ABS(BW7-BX7)/ABS(BW7)*100,""),"")</f>
        <v/>
      </c>
      <c r="BZ7" s="69" t="inlineStr">
        <is>
          <t>Claude</t>
        </is>
      </c>
      <c r="CA7" s="67" t="n">
        <v>6.9</v>
      </c>
      <c r="CB7" s="67" t="n">
        <v>6.9</v>
      </c>
      <c r="CC7" s="71">
        <f>IFERROR(IF(AND(CA7&lt;&gt;"",CB7&lt;&gt;""),ABS(CA7-CB7)/ABS(CA7)*100,""),"")</f>
        <v/>
      </c>
      <c r="CD7" s="69" t="inlineStr">
        <is>
          <t>Claude</t>
        </is>
      </c>
      <c r="CE7" s="64" t="n">
        <v>10.12</v>
      </c>
      <c r="CF7" s="64" t="n">
        <v>92.09999999999999</v>
      </c>
      <c r="CG7" s="71">
        <f>IFERROR(IF(AND(CE7&lt;&gt;"",CF7&lt;&gt;""),ABS(CE7-CF7)/ABS(CE7)*100,""),"")</f>
        <v/>
      </c>
      <c r="CH7" s="66" t="inlineStr">
        <is>
          <t>MANUAL FLAG</t>
        </is>
      </c>
      <c r="CI7" s="64" t="n">
        <v>0.86</v>
      </c>
      <c r="CJ7" s="64" t="n">
        <v>7.9</v>
      </c>
      <c r="CK7" s="71">
        <f>IFERROR(IF(AND(CI7&lt;&gt;"",CJ7&lt;&gt;""),ABS(CI7-CJ7)/ABS(CI7)*100,""),"")</f>
        <v/>
      </c>
      <c r="CL7" s="66" t="inlineStr">
        <is>
          <t>MANUAL FLAG</t>
        </is>
      </c>
      <c r="CM7" s="67" t="n">
        <v>19.8</v>
      </c>
      <c r="CN7" s="67" t="n">
        <v>19.8</v>
      </c>
      <c r="CO7" s="71">
        <f>IFERROR(IF(AND(CM7&lt;&gt;"",CN7&lt;&gt;""),ABS(CM7-CN7)/ABS(CM7)*100,""),"")</f>
        <v/>
      </c>
      <c r="CP7" s="69" t="inlineStr">
        <is>
          <t>Claude</t>
        </is>
      </c>
      <c r="CQ7" s="67" t="n">
        <v>5.23</v>
      </c>
      <c r="CR7" s="67" t="n">
        <v>5.23</v>
      </c>
      <c r="CS7" s="71">
        <f>IFERROR(IF(AND(CQ7&lt;&gt;"",CR7&lt;&gt;""),ABS(CQ7-CR7)/ABS(CQ7)*100,""),"")</f>
        <v/>
      </c>
      <c r="CT7" s="69" t="inlineStr">
        <is>
          <t>Claude</t>
        </is>
      </c>
      <c r="CU7" s="67" t="n">
        <v>0</v>
      </c>
      <c r="CV7" s="67" t="n">
        <v>0</v>
      </c>
      <c r="CW7" s="71">
        <f>IFERROR(IF(AND(CU7&lt;&gt;"",CV7&lt;&gt;""),ABS(CU7-CV7)/ABS(CU7)*100,""),"")</f>
        <v/>
      </c>
      <c r="CX7" s="69" t="inlineStr">
        <is>
          <t>Claude</t>
        </is>
      </c>
      <c r="CY7" s="68" t="n"/>
      <c r="CZ7" s="68" t="n"/>
      <c r="DA7" s="71">
        <f>IFERROR(IF(AND(CY7&lt;&gt;"",CZ7&lt;&gt;""),ABS(CY7-CZ7)/ABS(CY7)*100,""),"")</f>
        <v/>
      </c>
      <c r="DB7" s="69" t="inlineStr">
        <is>
          <t>ND</t>
        </is>
      </c>
      <c r="DC7" s="68" t="n"/>
      <c r="DD7" s="68" t="n">
        <v>7</v>
      </c>
      <c r="DE7" s="71">
        <f>IFERROR(IF(AND(DC7&lt;&gt;"",DD7&lt;&gt;""),ABS(DC7-DD7)/ABS(DC7)*100,""),"")</f>
        <v/>
      </c>
      <c r="DF7" s="69" t="inlineStr">
        <is>
          <t>DeepSeek</t>
        </is>
      </c>
      <c r="DG7" s="68" t="n"/>
      <c r="DH7" s="68" t="n"/>
      <c r="DI7" s="71">
        <f>IFERROR(IF(AND(DG7&lt;&gt;"",DH7&lt;&gt;""),ABS(DG7-DH7)/ABS(DG7)*100,""),"")</f>
        <v/>
      </c>
      <c r="DJ7" s="69" t="inlineStr">
        <is>
          <t>ND</t>
        </is>
      </c>
      <c r="DK7" s="68" t="n"/>
      <c r="DL7" s="68" t="n"/>
      <c r="DM7" s="71">
        <f>IFERROR(IF(AND(DK7&lt;&gt;"",DL7&lt;&gt;""),ABS(DK7-DL7)/ABS(DK7)*100,""),"")</f>
        <v/>
      </c>
      <c r="DN7" s="69" t="inlineStr">
        <is>
          <t>ND</t>
        </is>
      </c>
      <c r="DO7" s="68" t="n"/>
      <c r="DP7" s="68" t="n"/>
      <c r="DQ7" s="71">
        <f>IFERROR(IF(AND(DO7&lt;&gt;"",DP7&lt;&gt;""),ABS(DO7-DP7)/ABS(DO7)*100,""),"")</f>
        <v/>
      </c>
      <c r="DR7" s="69" t="inlineStr">
        <is>
          <t>ND</t>
        </is>
      </c>
      <c r="DS7" s="68" t="n"/>
      <c r="DT7" s="68" t="n"/>
      <c r="DU7" s="71">
        <f>IFERROR(IF(AND(DS7&lt;&gt;"",DT7&lt;&gt;""),ABS(DS7-DT7)/ABS(DS7)*100,""),"")</f>
        <v/>
      </c>
      <c r="DV7" s="69" t="inlineStr">
        <is>
          <t>ND</t>
        </is>
      </c>
      <c r="DW7" s="70" t="inlineStr">
        <is>
          <t>Claude only (DeepSeek pending). Source=most recent report (2022 ed.). Ind.7/8 recalculated from headcount (80 disabled; 10 foreign)/total 6,489. Ind.9 = ND (same defect note as above). || DEEPSEEK RECONCILIATION - MANUAL FLAGS: Ind.1 (Contract Workers%): Claude=2, DeepSeek=4.9, Diff=145.0%; Ind.14 (Training Budget/Employee): Claude=342438, DeepSeek=472185, Diff=37.9%; Ind.20 (Voluntary Turnover): Claude=10.12, DeepSeek=92.1, Diff=810.1%; Ind.21 (Involuntary Turnover): Claude=0.86, DeepSeek=7.9, Diff=818.6%</t>
        </is>
      </c>
    </row>
    <row r="8" ht="15.75" customHeight="1" s="43">
      <c r="A8" s="62" t="n"/>
      <c r="B8" s="62" t="n"/>
      <c r="C8" s="62" t="inlineStr">
        <is>
          <t>Consumer Discretionary</t>
        </is>
      </c>
      <c r="D8" s="62" t="inlineStr">
        <is>
          <t>2022</t>
        </is>
      </c>
      <c r="E8" s="63" t="inlineStr">
        <is>
          <t>COWAY_2025.pdf (2025 report, most recent covering 2022)</t>
        </is>
      </c>
      <c r="F8" s="62" t="n"/>
      <c r="G8" s="64" t="n">
        <v>2.58</v>
      </c>
      <c r="H8" s="64" t="n">
        <v>16.2</v>
      </c>
      <c r="I8" s="65">
        <f>IFERROR(IF(AND(G8&lt;&gt;"",H8&lt;&gt;""),ABS(G8-H8)/ABS(G8)*100,""),"")</f>
        <v/>
      </c>
      <c r="J8" s="66" t="inlineStr">
        <is>
          <t>MANUAL FLAG</t>
        </is>
      </c>
      <c r="K8" s="64" t="n">
        <v>45.11</v>
      </c>
      <c r="L8" s="64" t="n">
        <v>33.8</v>
      </c>
      <c r="M8" s="65">
        <f>IFERROR(IF(AND(K8&lt;&gt;"",L8&lt;&gt;""),ABS(K8-L8)/ABS(K8)*100,""),"")</f>
        <v/>
      </c>
      <c r="N8" s="66" t="inlineStr">
        <is>
          <t>MANUAL FLAG</t>
        </is>
      </c>
      <c r="O8" s="64" t="n">
        <v>63.86</v>
      </c>
      <c r="P8" s="64" t="n">
        <v>58.1</v>
      </c>
      <c r="Q8" s="65">
        <f>IFERROR(IF(AND(O8&lt;&gt;"",P8&lt;&gt;""),ABS(O8-P8)/ABS(O8)*100,""),"")</f>
        <v/>
      </c>
      <c r="R8" s="66" t="inlineStr">
        <is>
          <t>MANUAL FLAG</t>
        </is>
      </c>
      <c r="S8" s="64" t="n">
        <v>6.63</v>
      </c>
      <c r="T8" s="64" t="n">
        <v>22.1</v>
      </c>
      <c r="U8" s="65">
        <f>IFERROR(IF(AND(S8&lt;&gt;"",T8&lt;&gt;""),ABS(S8-T8)/ABS(S8)*100,""),"")</f>
        <v/>
      </c>
      <c r="V8" s="66" t="inlineStr">
        <is>
          <t>MANUAL FLAG</t>
        </is>
      </c>
      <c r="W8" s="67" t="n"/>
      <c r="X8" s="67" t="n"/>
      <c r="Y8" s="65">
        <f>IFERROR(IF(AND(W8&lt;&gt;"",X8&lt;&gt;""),ABS(W8-X8)/ABS(W8)*100,""),"")</f>
        <v/>
      </c>
      <c r="Z8" s="62" t="inlineStr">
        <is>
          <t>ND</t>
        </is>
      </c>
      <c r="AA8" s="64" t="n">
        <v>36.5</v>
      </c>
      <c r="AB8" s="64" t="n">
        <v>51.6</v>
      </c>
      <c r="AC8" s="65">
        <f>IFERROR(IF(AND(AA8&lt;&gt;"",AB8&lt;&gt;""),ABS(AA8-AB8)/ABS(AA8)*100,""),"")</f>
        <v/>
      </c>
      <c r="AD8" s="66" t="inlineStr">
        <is>
          <t>MANUAL FLAG</t>
        </is>
      </c>
      <c r="AE8" s="67" t="n">
        <v>1.816</v>
      </c>
      <c r="AF8" s="67" t="n"/>
      <c r="AG8" s="65">
        <f>IFERROR(IF(AND(AE8&lt;&gt;"",AF8&lt;&gt;""),ABS(AE8-AF8)/ABS(AE8)*100,""),"")</f>
        <v/>
      </c>
      <c r="AH8" s="62" t="inlineStr">
        <is>
          <t>Claude</t>
        </is>
      </c>
      <c r="AI8" s="67" t="n">
        <v>0.155</v>
      </c>
      <c r="AJ8" s="67" t="n"/>
      <c r="AK8" s="65">
        <f>IFERROR(IF(AND(AI8&lt;&gt;"",AJ8&lt;&gt;""),ABS(AI8-AJ8)/ABS(AI8)*100,""),"")</f>
        <v/>
      </c>
      <c r="AL8" s="62" t="inlineStr">
        <is>
          <t>Claude</t>
        </is>
      </c>
      <c r="AM8" s="67" t="n">
        <v>18.5</v>
      </c>
      <c r="AN8" s="67" t="n"/>
      <c r="AO8" s="65">
        <f>IFERROR(IF(AND(AM8&lt;&gt;"",AN8&lt;&gt;""),ABS(AM8-AN8)/ABS(AM8)*100,""),"")</f>
        <v/>
      </c>
      <c r="AP8" s="62" t="inlineStr">
        <is>
          <t>Claude</t>
        </is>
      </c>
      <c r="AQ8" s="67" t="n"/>
      <c r="AR8" s="67" t="n"/>
      <c r="AS8" s="65">
        <f>IFERROR(IF(AND(AQ8&lt;&gt;"",AR8&lt;&gt;""),ABS(AQ8-AR8)/ABS(AQ8)*100,""),"")</f>
        <v/>
      </c>
      <c r="AT8" s="62" t="inlineStr">
        <is>
          <t>ND</t>
        </is>
      </c>
      <c r="AU8" s="67" t="n"/>
      <c r="AV8" s="67" t="n">
        <v>12.5</v>
      </c>
      <c r="AW8" s="65">
        <f>IFERROR(IF(AND(AU8&lt;&gt;"",AV8&lt;&gt;""),ABS(AU8-AV8)/ABS(AU8)*100,""),"")</f>
        <v/>
      </c>
      <c r="AX8" s="62" t="inlineStr">
        <is>
          <t>DeepSeek</t>
        </is>
      </c>
      <c r="AY8" s="64" t="n">
        <v>59950000</v>
      </c>
      <c r="AZ8" s="64" t="n">
        <v>69432314</v>
      </c>
      <c r="BA8" s="65">
        <f>IFERROR(IF(AND(AY8&lt;&gt;"",AZ8&lt;&gt;""),ABS(AY8-AZ8)/ABS(AY8)*100,""),"")</f>
        <v/>
      </c>
      <c r="BB8" s="66" t="inlineStr">
        <is>
          <t>MANUAL FLAG</t>
        </is>
      </c>
      <c r="BC8" s="67" t="n"/>
      <c r="BD8" s="67" t="n"/>
      <c r="BE8" s="65">
        <f>IFERROR(IF(AND(BC8&lt;&gt;"",BD8&lt;&gt;""),ABS(BC8-BD8)/ABS(BC8)*100,""),"")</f>
        <v/>
      </c>
      <c r="BF8" s="62" t="inlineStr">
        <is>
          <t>ND</t>
        </is>
      </c>
      <c r="BG8" s="67" t="n">
        <v>132288</v>
      </c>
      <c r="BH8" s="67" t="n">
        <v>126326</v>
      </c>
      <c r="BI8" s="65">
        <f>IFERROR(IF(AND(BG8&lt;&gt;"",BH8&lt;&gt;""),ABS(BG8-BH8)/ABS(BG8)*100,""),"")</f>
        <v/>
      </c>
      <c r="BJ8" s="62" t="inlineStr">
        <is>
          <t>Claude</t>
        </is>
      </c>
      <c r="BK8" s="64" t="n">
        <v>20</v>
      </c>
      <c r="BL8" s="64" t="n">
        <v>18.8</v>
      </c>
      <c r="BM8" s="65">
        <f>IFERROR(IF(AND(BK8&lt;&gt;"",BL8&lt;&gt;""),ABS(BK8-BL8)/ABS(BK8)*100,""),"")</f>
        <v/>
      </c>
      <c r="BN8" s="66" t="inlineStr">
        <is>
          <t>MANUAL FLAG</t>
        </is>
      </c>
      <c r="BO8" s="67" t="n">
        <v>62</v>
      </c>
      <c r="BP8" s="67" t="n">
        <v>62</v>
      </c>
      <c r="BQ8" s="65">
        <f>IFERROR(IF(AND(BO8&lt;&gt;"",BP8&lt;&gt;""),ABS(BO8-BP8)/ABS(BO8)*100,""),"")</f>
        <v/>
      </c>
      <c r="BR8" s="62" t="inlineStr">
        <is>
          <t>Claude</t>
        </is>
      </c>
      <c r="BS8" s="67" t="n">
        <v>87</v>
      </c>
      <c r="BT8" s="67" t="n">
        <v>87</v>
      </c>
      <c r="BU8" s="65">
        <f>IFERROR(IF(AND(BS8&lt;&gt;"",BT8&lt;&gt;""),ABS(BS8-BT8)/ABS(BS8)*100,""),"")</f>
        <v/>
      </c>
      <c r="BV8" s="62" t="inlineStr">
        <is>
          <t>Claude</t>
        </is>
      </c>
      <c r="BW8" s="67" t="n">
        <v>100</v>
      </c>
      <c r="BX8" s="67" t="n">
        <v>100</v>
      </c>
      <c r="BY8" s="65">
        <f>IFERROR(IF(AND(BW8&lt;&gt;"",BX8&lt;&gt;""),ABS(BW8-BX8)/ABS(BW8)*100,""),"")</f>
        <v/>
      </c>
      <c r="BZ8" s="62" t="inlineStr">
        <is>
          <t>Claude</t>
        </is>
      </c>
      <c r="CA8" s="67" t="n"/>
      <c r="CB8" s="67" t="n"/>
      <c r="CC8" s="65">
        <f>IFERROR(IF(AND(CA8&lt;&gt;"",CB8&lt;&gt;""),ABS(CA8-CB8)/ABS(CA8)*100,""),"")</f>
        <v/>
      </c>
      <c r="CD8" s="62" t="inlineStr">
        <is>
          <t>ND</t>
        </is>
      </c>
      <c r="CE8" s="64" t="n">
        <v>6.4</v>
      </c>
      <c r="CF8" s="64" t="n">
        <v>14.3</v>
      </c>
      <c r="CG8" s="65">
        <f>IFERROR(IF(AND(CE8&lt;&gt;"",CF8&lt;&gt;""),ABS(CE8-CF8)/ABS(CE8)*100,""),"")</f>
        <v/>
      </c>
      <c r="CH8" s="66" t="inlineStr">
        <is>
          <t>MANUAL FLAG</t>
        </is>
      </c>
      <c r="CI8" s="64" t="n">
        <v>0.65</v>
      </c>
      <c r="CJ8" s="64" t="n">
        <v>1.2</v>
      </c>
      <c r="CK8" s="65">
        <f>IFERROR(IF(AND(CI8&lt;&gt;"",CJ8&lt;&gt;""),ABS(CI8-CJ8)/ABS(CI8)*100,""),"")</f>
        <v/>
      </c>
      <c r="CL8" s="66" t="inlineStr">
        <is>
          <t>MANUAL FLAG</t>
        </is>
      </c>
      <c r="CM8" s="67" t="n">
        <v>34.3</v>
      </c>
      <c r="CN8" s="67" t="n">
        <v>34.3</v>
      </c>
      <c r="CO8" s="65">
        <f>IFERROR(IF(AND(CM8&lt;&gt;"",CN8&lt;&gt;""),ABS(CM8-CN8)/ABS(CM8)*100,""),"")</f>
        <v/>
      </c>
      <c r="CP8" s="62" t="inlineStr">
        <is>
          <t>Claude</t>
        </is>
      </c>
      <c r="CQ8" s="67" t="n">
        <v>1.03</v>
      </c>
      <c r="CR8" s="67" t="n">
        <v>1.03</v>
      </c>
      <c r="CS8" s="65">
        <f>IFERROR(IF(AND(CQ8&lt;&gt;"",CR8&lt;&gt;""),ABS(CQ8-CR8)/ABS(CQ8)*100,""),"")</f>
        <v/>
      </c>
      <c r="CT8" s="62" t="inlineStr">
        <is>
          <t>Claude</t>
        </is>
      </c>
      <c r="CU8" s="67" t="n">
        <v>0</v>
      </c>
      <c r="CV8" s="67" t="n"/>
      <c r="CW8" s="65">
        <f>IFERROR(IF(AND(CU8&lt;&gt;"",CV8&lt;&gt;""),ABS(CU8-CV8)/ABS(CU8)*100,""),"")</f>
        <v/>
      </c>
      <c r="CX8" s="62" t="inlineStr">
        <is>
          <t>Claude</t>
        </is>
      </c>
      <c r="CY8" s="68" t="n">
        <v>0</v>
      </c>
      <c r="CZ8" s="68" t="n"/>
      <c r="DA8" s="65">
        <f>IFERROR(IF(AND(CY8&lt;&gt;"",CZ8&lt;&gt;""),ABS(CY8-CZ8)/ABS(CY8)*100,""),"")</f>
        <v/>
      </c>
      <c r="DB8" s="62" t="inlineStr">
        <is>
          <t>Claude</t>
        </is>
      </c>
      <c r="DC8" s="68" t="n"/>
      <c r="DD8" s="68" t="n"/>
      <c r="DE8" s="65">
        <f>IFERROR(IF(AND(DC8&lt;&gt;"",DD8&lt;&gt;""),ABS(DC8-DD8)/ABS(DC8)*100,""),"")</f>
        <v/>
      </c>
      <c r="DF8" s="62" t="inlineStr">
        <is>
          <t>ND</t>
        </is>
      </c>
      <c r="DG8" s="68" t="n"/>
      <c r="DH8" s="68" t="n"/>
      <c r="DI8" s="65">
        <f>IFERROR(IF(AND(DG8&lt;&gt;"",DH8&lt;&gt;""),ABS(DG8-DH8)/ABS(DG8)*100,""),"")</f>
        <v/>
      </c>
      <c r="DJ8" s="62" t="inlineStr">
        <is>
          <t>ND</t>
        </is>
      </c>
      <c r="DK8" s="68" t="n"/>
      <c r="DL8" s="68" t="n"/>
      <c r="DM8" s="65">
        <f>IFERROR(IF(AND(DK8&lt;&gt;"",DL8&lt;&gt;""),ABS(DK8-DL8)/ABS(DK8)*100,""),"")</f>
        <v/>
      </c>
      <c r="DN8" s="62" t="inlineStr">
        <is>
          <t>ND</t>
        </is>
      </c>
      <c r="DO8" s="68" t="n"/>
      <c r="DP8" s="68" t="n"/>
      <c r="DQ8" s="65">
        <f>IFERROR(IF(AND(DO8&lt;&gt;"",DP8&lt;&gt;""),ABS(DO8-DP8)/ABS(DO8)*100,""),"")</f>
        <v/>
      </c>
      <c r="DR8" s="62" t="inlineStr">
        <is>
          <t>ND</t>
        </is>
      </c>
      <c r="DS8" s="68" t="n"/>
      <c r="DT8" s="68" t="n"/>
      <c r="DU8" s="65">
        <f>IFERROR(IF(AND(DS8&lt;&gt;"",DT8&lt;&gt;""),ABS(DS8-DT8)/ABS(DS8)*100,""),"")</f>
        <v/>
      </c>
      <c r="DV8" s="62" t="inlineStr">
        <is>
          <t>ND</t>
        </is>
      </c>
      <c r="DW8" s="63" t="inlineStr">
        <is>
          <t>Claude only (DeepSeek pending). Source=most recent report (2025 ed., supersedes 2022 ed. for this year per user instruction). Ind.7/8 recalculated from headcount (117 disabled; 10 foreign)/total 6,442. Ind.9=18.5, PROXY: Coway's own '중급' (mid-tier) HR grade used as closest match to 'middle managers', not a standardized definition. Ind.21=0.65, PROXY: derived as residual (total turnover minus voluntary), not a report-named metric. Ind.10/11 (Female Executives/Board Directors) = ND per this report edition (no gender-split officer table found). || DEEPSEEK RECONCILIATION - MANUAL FLAGS: Ind.1 (Contract Workers%): Claude=2.58, DeepSeek=16.2, Diff=527.9%; Ind.2 (Female Permanent%): Claude=45.11, DeepSeek=33.8, Diff=25.1%; Ind.3 (Female Contract%): Claude=63.86, DeepSeek=58.1, Diff=9.0%; Ind.4 (New Hire Rate): Claude=6.63, DeepSeek=22.1, Diff=233.3%; Ind.6 (New Hires Female%): Claude=36.5, DeepSeek=51.6, Diff=41.4%; Ind.12 (Annual Pay): Claude=59950000, DeepSeek=69432314, Diff=15.8%; Ind.15 (Training Hours/Employee): Claude=20, DeepSeek=18.8, Diff=6.0%; Ind.20 (Voluntary Turnover): Claude=6.4, DeepSeek=14.3, Diff=123.4%; Ind.21 (Involuntary Turnover): Claude=0.65, DeepSeek=1.2, Diff=84.6%</t>
        </is>
      </c>
    </row>
    <row r="9" ht="15.75" customHeight="1" s="43">
      <c r="A9" s="69" t="n"/>
      <c r="B9" s="69" t="n"/>
      <c r="C9" s="69" t="inlineStr">
        <is>
          <t>Consumer Discretionary</t>
        </is>
      </c>
      <c r="D9" s="69" t="inlineStr">
        <is>
          <t>2023</t>
        </is>
      </c>
      <c r="E9" s="70" t="inlineStr">
        <is>
          <t>COWAY_2025.pdf</t>
        </is>
      </c>
      <c r="F9" s="69" t="n"/>
      <c r="G9" s="64" t="n">
        <v>3.11</v>
      </c>
      <c r="H9" s="64" t="n">
        <v>15.8</v>
      </c>
      <c r="I9" s="71">
        <f>IFERROR(IF(AND(G9&lt;&gt;"",H9&lt;&gt;""),ABS(G9-H9)/ABS(G9)*100,""),"")</f>
        <v/>
      </c>
      <c r="J9" s="66" t="inlineStr">
        <is>
          <t>MANUAL FLAG</t>
        </is>
      </c>
      <c r="K9" s="64" t="n">
        <v>43.84</v>
      </c>
      <c r="L9" s="64" t="n">
        <v>34.5</v>
      </c>
      <c r="M9" s="71">
        <f>IFERROR(IF(AND(K9&lt;&gt;"",L9&lt;&gt;""),ABS(K9-L9)/ABS(K9)*100,""),"")</f>
        <v/>
      </c>
      <c r="N9" s="66" t="inlineStr">
        <is>
          <t>MANUAL FLAG</t>
        </is>
      </c>
      <c r="O9" s="67" t="n">
        <v>60.51</v>
      </c>
      <c r="P9" s="67" t="n">
        <v>57.5</v>
      </c>
      <c r="Q9" s="71">
        <f>IFERROR(IF(AND(O9&lt;&gt;"",P9&lt;&gt;""),ABS(O9-P9)/ABS(O9)*100,""),"")</f>
        <v/>
      </c>
      <c r="R9" s="69" t="inlineStr">
        <is>
          <t>Claude</t>
        </is>
      </c>
      <c r="S9" s="64" t="n">
        <v>5.25</v>
      </c>
      <c r="T9" s="64" t="n">
        <v>20.6</v>
      </c>
      <c r="U9" s="71">
        <f>IFERROR(IF(AND(S9&lt;&gt;"",T9&lt;&gt;""),ABS(S9-T9)/ABS(S9)*100,""),"")</f>
        <v/>
      </c>
      <c r="V9" s="66" t="inlineStr">
        <is>
          <t>MANUAL FLAG</t>
        </is>
      </c>
      <c r="W9" s="67" t="n"/>
      <c r="X9" s="67" t="n"/>
      <c r="Y9" s="71">
        <f>IFERROR(IF(AND(W9&lt;&gt;"",X9&lt;&gt;""),ABS(W9-X9)/ABS(W9)*100,""),"")</f>
        <v/>
      </c>
      <c r="Z9" s="69" t="inlineStr">
        <is>
          <t>ND</t>
        </is>
      </c>
      <c r="AA9" s="64" t="n">
        <v>55.6</v>
      </c>
      <c r="AB9" s="64" t="n">
        <v>52.4</v>
      </c>
      <c r="AC9" s="71">
        <f>IFERROR(IF(AND(AA9&lt;&gt;"",AB9&lt;&gt;""),ABS(AA9-AB9)/ABS(AA9)*100,""),"")</f>
        <v/>
      </c>
      <c r="AD9" s="66" t="inlineStr">
        <is>
          <t>MANUAL FLAG</t>
        </is>
      </c>
      <c r="AE9" s="67" t="n">
        <v>2.2</v>
      </c>
      <c r="AF9" s="67" t="n"/>
      <c r="AG9" s="71">
        <f>IFERROR(IF(AND(AE9&lt;&gt;"",AF9&lt;&gt;""),ABS(AE9-AF9)/ABS(AE9)*100,""),"")</f>
        <v/>
      </c>
      <c r="AH9" s="69" t="inlineStr">
        <is>
          <t>Claude</t>
        </is>
      </c>
      <c r="AI9" s="67" t="n">
        <v>0.128</v>
      </c>
      <c r="AJ9" s="67" t="n"/>
      <c r="AK9" s="71">
        <f>IFERROR(IF(AND(AI9&lt;&gt;"",AJ9&lt;&gt;""),ABS(AI9-AJ9)/ABS(AI9)*100,""),"")</f>
        <v/>
      </c>
      <c r="AL9" s="69" t="inlineStr">
        <is>
          <t>Claude</t>
        </is>
      </c>
      <c r="AM9" s="67" t="n">
        <v>20</v>
      </c>
      <c r="AN9" s="67" t="n"/>
      <c r="AO9" s="71">
        <f>IFERROR(IF(AND(AM9&lt;&gt;"",AN9&lt;&gt;""),ABS(AM9-AN9)/ABS(AM9)*100,""),"")</f>
        <v/>
      </c>
      <c r="AP9" s="69" t="inlineStr">
        <is>
          <t>Claude</t>
        </is>
      </c>
      <c r="AQ9" s="67" t="n"/>
      <c r="AR9" s="67" t="n"/>
      <c r="AS9" s="71">
        <f>IFERROR(IF(AND(AQ9&lt;&gt;"",AR9&lt;&gt;""),ABS(AQ9-AR9)/ABS(AQ9)*100,""),"")</f>
        <v/>
      </c>
      <c r="AT9" s="69" t="inlineStr">
        <is>
          <t>ND</t>
        </is>
      </c>
      <c r="AU9" s="67" t="n"/>
      <c r="AV9" s="67" t="n">
        <v>14.3</v>
      </c>
      <c r="AW9" s="71">
        <f>IFERROR(IF(AND(AU9&lt;&gt;"",AV9&lt;&gt;""),ABS(AU9-AV9)/ABS(AU9)*100,""),"")</f>
        <v/>
      </c>
      <c r="AX9" s="69" t="inlineStr">
        <is>
          <t>DeepSeek</t>
        </is>
      </c>
      <c r="AY9" s="64" t="n">
        <v>63256000</v>
      </c>
      <c r="AZ9" s="64" t="n">
        <v>71835839</v>
      </c>
      <c r="BA9" s="71">
        <f>IFERROR(IF(AND(AY9&lt;&gt;"",AZ9&lt;&gt;""),ABS(AY9-AZ9)/ABS(AY9)*100,""),"")</f>
        <v/>
      </c>
      <c r="BB9" s="66" t="inlineStr">
        <is>
          <t>MANUAL FLAG</t>
        </is>
      </c>
      <c r="BC9" s="67" t="n"/>
      <c r="BD9" s="67" t="n"/>
      <c r="BE9" s="71">
        <f>IFERROR(IF(AND(BC9&lt;&gt;"",BD9&lt;&gt;""),ABS(BC9-BD9)/ABS(BC9)*100,""),"")</f>
        <v/>
      </c>
      <c r="BF9" s="69" t="inlineStr">
        <is>
          <t>ND</t>
        </is>
      </c>
      <c r="BG9" s="67" t="n">
        <v>147498</v>
      </c>
      <c r="BH9" s="67" t="n">
        <v>142231</v>
      </c>
      <c r="BI9" s="71">
        <f>IFERROR(IF(AND(BG9&lt;&gt;"",BH9&lt;&gt;""),ABS(BG9-BH9)/ABS(BG9)*100,""),"")</f>
        <v/>
      </c>
      <c r="BJ9" s="69" t="inlineStr">
        <is>
          <t>Claude</t>
        </is>
      </c>
      <c r="BK9" s="64" t="n">
        <v>21</v>
      </c>
      <c r="BL9" s="64" t="n">
        <v>19.8</v>
      </c>
      <c r="BM9" s="71">
        <f>IFERROR(IF(AND(BK9&lt;&gt;"",BL9&lt;&gt;""),ABS(BK9-BL9)/ABS(BK9)*100,""),"")</f>
        <v/>
      </c>
      <c r="BN9" s="66" t="inlineStr">
        <is>
          <t>MANUAL FLAG</t>
        </is>
      </c>
      <c r="BO9" s="67" t="n">
        <v>70</v>
      </c>
      <c r="BP9" s="67" t="n">
        <v>70</v>
      </c>
      <c r="BQ9" s="71">
        <f>IFERROR(IF(AND(BO9&lt;&gt;"",BP9&lt;&gt;""),ABS(BO9-BP9)/ABS(BO9)*100,""),"")</f>
        <v/>
      </c>
      <c r="BR9" s="69" t="inlineStr">
        <is>
          <t>Claude</t>
        </is>
      </c>
      <c r="BS9" s="67" t="n">
        <v>64</v>
      </c>
      <c r="BT9" s="67" t="n">
        <v>64</v>
      </c>
      <c r="BU9" s="71">
        <f>IFERROR(IF(AND(BS9&lt;&gt;"",BT9&lt;&gt;""),ABS(BS9-BT9)/ABS(BS9)*100,""),"")</f>
        <v/>
      </c>
      <c r="BV9" s="69" t="inlineStr">
        <is>
          <t>Claude</t>
        </is>
      </c>
      <c r="BW9" s="67" t="n">
        <v>98.5</v>
      </c>
      <c r="BX9" s="67" t="n">
        <v>98.5</v>
      </c>
      <c r="BY9" s="71">
        <f>IFERROR(IF(AND(BW9&lt;&gt;"",BX9&lt;&gt;""),ABS(BW9-BX9)/ABS(BW9)*100,""),"")</f>
        <v/>
      </c>
      <c r="BZ9" s="69" t="inlineStr">
        <is>
          <t>Claude</t>
        </is>
      </c>
      <c r="CA9" s="67" t="n"/>
      <c r="CB9" s="67" t="n"/>
      <c r="CC9" s="71">
        <f>IFERROR(IF(AND(CA9&lt;&gt;"",CB9&lt;&gt;""),ABS(CA9-CB9)/ABS(CA9)*100,""),"")</f>
        <v/>
      </c>
      <c r="CD9" s="69" t="inlineStr">
        <is>
          <t>ND</t>
        </is>
      </c>
      <c r="CE9" s="64" t="n">
        <v>4.7</v>
      </c>
      <c r="CF9" s="64" t="n">
        <v>18.2</v>
      </c>
      <c r="CG9" s="71">
        <f>IFERROR(IF(AND(CE9&lt;&gt;"",CF9&lt;&gt;""),ABS(CE9-CF9)/ABS(CE9)*100,""),"")</f>
        <v/>
      </c>
      <c r="CH9" s="66" t="inlineStr">
        <is>
          <t>MANUAL FLAG</t>
        </is>
      </c>
      <c r="CI9" s="64" t="n">
        <v>4.05</v>
      </c>
      <c r="CJ9" s="64" t="n">
        <v>1.2</v>
      </c>
      <c r="CK9" s="71">
        <f>IFERROR(IF(AND(CI9&lt;&gt;"",CJ9&lt;&gt;""),ABS(CI9-CJ9)/ABS(CI9)*100,""),"")</f>
        <v/>
      </c>
      <c r="CL9" s="66" t="inlineStr">
        <is>
          <t>MANUAL FLAG</t>
        </is>
      </c>
      <c r="CM9" s="67" t="n">
        <v>34.3</v>
      </c>
      <c r="CN9" s="67" t="n">
        <v>34.3</v>
      </c>
      <c r="CO9" s="71">
        <f>IFERROR(IF(AND(CM9&lt;&gt;"",CN9&lt;&gt;""),ABS(CM9-CN9)/ABS(CM9)*100,""),"")</f>
        <v/>
      </c>
      <c r="CP9" s="69" t="inlineStr">
        <is>
          <t>Claude</t>
        </is>
      </c>
      <c r="CQ9" s="67" t="n">
        <v>1.22</v>
      </c>
      <c r="CR9" s="67" t="n">
        <v>1.22</v>
      </c>
      <c r="CS9" s="71">
        <f>IFERROR(IF(AND(CQ9&lt;&gt;"",CR9&lt;&gt;""),ABS(CQ9-CR9)/ABS(CQ9)*100,""),"")</f>
        <v/>
      </c>
      <c r="CT9" s="69" t="inlineStr">
        <is>
          <t>Claude</t>
        </is>
      </c>
      <c r="CU9" s="67" t="n">
        <v>0</v>
      </c>
      <c r="CV9" s="67" t="n"/>
      <c r="CW9" s="71">
        <f>IFERROR(IF(AND(CU9&lt;&gt;"",CV9&lt;&gt;""),ABS(CU9-CV9)/ABS(CU9)*100,""),"")</f>
        <v/>
      </c>
      <c r="CX9" s="69" t="inlineStr">
        <is>
          <t>Claude</t>
        </is>
      </c>
      <c r="CY9" s="68" t="n">
        <v>0</v>
      </c>
      <c r="CZ9" s="68" t="n"/>
      <c r="DA9" s="71">
        <f>IFERROR(IF(AND(CY9&lt;&gt;"",CZ9&lt;&gt;""),ABS(CY9-CZ9)/ABS(CY9)*100,""),"")</f>
        <v/>
      </c>
      <c r="DB9" s="69" t="inlineStr">
        <is>
          <t>Claude</t>
        </is>
      </c>
      <c r="DC9" s="68" t="n"/>
      <c r="DD9" s="68" t="n"/>
      <c r="DE9" s="71">
        <f>IFERROR(IF(AND(DC9&lt;&gt;"",DD9&lt;&gt;""),ABS(DC9-DD9)/ABS(DC9)*100,""),"")</f>
        <v/>
      </c>
      <c r="DF9" s="69" t="inlineStr">
        <is>
          <t>ND</t>
        </is>
      </c>
      <c r="DG9" s="68" t="n"/>
      <c r="DH9" s="68" t="n"/>
      <c r="DI9" s="71">
        <f>IFERROR(IF(AND(DG9&lt;&gt;"",DH9&lt;&gt;""),ABS(DG9-DH9)/ABS(DG9)*100,""),"")</f>
        <v/>
      </c>
      <c r="DJ9" s="69" t="inlineStr">
        <is>
          <t>ND</t>
        </is>
      </c>
      <c r="DK9" s="68" t="n"/>
      <c r="DL9" s="68" t="n"/>
      <c r="DM9" s="71">
        <f>IFERROR(IF(AND(DK9&lt;&gt;"",DL9&lt;&gt;""),ABS(DK9-DL9)/ABS(DK9)*100,""),"")</f>
        <v/>
      </c>
      <c r="DN9" s="69" t="inlineStr">
        <is>
          <t>ND</t>
        </is>
      </c>
      <c r="DO9" s="68" t="n"/>
      <c r="DP9" s="68" t="n"/>
      <c r="DQ9" s="71">
        <f>IFERROR(IF(AND(DO9&lt;&gt;"",DP9&lt;&gt;""),ABS(DO9-DP9)/ABS(DO9)*100,""),"")</f>
        <v/>
      </c>
      <c r="DR9" s="69" t="inlineStr">
        <is>
          <t>ND</t>
        </is>
      </c>
      <c r="DS9" s="68" t="n"/>
      <c r="DT9" s="68" t="n"/>
      <c r="DU9" s="71">
        <f>IFERROR(IF(AND(DS9&lt;&gt;"",DT9&lt;&gt;""),ABS(DS9-DT9)/ABS(DS9)*100,""),"")</f>
        <v/>
      </c>
      <c r="DV9" s="69" t="inlineStr">
        <is>
          <t>ND</t>
        </is>
      </c>
      <c r="DW9" s="70" t="inlineStr">
        <is>
          <t>Claude only (DeepSeek pending). Source=2025 report ed. Ind.7/8 recalculated from headcount (138 disabled; 8 foreign)/total 6,272. Ind.9=20.0 PROXY (see 2022 note). Ind.21=4.05 PROXY (see 2022 note). Ind.10/11 = ND. || DEEPSEEK RECONCILIATION - MANUAL FLAGS: Ind.1 (Contract Workers%): Claude=3.11, DeepSeek=15.8, Diff=408.0%; Ind.2 (Female Permanent%): Claude=43.84, DeepSeek=34.5, Diff=21.3%; Ind.4 (New Hire Rate): Claude=5.25, DeepSeek=20.6, Diff=292.4%; Ind.6 (New Hires Female%): Claude=55.6, DeepSeek=52.4, Diff=5.8%; Ind.12 (Annual Pay): Claude=63256000, DeepSeek=71835839, Diff=13.6%; Ind.15 (Training Hours/Employee): Claude=21, DeepSeek=19.8, Diff=5.7%; Ind.20 (Voluntary Turnover): Claude=4.7, DeepSeek=18.2, Diff=287.2%; Ind.21 (Involuntary Turnover): Claude=4.05, DeepSeek=1.2, Diff=70.4%</t>
        </is>
      </c>
    </row>
    <row r="10" ht="15.75" customHeight="1" s="43">
      <c r="A10" s="62" t="n"/>
      <c r="B10" s="62" t="n"/>
      <c r="C10" s="62" t="inlineStr">
        <is>
          <t>Consumer Discretionary</t>
        </is>
      </c>
      <c r="D10" s="62" t="inlineStr">
        <is>
          <t>2024</t>
        </is>
      </c>
      <c r="E10" s="63" t="inlineStr">
        <is>
          <t>COWAY_2025.pdf</t>
        </is>
      </c>
      <c r="F10" s="62" t="n"/>
      <c r="G10" s="64" t="n">
        <v>4.35</v>
      </c>
      <c r="H10" s="64" t="n">
        <v>15.5</v>
      </c>
      <c r="I10" s="65">
        <f>IFERROR(IF(AND(G10&lt;&gt;"",H10&lt;&gt;""),ABS(G10-H10)/ABS(G10)*100,""),"")</f>
        <v/>
      </c>
      <c r="J10" s="66" t="inlineStr">
        <is>
          <t>MANUAL FLAG</t>
        </is>
      </c>
      <c r="K10" s="64" t="n">
        <v>43.24</v>
      </c>
      <c r="L10" s="64" t="n">
        <v>34.6</v>
      </c>
      <c r="M10" s="65">
        <f>IFERROR(IF(AND(K10&lt;&gt;"",L10&lt;&gt;""),ABS(K10-L10)/ABS(K10)*100,""),"")</f>
        <v/>
      </c>
      <c r="N10" s="66" t="inlineStr">
        <is>
          <t>MANUAL FLAG</t>
        </is>
      </c>
      <c r="O10" s="64" t="n">
        <v>53.11</v>
      </c>
      <c r="P10" s="64" t="n">
        <v>57.4</v>
      </c>
      <c r="Q10" s="65">
        <f>IFERROR(IF(AND(O10&lt;&gt;"",P10&lt;&gt;""),ABS(O10-P10)/ABS(O10)*100,""),"")</f>
        <v/>
      </c>
      <c r="R10" s="66" t="inlineStr">
        <is>
          <t>MANUAL FLAG</t>
        </is>
      </c>
      <c r="S10" s="64" t="n">
        <v>8.18</v>
      </c>
      <c r="T10" s="64" t="n">
        <v>19.5</v>
      </c>
      <c r="U10" s="65">
        <f>IFERROR(IF(AND(S10&lt;&gt;"",T10&lt;&gt;""),ABS(S10-T10)/ABS(S10)*100,""),"")</f>
        <v/>
      </c>
      <c r="V10" s="66" t="inlineStr">
        <is>
          <t>MANUAL FLAG</t>
        </is>
      </c>
      <c r="W10" s="67" t="n"/>
      <c r="X10" s="67" t="n"/>
      <c r="Y10" s="65">
        <f>IFERROR(IF(AND(W10&lt;&gt;"",X10&lt;&gt;""),ABS(W10-X10)/ABS(W10)*100,""),"")</f>
        <v/>
      </c>
      <c r="Z10" s="62" t="inlineStr">
        <is>
          <t>ND</t>
        </is>
      </c>
      <c r="AA10" s="64" t="n">
        <v>43.8</v>
      </c>
      <c r="AB10" s="64" t="n">
        <v>51.5</v>
      </c>
      <c r="AC10" s="65">
        <f>IFERROR(IF(AND(AA10&lt;&gt;"",AB10&lt;&gt;""),ABS(AA10-AB10)/ABS(AA10)*100,""),"")</f>
        <v/>
      </c>
      <c r="AD10" s="66" t="inlineStr">
        <is>
          <t>MANUAL FLAG</t>
        </is>
      </c>
      <c r="AE10" s="67" t="n">
        <v>1.958</v>
      </c>
      <c r="AF10" s="67" t="n"/>
      <c r="AG10" s="65">
        <f>IFERROR(IF(AND(AE10&lt;&gt;"",AF10&lt;&gt;""),ABS(AE10-AF10)/ABS(AE10)*100,""),"")</f>
        <v/>
      </c>
      <c r="AH10" s="62" t="inlineStr">
        <is>
          <t>Claude</t>
        </is>
      </c>
      <c r="AI10" s="67" t="n">
        <v>0.127</v>
      </c>
      <c r="AJ10" s="67" t="n"/>
      <c r="AK10" s="65">
        <f>IFERROR(IF(AND(AI10&lt;&gt;"",AJ10&lt;&gt;""),ABS(AI10-AJ10)/ABS(AI10)*100,""),"")</f>
        <v/>
      </c>
      <c r="AL10" s="62" t="inlineStr">
        <is>
          <t>Claude</t>
        </is>
      </c>
      <c r="AM10" s="67" t="n">
        <v>23.2</v>
      </c>
      <c r="AN10" s="67" t="n"/>
      <c r="AO10" s="65">
        <f>IFERROR(IF(AND(AM10&lt;&gt;"",AN10&lt;&gt;""),ABS(AM10-AN10)/ABS(AM10)*100,""),"")</f>
        <v/>
      </c>
      <c r="AP10" s="62" t="inlineStr">
        <is>
          <t>Claude</t>
        </is>
      </c>
      <c r="AQ10" s="67" t="n"/>
      <c r="AR10" s="67" t="n"/>
      <c r="AS10" s="65">
        <f>IFERROR(IF(AND(AQ10&lt;&gt;"",AR10&lt;&gt;""),ABS(AQ10-AR10)/ABS(AQ10)*100,""),"")</f>
        <v/>
      </c>
      <c r="AT10" s="62" t="inlineStr">
        <is>
          <t>ND</t>
        </is>
      </c>
      <c r="AU10" s="67" t="n"/>
      <c r="AV10" s="67" t="n">
        <v>14.3</v>
      </c>
      <c r="AW10" s="65">
        <f>IFERROR(IF(AND(AU10&lt;&gt;"",AV10&lt;&gt;""),ABS(AU10-AV10)/ABS(AU10)*100,""),"")</f>
        <v/>
      </c>
      <c r="AX10" s="62" t="inlineStr">
        <is>
          <t>DeepSeek</t>
        </is>
      </c>
      <c r="AY10" s="64" t="n">
        <v>64033000</v>
      </c>
      <c r="AZ10" s="64" t="n">
        <v>73877729</v>
      </c>
      <c r="BA10" s="65">
        <f>IFERROR(IF(AND(AY10&lt;&gt;"",AZ10&lt;&gt;""),ABS(AY10-AZ10)/ABS(AY10)*100,""),"")</f>
        <v/>
      </c>
      <c r="BB10" s="66" t="inlineStr">
        <is>
          <t>MANUAL FLAG</t>
        </is>
      </c>
      <c r="BC10" s="67" t="n"/>
      <c r="BD10" s="67" t="n"/>
      <c r="BE10" s="65">
        <f>IFERROR(IF(AND(BC10&lt;&gt;"",BD10&lt;&gt;""),ABS(BC10-BD10)/ABS(BC10)*100,""),"")</f>
        <v/>
      </c>
      <c r="BF10" s="62" t="inlineStr">
        <is>
          <t>ND</t>
        </is>
      </c>
      <c r="BG10" s="67" t="n">
        <v>148248</v>
      </c>
      <c r="BH10" s="67" t="n">
        <v>142701</v>
      </c>
      <c r="BI10" s="65">
        <f>IFERROR(IF(AND(BG10&lt;&gt;"",BH10&lt;&gt;""),ABS(BG10-BH10)/ABS(BG10)*100,""),"")</f>
        <v/>
      </c>
      <c r="BJ10" s="62" t="inlineStr">
        <is>
          <t>Claude</t>
        </is>
      </c>
      <c r="BK10" s="67" t="n">
        <v>20</v>
      </c>
      <c r="BL10" s="67" t="n">
        <v>19.6</v>
      </c>
      <c r="BM10" s="65">
        <f>IFERROR(IF(AND(BK10&lt;&gt;"",BL10&lt;&gt;""),ABS(BK10-BL10)/ABS(BK10)*100,""),"")</f>
        <v/>
      </c>
      <c r="BN10" s="62" t="inlineStr">
        <is>
          <t>Claude</t>
        </is>
      </c>
      <c r="BO10" s="67" t="n">
        <v>65</v>
      </c>
      <c r="BP10" s="67" t="n">
        <v>65</v>
      </c>
      <c r="BQ10" s="65">
        <f>IFERROR(IF(AND(BO10&lt;&gt;"",BP10&lt;&gt;""),ABS(BO10-BP10)/ABS(BO10)*100,""),"")</f>
        <v/>
      </c>
      <c r="BR10" s="62" t="inlineStr">
        <is>
          <t>Claude</t>
        </is>
      </c>
      <c r="BS10" s="67" t="n">
        <v>77</v>
      </c>
      <c r="BT10" s="67" t="n">
        <v>77</v>
      </c>
      <c r="BU10" s="65">
        <f>IFERROR(IF(AND(BS10&lt;&gt;"",BT10&lt;&gt;""),ABS(BS10-BT10)/ABS(BS10)*100,""),"")</f>
        <v/>
      </c>
      <c r="BV10" s="62" t="inlineStr">
        <is>
          <t>Claude</t>
        </is>
      </c>
      <c r="BW10" s="67" t="n">
        <v>98</v>
      </c>
      <c r="BX10" s="67" t="n">
        <v>98</v>
      </c>
      <c r="BY10" s="65">
        <f>IFERROR(IF(AND(BW10&lt;&gt;"",BX10&lt;&gt;""),ABS(BW10-BX10)/ABS(BW10)*100,""),"")</f>
        <v/>
      </c>
      <c r="BZ10" s="62" t="inlineStr">
        <is>
          <t>Claude</t>
        </is>
      </c>
      <c r="CA10" s="67" t="n"/>
      <c r="CB10" s="67" t="n"/>
      <c r="CC10" s="65">
        <f>IFERROR(IF(AND(CA10&lt;&gt;"",CB10&lt;&gt;""),ABS(CA10-CB10)/ABS(CA10)*100,""),"")</f>
        <v/>
      </c>
      <c r="CD10" s="62" t="inlineStr">
        <is>
          <t>ND</t>
        </is>
      </c>
      <c r="CE10" s="64" t="n">
        <v>4.9</v>
      </c>
      <c r="CF10" s="64" t="n">
        <v>18.4</v>
      </c>
      <c r="CG10" s="65">
        <f>IFERROR(IF(AND(CE10&lt;&gt;"",CF10&lt;&gt;""),ABS(CE10-CF10)/ABS(CE10)*100,""),"")</f>
        <v/>
      </c>
      <c r="CH10" s="66" t="inlineStr">
        <is>
          <t>MANUAL FLAG</t>
        </is>
      </c>
      <c r="CI10" s="64" t="n">
        <v>3.28</v>
      </c>
      <c r="CJ10" s="64" t="n">
        <v>1.3</v>
      </c>
      <c r="CK10" s="65">
        <f>IFERROR(IF(AND(CI10&lt;&gt;"",CJ10&lt;&gt;""),ABS(CI10-CJ10)/ABS(CI10)*100,""),"")</f>
        <v/>
      </c>
      <c r="CL10" s="66" t="inlineStr">
        <is>
          <t>MANUAL FLAG</t>
        </is>
      </c>
      <c r="CM10" s="67" t="n">
        <v>33.6</v>
      </c>
      <c r="CN10" s="67" t="n">
        <v>33.6</v>
      </c>
      <c r="CO10" s="65">
        <f>IFERROR(IF(AND(CM10&lt;&gt;"",CN10&lt;&gt;""),ABS(CM10-CN10)/ABS(CM10)*100,""),"")</f>
        <v/>
      </c>
      <c r="CP10" s="62" t="inlineStr">
        <is>
          <t>Claude</t>
        </is>
      </c>
      <c r="CQ10" s="67" t="n">
        <v>1.06</v>
      </c>
      <c r="CR10" s="67" t="n">
        <v>1.06</v>
      </c>
      <c r="CS10" s="65">
        <f>IFERROR(IF(AND(CQ10&lt;&gt;"",CR10&lt;&gt;""),ABS(CQ10-CR10)/ABS(CQ10)*100,""),"")</f>
        <v/>
      </c>
      <c r="CT10" s="62" t="inlineStr">
        <is>
          <t>Claude</t>
        </is>
      </c>
      <c r="CU10" s="67" t="n">
        <v>0</v>
      </c>
      <c r="CV10" s="67" t="n"/>
      <c r="CW10" s="65">
        <f>IFERROR(IF(AND(CU10&lt;&gt;"",CV10&lt;&gt;""),ABS(CU10-CV10)/ABS(CU10)*100,""),"")</f>
        <v/>
      </c>
      <c r="CX10" s="62" t="inlineStr">
        <is>
          <t>Claude</t>
        </is>
      </c>
      <c r="CY10" s="68" t="n">
        <v>0</v>
      </c>
      <c r="CZ10" s="68" t="n"/>
      <c r="DA10" s="65">
        <f>IFERROR(IF(AND(CY10&lt;&gt;"",CZ10&lt;&gt;""),ABS(CY10-CZ10)/ABS(CY10)*100,""),"")</f>
        <v/>
      </c>
      <c r="DB10" s="62" t="inlineStr">
        <is>
          <t>Claude</t>
        </is>
      </c>
      <c r="DC10" s="68" t="n"/>
      <c r="DD10" s="68" t="n"/>
      <c r="DE10" s="65">
        <f>IFERROR(IF(AND(DC10&lt;&gt;"",DD10&lt;&gt;""),ABS(DC10-DD10)/ABS(DC10)*100,""),"")</f>
        <v/>
      </c>
      <c r="DF10" s="62" t="inlineStr">
        <is>
          <t>ND</t>
        </is>
      </c>
      <c r="DG10" s="68" t="n"/>
      <c r="DH10" s="68" t="n"/>
      <c r="DI10" s="65">
        <f>IFERROR(IF(AND(DG10&lt;&gt;"",DH10&lt;&gt;""),ABS(DG10-DH10)/ABS(DG10)*100,""),"")</f>
        <v/>
      </c>
      <c r="DJ10" s="62" t="inlineStr">
        <is>
          <t>ND</t>
        </is>
      </c>
      <c r="DK10" s="68" t="n"/>
      <c r="DL10" s="68" t="n"/>
      <c r="DM10" s="65">
        <f>IFERROR(IF(AND(DK10&lt;&gt;"",DL10&lt;&gt;""),ABS(DK10-DL10)/ABS(DK10)*100,""),"")</f>
        <v/>
      </c>
      <c r="DN10" s="62" t="inlineStr">
        <is>
          <t>ND</t>
        </is>
      </c>
      <c r="DO10" s="68" t="n"/>
      <c r="DP10" s="68" t="n"/>
      <c r="DQ10" s="65">
        <f>IFERROR(IF(AND(DO10&lt;&gt;"",DP10&lt;&gt;""),ABS(DO10-DP10)/ABS(DO10)*100,""),"")</f>
        <v/>
      </c>
      <c r="DR10" s="62" t="inlineStr">
        <is>
          <t>ND</t>
        </is>
      </c>
      <c r="DS10" s="68" t="n"/>
      <c r="DT10" s="68" t="n"/>
      <c r="DU10" s="65">
        <f>IFERROR(IF(AND(DS10&lt;&gt;"",DT10&lt;&gt;""),ABS(DS10-DT10)/ABS(DS10)*100,""),"")</f>
        <v/>
      </c>
      <c r="DV10" s="62" t="inlineStr">
        <is>
          <t>ND</t>
        </is>
      </c>
      <c r="DW10" s="63" t="inlineStr">
        <is>
          <t>Claude only (DeepSeek pending). Source=2025 report ed. Ind.7/8 recalculated from headcount (123 disabled; 8 foreign)/total 6,282. Ind.9=23.2 PROXY (see 2022 note). Ind.21=3.28 PROXY (see 2022 note). Ind.10/11 = ND. || DEEPSEEK RECONCILIATION - MANUAL FLAGS: Ind.1 (Contract Workers%): Claude=4.35, DeepSeek=15.5, Diff=256.3%; Ind.2 (Female Permanent%): Claude=43.24, DeepSeek=34.6, Diff=20.0%; Ind.3 (Female Contract%): Claude=53.11, DeepSeek=57.4, Diff=8.1%; Ind.4 (New Hire Rate): Claude=8.18, DeepSeek=19.5, Diff=138.4%; Ind.6 (New Hires Female%): Claude=43.8, DeepSeek=51.5, Diff=17.6%; Ind.12 (Annual Pay): Claude=64033000, DeepSeek=73877729, Diff=15.4%; Ind.20 (Voluntary Turnover): Claude=4.9, DeepSeek=18.4, Diff=275.5%; Ind.21 (Involuntary Turnover): Claude=3.28, DeepSeek=1.3, Diff=60.4%</t>
        </is>
      </c>
    </row>
    <row r="11" ht="4.5" customHeight="1" s="43">
      <c r="A11" s="72" t="n"/>
      <c r="B11" s="72" t="n"/>
      <c r="C11" s="72" t="n"/>
      <c r="D11" s="72" t="n"/>
      <c r="E11" s="72" t="n"/>
      <c r="F11" s="72" t="n"/>
      <c r="G11" s="72" t="n"/>
      <c r="H11" s="72" t="n"/>
      <c r="I11" s="72" t="n"/>
      <c r="J11" s="72" t="n"/>
      <c r="K11" s="72" t="n"/>
      <c r="L11" s="72" t="n"/>
      <c r="M11" s="72" t="n"/>
      <c r="N11" s="72" t="n"/>
      <c r="O11" s="72" t="n"/>
      <c r="P11" s="72" t="n"/>
      <c r="Q11" s="72" t="n"/>
      <c r="R11" s="72" t="n"/>
      <c r="S11" s="72" t="n"/>
      <c r="T11" s="72" t="n"/>
      <c r="U11" s="72" t="n"/>
      <c r="V11" s="72" t="n"/>
      <c r="W11" s="72" t="n"/>
      <c r="X11" s="72" t="n"/>
      <c r="Y11" s="72" t="n"/>
      <c r="Z11" s="72" t="n"/>
      <c r="AA11" s="72" t="n"/>
      <c r="AB11" s="72" t="n"/>
      <c r="AC11" s="72" t="n"/>
      <c r="AD11" s="72" t="n"/>
      <c r="AE11" s="72" t="n"/>
      <c r="AF11" s="72" t="n"/>
      <c r="AG11" s="72" t="n"/>
      <c r="AH11" s="72" t="n"/>
      <c r="AI11" s="72" t="n"/>
      <c r="AJ11" s="72" t="n"/>
      <c r="AK11" s="72" t="n"/>
      <c r="AL11" s="72" t="n"/>
      <c r="AM11" s="72" t="n"/>
      <c r="AN11" s="72" t="n"/>
      <c r="AO11" s="72" t="n"/>
      <c r="AP11" s="72" t="n"/>
      <c r="AQ11" s="72" t="n"/>
      <c r="AR11" s="72" t="n"/>
      <c r="AS11" s="72" t="n"/>
      <c r="AT11" s="72" t="n"/>
      <c r="AU11" s="72" t="n"/>
      <c r="AV11" s="72" t="n"/>
      <c r="AW11" s="72" t="n"/>
      <c r="AX11" s="72" t="n"/>
      <c r="AY11" s="72" t="n"/>
      <c r="AZ11" s="72" t="n"/>
      <c r="BA11" s="72" t="n"/>
      <c r="BB11" s="72" t="n"/>
      <c r="BC11" s="72" t="n"/>
      <c r="BD11" s="72" t="n"/>
      <c r="BE11" s="72" t="n"/>
      <c r="BF11" s="72" t="n"/>
      <c r="BG11" s="72" t="n"/>
      <c r="BH11" s="72" t="n"/>
      <c r="BI11" s="72" t="n"/>
      <c r="BJ11" s="72" t="n"/>
      <c r="BK11" s="72" t="n"/>
      <c r="BL11" s="72" t="n"/>
      <c r="BM11" s="72" t="n"/>
      <c r="BN11" s="72" t="n"/>
      <c r="BO11" s="72" t="n"/>
      <c r="BP11" s="72" t="n"/>
      <c r="BQ11" s="72" t="n"/>
      <c r="BR11" s="72" t="n"/>
      <c r="BS11" s="72" t="n"/>
      <c r="BT11" s="72" t="n"/>
      <c r="BU11" s="72" t="n"/>
      <c r="BV11" s="72" t="n"/>
      <c r="BW11" s="72" t="n"/>
      <c r="BX11" s="72" t="n"/>
      <c r="BY11" s="72" t="n"/>
      <c r="BZ11" s="72" t="n"/>
      <c r="CA11" s="72" t="n"/>
      <c r="CB11" s="72" t="n"/>
      <c r="CC11" s="72" t="n"/>
      <c r="CD11" s="72" t="n"/>
      <c r="CE11" s="72" t="n"/>
      <c r="CF11" s="72" t="n"/>
      <c r="CG11" s="72" t="n"/>
      <c r="CH11" s="72" t="n"/>
      <c r="CI11" s="72" t="n"/>
      <c r="CJ11" s="72" t="n"/>
      <c r="CK11" s="72" t="n"/>
      <c r="CL11" s="72" t="n"/>
      <c r="CM11" s="72" t="n"/>
      <c r="CN11" s="72" t="n"/>
      <c r="CO11" s="72" t="n"/>
      <c r="CP11" s="72" t="n"/>
      <c r="CQ11" s="72" t="n"/>
      <c r="CR11" s="72" t="n"/>
      <c r="CS11" s="72" t="n"/>
      <c r="CT11" s="72" t="n"/>
      <c r="CU11" s="72" t="n"/>
      <c r="CV11" s="72" t="n"/>
      <c r="CW11" s="72" t="n"/>
      <c r="CX11" s="72" t="n"/>
      <c r="CY11" s="72" t="n"/>
      <c r="CZ11" s="72" t="n"/>
      <c r="DA11" s="72" t="n"/>
      <c r="DB11" s="72" t="n"/>
      <c r="DC11" s="72" t="n"/>
      <c r="DD11" s="72" t="n"/>
      <c r="DE11" s="72" t="n"/>
      <c r="DF11" s="72" t="n"/>
      <c r="DG11" s="72" t="n"/>
      <c r="DH11" s="72" t="n"/>
      <c r="DI11" s="72" t="n"/>
      <c r="DJ11" s="72" t="n"/>
      <c r="DK11" s="72" t="n"/>
      <c r="DL11" s="72" t="n"/>
      <c r="DM11" s="72" t="n"/>
      <c r="DN11" s="72" t="n"/>
      <c r="DO11" s="72" t="n"/>
      <c r="DP11" s="72" t="n"/>
      <c r="DQ11" s="72" t="n"/>
      <c r="DR11" s="72" t="n"/>
      <c r="DS11" s="72" t="n"/>
      <c r="DT11" s="72" t="n"/>
      <c r="DU11" s="72" t="n"/>
      <c r="DV11" s="72" t="n"/>
      <c r="DW11" s="72" t="n"/>
    </row>
    <row r="12" ht="15.75" customHeight="1" s="43">
      <c r="A12" s="73" t="inlineStr">
        <is>
          <t>YUHAN</t>
        </is>
      </c>
      <c r="B12" s="69" t="inlineStr">
        <is>
          <t>000100</t>
        </is>
      </c>
      <c r="C12" s="69" t="inlineStr">
        <is>
          <t>Health Care</t>
        </is>
      </c>
      <c r="D12" s="69" t="inlineStr">
        <is>
          <t>2018</t>
        </is>
      </c>
      <c r="E12" s="70" t="inlineStr">
        <is>
          <t>No data disclosed in either Yuhan report batch (2021-22 ed. window starts 2019; 2024-25 ed. window starts 2022)</t>
        </is>
      </c>
      <c r="F12" s="69" t="n"/>
      <c r="G12" s="67" t="n"/>
      <c r="H12" s="67" t="n"/>
      <c r="I12" s="71">
        <f>IFERROR(IF(AND(G12&lt;&gt;"",H12&lt;&gt;""),ABS(G12-H12)/ABS(G12)*100,""),"")</f>
        <v/>
      </c>
      <c r="J12" s="69" t="inlineStr">
        <is>
          <t>ND</t>
        </is>
      </c>
      <c r="K12" s="67" t="n"/>
      <c r="L12" s="67" t="n"/>
      <c r="M12" s="71">
        <f>IFERROR(IF(AND(K12&lt;&gt;"",L12&lt;&gt;""),ABS(K12-L12)/ABS(K12)*100,""),"")</f>
        <v/>
      </c>
      <c r="N12" s="69" t="inlineStr">
        <is>
          <t>ND</t>
        </is>
      </c>
      <c r="O12" s="67" t="n"/>
      <c r="P12" s="67" t="n"/>
      <c r="Q12" s="71">
        <f>IFERROR(IF(AND(O12&lt;&gt;"",P12&lt;&gt;""),ABS(O12-P12)/ABS(O12)*100,""),"")</f>
        <v/>
      </c>
      <c r="R12" s="69" t="inlineStr">
        <is>
          <t>ND</t>
        </is>
      </c>
      <c r="S12" s="67" t="n"/>
      <c r="T12" s="67" t="n"/>
      <c r="U12" s="71">
        <f>IFERROR(IF(AND(S12&lt;&gt;"",T12&lt;&gt;""),ABS(S12-T12)/ABS(S12)*100,""),"")</f>
        <v/>
      </c>
      <c r="V12" s="69" t="inlineStr">
        <is>
          <t>ND</t>
        </is>
      </c>
      <c r="W12" s="67" t="n"/>
      <c r="X12" s="67" t="n"/>
      <c r="Y12" s="71">
        <f>IFERROR(IF(AND(W12&lt;&gt;"",X12&lt;&gt;""),ABS(W12-X12)/ABS(W12)*100,""),"")</f>
        <v/>
      </c>
      <c r="Z12" s="69" t="inlineStr">
        <is>
          <t>ND</t>
        </is>
      </c>
      <c r="AA12" s="67" t="n"/>
      <c r="AB12" s="67" t="n"/>
      <c r="AC12" s="71">
        <f>IFERROR(IF(AND(AA12&lt;&gt;"",AB12&lt;&gt;""),ABS(AA12-AB12)/ABS(AA12)*100,""),"")</f>
        <v/>
      </c>
      <c r="AD12" s="69" t="inlineStr">
        <is>
          <t>ND</t>
        </is>
      </c>
      <c r="AE12" s="67" t="n"/>
      <c r="AF12" s="67" t="n"/>
      <c r="AG12" s="71">
        <f>IFERROR(IF(AND(AE12&lt;&gt;"",AF12&lt;&gt;""),ABS(AE12-AF12)/ABS(AE12)*100,""),"")</f>
        <v/>
      </c>
      <c r="AH12" s="69" t="inlineStr">
        <is>
          <t>ND</t>
        </is>
      </c>
      <c r="AI12" s="67" t="n"/>
      <c r="AJ12" s="67" t="n"/>
      <c r="AK12" s="71">
        <f>IFERROR(IF(AND(AI12&lt;&gt;"",AJ12&lt;&gt;""),ABS(AI12-AJ12)/ABS(AI12)*100,""),"")</f>
        <v/>
      </c>
      <c r="AL12" s="69" t="inlineStr">
        <is>
          <t>ND</t>
        </is>
      </c>
      <c r="AM12" s="67" t="n"/>
      <c r="AN12" s="67" t="n"/>
      <c r="AO12" s="71">
        <f>IFERROR(IF(AND(AM12&lt;&gt;"",AN12&lt;&gt;""),ABS(AM12-AN12)/ABS(AM12)*100,""),"")</f>
        <v/>
      </c>
      <c r="AP12" s="69" t="inlineStr">
        <is>
          <t>ND</t>
        </is>
      </c>
      <c r="AQ12" s="67" t="n"/>
      <c r="AR12" s="67" t="n"/>
      <c r="AS12" s="71">
        <f>IFERROR(IF(AND(AQ12&lt;&gt;"",AR12&lt;&gt;""),ABS(AQ12-AR12)/ABS(AQ12)*100,""),"")</f>
        <v/>
      </c>
      <c r="AT12" s="69" t="inlineStr">
        <is>
          <t>ND</t>
        </is>
      </c>
      <c r="AU12" s="67" t="n"/>
      <c r="AV12" s="67" t="n"/>
      <c r="AW12" s="71">
        <f>IFERROR(IF(AND(AU12&lt;&gt;"",AV12&lt;&gt;""),ABS(AU12-AV12)/ABS(AU12)*100,""),"")</f>
        <v/>
      </c>
      <c r="AX12" s="69" t="inlineStr">
        <is>
          <t>ND</t>
        </is>
      </c>
      <c r="AY12" s="67" t="n"/>
      <c r="AZ12" s="67" t="n"/>
      <c r="BA12" s="71">
        <f>IFERROR(IF(AND(AY12&lt;&gt;"",AZ12&lt;&gt;""),ABS(AY12-AZ12)/ABS(AY12)*100,""),"")</f>
        <v/>
      </c>
      <c r="BB12" s="69" t="inlineStr">
        <is>
          <t>ND</t>
        </is>
      </c>
      <c r="BC12" s="67" t="n"/>
      <c r="BD12" s="67" t="n"/>
      <c r="BE12" s="71">
        <f>IFERROR(IF(AND(BC12&lt;&gt;"",BD12&lt;&gt;""),ABS(BC12-BD12)/ABS(BC12)*100,""),"")</f>
        <v/>
      </c>
      <c r="BF12" s="69" t="inlineStr">
        <is>
          <t>ND</t>
        </is>
      </c>
      <c r="BG12" s="67" t="n"/>
      <c r="BH12" s="67" t="n"/>
      <c r="BI12" s="71">
        <f>IFERROR(IF(AND(BG12&lt;&gt;"",BH12&lt;&gt;""),ABS(BG12-BH12)/ABS(BG12)*100,""),"")</f>
        <v/>
      </c>
      <c r="BJ12" s="69" t="inlineStr">
        <is>
          <t>ND</t>
        </is>
      </c>
      <c r="BK12" s="67" t="n"/>
      <c r="BL12" s="67" t="n"/>
      <c r="BM12" s="71">
        <f>IFERROR(IF(AND(BK12&lt;&gt;"",BL12&lt;&gt;""),ABS(BK12-BL12)/ABS(BK12)*100,""),"")</f>
        <v/>
      </c>
      <c r="BN12" s="69" t="inlineStr">
        <is>
          <t>ND</t>
        </is>
      </c>
      <c r="BO12" s="67" t="n"/>
      <c r="BP12" s="67" t="n"/>
      <c r="BQ12" s="71">
        <f>IFERROR(IF(AND(BO12&lt;&gt;"",BP12&lt;&gt;""),ABS(BO12-BP12)/ABS(BO12)*100,""),"")</f>
        <v/>
      </c>
      <c r="BR12" s="69" t="inlineStr">
        <is>
          <t>ND</t>
        </is>
      </c>
      <c r="BS12" s="67" t="n"/>
      <c r="BT12" s="67" t="n"/>
      <c r="BU12" s="71">
        <f>IFERROR(IF(AND(BS12&lt;&gt;"",BT12&lt;&gt;""),ABS(BS12-BT12)/ABS(BS12)*100,""),"")</f>
        <v/>
      </c>
      <c r="BV12" s="69" t="inlineStr">
        <is>
          <t>ND</t>
        </is>
      </c>
      <c r="BW12" s="67" t="n"/>
      <c r="BX12" s="67" t="n"/>
      <c r="BY12" s="71">
        <f>IFERROR(IF(AND(BW12&lt;&gt;"",BX12&lt;&gt;""),ABS(BW12-BX12)/ABS(BW12)*100,""),"")</f>
        <v/>
      </c>
      <c r="BZ12" s="69" t="inlineStr">
        <is>
          <t>ND</t>
        </is>
      </c>
      <c r="CA12" s="67" t="n"/>
      <c r="CB12" s="67" t="n"/>
      <c r="CC12" s="71">
        <f>IFERROR(IF(AND(CA12&lt;&gt;"",CB12&lt;&gt;""),ABS(CA12-CB12)/ABS(CA12)*100,""),"")</f>
        <v/>
      </c>
      <c r="CD12" s="69" t="inlineStr">
        <is>
          <t>ND</t>
        </is>
      </c>
      <c r="CE12" s="67" t="n"/>
      <c r="CF12" s="67" t="n"/>
      <c r="CG12" s="71">
        <f>IFERROR(IF(AND(CE12&lt;&gt;"",CF12&lt;&gt;""),ABS(CE12-CF12)/ABS(CE12)*100,""),"")</f>
        <v/>
      </c>
      <c r="CH12" s="69" t="inlineStr">
        <is>
          <t>ND</t>
        </is>
      </c>
      <c r="CI12" s="67" t="n"/>
      <c r="CJ12" s="67" t="n"/>
      <c r="CK12" s="71">
        <f>IFERROR(IF(AND(CI12&lt;&gt;"",CJ12&lt;&gt;""),ABS(CI12-CJ12)/ABS(CI12)*100,""),"")</f>
        <v/>
      </c>
      <c r="CL12" s="69" t="inlineStr">
        <is>
          <t>ND</t>
        </is>
      </c>
      <c r="CM12" s="67" t="n"/>
      <c r="CN12" s="67" t="n"/>
      <c r="CO12" s="71">
        <f>IFERROR(IF(AND(CM12&lt;&gt;"",CN12&lt;&gt;""),ABS(CM12-CN12)/ABS(CM12)*100,""),"")</f>
        <v/>
      </c>
      <c r="CP12" s="69" t="inlineStr">
        <is>
          <t>ND</t>
        </is>
      </c>
      <c r="CQ12" s="67" t="n"/>
      <c r="CR12" s="67" t="n"/>
      <c r="CS12" s="71">
        <f>IFERROR(IF(AND(CQ12&lt;&gt;"",CR12&lt;&gt;""),ABS(CQ12-CR12)/ABS(CQ12)*100,""),"")</f>
        <v/>
      </c>
      <c r="CT12" s="69" t="inlineStr">
        <is>
          <t>ND</t>
        </is>
      </c>
      <c r="CU12" s="67" t="n"/>
      <c r="CV12" s="67" t="n"/>
      <c r="CW12" s="71">
        <f>IFERROR(IF(AND(CU12&lt;&gt;"",CV12&lt;&gt;""),ABS(CU12-CV12)/ABS(CU12)*100,""),"")</f>
        <v/>
      </c>
      <c r="CX12" s="69" t="inlineStr">
        <is>
          <t>ND</t>
        </is>
      </c>
      <c r="CY12" s="68" t="n"/>
      <c r="CZ12" s="68" t="n"/>
      <c r="DA12" s="71">
        <f>IFERROR(IF(AND(CY12&lt;&gt;"",CZ12&lt;&gt;""),ABS(CY12-CZ12)/ABS(CY12)*100,""),"")</f>
        <v/>
      </c>
      <c r="DB12" s="69" t="inlineStr">
        <is>
          <t>ND</t>
        </is>
      </c>
      <c r="DC12" s="68" t="n"/>
      <c r="DD12" s="68" t="n"/>
      <c r="DE12" s="71">
        <f>IFERROR(IF(AND(DC12&lt;&gt;"",DD12&lt;&gt;""),ABS(DC12-DD12)/ABS(DC12)*100,""),"")</f>
        <v/>
      </c>
      <c r="DF12" s="69" t="inlineStr">
        <is>
          <t>ND</t>
        </is>
      </c>
      <c r="DG12" s="68" t="n"/>
      <c r="DH12" s="68" t="n"/>
      <c r="DI12" s="71">
        <f>IFERROR(IF(AND(DG12&lt;&gt;"",DH12&lt;&gt;""),ABS(DG12-DH12)/ABS(DG12)*100,""),"")</f>
        <v/>
      </c>
      <c r="DJ12" s="69" t="inlineStr">
        <is>
          <t>ND</t>
        </is>
      </c>
      <c r="DK12" s="68" t="n"/>
      <c r="DL12" s="68" t="n"/>
      <c r="DM12" s="71">
        <f>IFERROR(IF(AND(DK12&lt;&gt;"",DL12&lt;&gt;""),ABS(DK12-DL12)/ABS(DK12)*100,""),"")</f>
        <v/>
      </c>
      <c r="DN12" s="69" t="inlineStr">
        <is>
          <t>ND</t>
        </is>
      </c>
      <c r="DO12" s="68" t="n"/>
      <c r="DP12" s="68" t="n"/>
      <c r="DQ12" s="71">
        <f>IFERROR(IF(AND(DO12&lt;&gt;"",DP12&lt;&gt;""),ABS(DO12-DP12)/ABS(DO12)*100,""),"")</f>
        <v/>
      </c>
      <c r="DR12" s="69" t="inlineStr">
        <is>
          <t>ND</t>
        </is>
      </c>
      <c r="DS12" s="68" t="n"/>
      <c r="DT12" s="68" t="n"/>
      <c r="DU12" s="71">
        <f>IFERROR(IF(AND(DS12&lt;&gt;"",DT12&lt;&gt;""),ABS(DS12-DT12)/ABS(DS12)*100,""),"")</f>
        <v/>
      </c>
      <c r="DV12" s="69" t="inlineStr">
        <is>
          <t>ND</t>
        </is>
      </c>
      <c r="DW12" s="70" t="inlineStr">
        <is>
          <t>No data available for this year in either Yuhan extraction batch - all cells ND.</t>
        </is>
      </c>
    </row>
    <row r="13" ht="15.75" customHeight="1" s="43">
      <c r="A13" s="62" t="n"/>
      <c r="B13" s="62" t="n"/>
      <c r="C13" s="62" t="inlineStr">
        <is>
          <t>Health Care</t>
        </is>
      </c>
      <c r="D13" s="62" t="inlineStr">
        <is>
          <t>2019</t>
        </is>
      </c>
      <c r="E13" s="63" t="inlineStr">
        <is>
          <t>YUHAN_2021-2022_ESG.pdf</t>
        </is>
      </c>
      <c r="F13" s="62" t="n"/>
      <c r="G13" s="64" t="n">
        <v>1.6</v>
      </c>
      <c r="H13" s="64" t="n">
        <v>1.93</v>
      </c>
      <c r="I13" s="65">
        <f>IFERROR(IF(AND(G13&lt;&gt;"",H13&lt;&gt;""),ABS(G13-H13)/ABS(G13)*100,""),"")</f>
        <v/>
      </c>
      <c r="J13" s="66" t="inlineStr">
        <is>
          <t>MANUAL FLAG</t>
        </is>
      </c>
      <c r="K13" s="67" t="n">
        <v>23.28</v>
      </c>
      <c r="L13" s="67" t="n">
        <v>23.15</v>
      </c>
      <c r="M13" s="65">
        <f>IFERROR(IF(AND(K13&lt;&gt;"",L13&lt;&gt;""),ABS(K13-L13)/ABS(K13)*100,""),"")</f>
        <v/>
      </c>
      <c r="N13" s="62" t="inlineStr">
        <is>
          <t>Claude</t>
        </is>
      </c>
      <c r="O13" s="64" t="n">
        <v>34.48</v>
      </c>
      <c r="P13" s="64" t="n">
        <v>45.71</v>
      </c>
      <c r="Q13" s="65">
        <f>IFERROR(IF(AND(O13&lt;&gt;"",P13&lt;&gt;""),ABS(O13-P13)/ABS(O13)*100,""),"")</f>
        <v/>
      </c>
      <c r="R13" s="66" t="inlineStr">
        <is>
          <t>MANUAL FLAG</t>
        </is>
      </c>
      <c r="S13" s="67" t="n">
        <v>7.32</v>
      </c>
      <c r="T13" s="67" t="n">
        <v>7.32</v>
      </c>
      <c r="U13" s="65">
        <f>IFERROR(IF(AND(S13&lt;&gt;"",T13&lt;&gt;""),ABS(S13-T13)/ABS(S13)*100,""),"")</f>
        <v/>
      </c>
      <c r="V13" s="62" t="inlineStr">
        <is>
          <t>Claude</t>
        </is>
      </c>
      <c r="W13" s="67" t="n"/>
      <c r="X13" s="67" t="n"/>
      <c r="Y13" s="65">
        <f>IFERROR(IF(AND(W13&lt;&gt;"",X13&lt;&gt;""),ABS(W13-X13)/ABS(W13)*100,""),"")</f>
        <v/>
      </c>
      <c r="Z13" s="62" t="inlineStr">
        <is>
          <t>ND</t>
        </is>
      </c>
      <c r="AA13" s="67" t="n">
        <v>35.34</v>
      </c>
      <c r="AB13" s="67" t="n">
        <v>35.34</v>
      </c>
      <c r="AC13" s="65">
        <f>IFERROR(IF(AND(AA13&lt;&gt;"",AB13&lt;&gt;""),ABS(AA13-AB13)/ABS(AA13)*100,""),"")</f>
        <v/>
      </c>
      <c r="AD13" s="62" t="inlineStr">
        <is>
          <t>Claude</t>
        </is>
      </c>
      <c r="AE13" s="67" t="n"/>
      <c r="AF13" s="67" t="n"/>
      <c r="AG13" s="65">
        <f>IFERROR(IF(AND(AE13&lt;&gt;"",AF13&lt;&gt;""),ABS(AE13-AF13)/ABS(AE13)*100,""),"")</f>
        <v/>
      </c>
      <c r="AH13" s="62" t="inlineStr">
        <is>
          <t>ND</t>
        </is>
      </c>
      <c r="AI13" s="67" t="n"/>
      <c r="AJ13" s="67" t="n"/>
      <c r="AK13" s="65">
        <f>IFERROR(IF(AND(AI13&lt;&gt;"",AJ13&lt;&gt;""),ABS(AI13-AJ13)/ABS(AI13)*100,""),"")</f>
        <v/>
      </c>
      <c r="AL13" s="62" t="inlineStr">
        <is>
          <t>ND</t>
        </is>
      </c>
      <c r="AM13" s="64" t="n">
        <v>10.9</v>
      </c>
      <c r="AN13" s="64" t="n">
        <v>12.22</v>
      </c>
      <c r="AO13" s="65">
        <f>IFERROR(IF(AND(AM13&lt;&gt;"",AN13&lt;&gt;""),ABS(AM13-AN13)/ABS(AM13)*100,""),"")</f>
        <v/>
      </c>
      <c r="AP13" s="66" t="inlineStr">
        <is>
          <t>MANUAL FLAG</t>
        </is>
      </c>
      <c r="AQ13" s="67" t="n">
        <v>5</v>
      </c>
      <c r="AR13" s="67" t="n"/>
      <c r="AS13" s="65">
        <f>IFERROR(IF(AND(AQ13&lt;&gt;"",AR13&lt;&gt;""),ABS(AQ13-AR13)/ABS(AQ13)*100,""),"")</f>
        <v/>
      </c>
      <c r="AT13" s="62" t="inlineStr">
        <is>
          <t>Claude</t>
        </is>
      </c>
      <c r="AU13" s="67" t="n"/>
      <c r="AV13" s="67" t="n">
        <v>0</v>
      </c>
      <c r="AW13" s="65">
        <f>IFERROR(IF(AND(AU13&lt;&gt;"",AV13&lt;&gt;""),ABS(AU13-AV13)/ABS(AU13)*100,""),"")</f>
        <v/>
      </c>
      <c r="AX13" s="62" t="inlineStr">
        <is>
          <t>DeepSeek</t>
        </is>
      </c>
      <c r="AY13" s="67" t="n"/>
      <c r="AZ13" s="67" t="n"/>
      <c r="BA13" s="65">
        <f>IFERROR(IF(AND(AY13&lt;&gt;"",AZ13&lt;&gt;""),ABS(AY13-AZ13)/ABS(AY13)*100,""),"")</f>
        <v/>
      </c>
      <c r="BB13" s="62" t="inlineStr">
        <is>
          <t>ND</t>
        </is>
      </c>
      <c r="BC13" s="67" t="n"/>
      <c r="BD13" s="67" t="n"/>
      <c r="BE13" s="65">
        <f>IFERROR(IF(AND(BC13&lt;&gt;"",BD13&lt;&gt;""),ABS(BC13-BD13)/ABS(BC13)*100,""),"")</f>
        <v/>
      </c>
      <c r="BF13" s="62" t="inlineStr">
        <is>
          <t>ND</t>
        </is>
      </c>
      <c r="BG13" s="67" t="n">
        <v>1250000</v>
      </c>
      <c r="BH13" s="67" t="n">
        <v>1252753</v>
      </c>
      <c r="BI13" s="65">
        <f>IFERROR(IF(AND(BG13&lt;&gt;"",BH13&lt;&gt;""),ABS(BG13-BH13)/ABS(BG13)*100,""),"")</f>
        <v/>
      </c>
      <c r="BJ13" s="62" t="inlineStr">
        <is>
          <t>Claude</t>
        </is>
      </c>
      <c r="BK13" s="67" t="n">
        <v>59.4</v>
      </c>
      <c r="BL13" s="67" t="n">
        <v>59.42</v>
      </c>
      <c r="BM13" s="65">
        <f>IFERROR(IF(AND(BK13&lt;&gt;"",BL13&lt;&gt;""),ABS(BK13-BL13)/ABS(BK13)*100,""),"")</f>
        <v/>
      </c>
      <c r="BN13" s="62" t="inlineStr">
        <is>
          <t>Claude</t>
        </is>
      </c>
      <c r="BO13" s="67" t="n">
        <v>17</v>
      </c>
      <c r="BP13" s="67" t="n">
        <v>17</v>
      </c>
      <c r="BQ13" s="65">
        <f>IFERROR(IF(AND(BO13&lt;&gt;"",BP13&lt;&gt;""),ABS(BO13-BP13)/ABS(BO13)*100,""),"")</f>
        <v/>
      </c>
      <c r="BR13" s="62" t="inlineStr">
        <is>
          <t>Claude</t>
        </is>
      </c>
      <c r="BS13" s="67" t="n">
        <v>2</v>
      </c>
      <c r="BT13" s="67" t="n">
        <v>2</v>
      </c>
      <c r="BU13" s="65">
        <f>IFERROR(IF(AND(BS13&lt;&gt;"",BT13&lt;&gt;""),ABS(BS13-BT13)/ABS(BS13)*100,""),"")</f>
        <v/>
      </c>
      <c r="BV13" s="62" t="inlineStr">
        <is>
          <t>Claude</t>
        </is>
      </c>
      <c r="BW13" s="67" t="n">
        <v>110.53</v>
      </c>
      <c r="BX13" s="67" t="n"/>
      <c r="BY13" s="65">
        <f>IFERROR(IF(AND(BW13&lt;&gt;"",BX13&lt;&gt;""),ABS(BW13-BX13)/ABS(BW13)*100,""),"")</f>
        <v/>
      </c>
      <c r="BZ13" s="62" t="inlineStr">
        <is>
          <t>Claude</t>
        </is>
      </c>
      <c r="CA13" s="67" t="n">
        <v>11.4</v>
      </c>
      <c r="CB13" s="67" t="n">
        <v>11.4</v>
      </c>
      <c r="CC13" s="65">
        <f>IFERROR(IF(AND(CA13&lt;&gt;"",CB13&lt;&gt;""),ABS(CA13-CB13)/ABS(CA13)*100,""),"")</f>
        <v/>
      </c>
      <c r="CD13" s="62" t="inlineStr">
        <is>
          <t>Claude</t>
        </is>
      </c>
      <c r="CE13" s="67" t="n">
        <v>4.54</v>
      </c>
      <c r="CF13" s="67" t="n"/>
      <c r="CG13" s="65">
        <f>IFERROR(IF(AND(CE13&lt;&gt;"",CF13&lt;&gt;""),ABS(CE13-CF13)/ABS(CE13)*100,""),"")</f>
        <v/>
      </c>
      <c r="CH13" s="62" t="inlineStr">
        <is>
          <t>Claude</t>
        </is>
      </c>
      <c r="CI13" s="67" t="n">
        <v>1.98</v>
      </c>
      <c r="CJ13" s="67" t="n"/>
      <c r="CK13" s="65">
        <f>IFERROR(IF(AND(CI13&lt;&gt;"",CJ13&lt;&gt;""),ABS(CI13-CJ13)/ABS(CI13)*100,""),"")</f>
        <v/>
      </c>
      <c r="CL13" s="62" t="inlineStr">
        <is>
          <t>Claude</t>
        </is>
      </c>
      <c r="CM13" s="67" t="n"/>
      <c r="CN13" s="67" t="n"/>
      <c r="CO13" s="65">
        <f>IFERROR(IF(AND(CM13&lt;&gt;"",CN13&lt;&gt;""),ABS(CM13-CN13)/ABS(CM13)*100,""),"")</f>
        <v/>
      </c>
      <c r="CP13" s="62" t="inlineStr">
        <is>
          <t>ND</t>
        </is>
      </c>
      <c r="CQ13" s="67" t="n">
        <v>0</v>
      </c>
      <c r="CR13" s="67" t="n"/>
      <c r="CS13" s="65">
        <f>IFERROR(IF(AND(CQ13&lt;&gt;"",CR13&lt;&gt;""),ABS(CQ13-CR13)/ABS(CQ13)*100,""),"")</f>
        <v/>
      </c>
      <c r="CT13" s="62" t="inlineStr">
        <is>
          <t>Claude</t>
        </is>
      </c>
      <c r="CU13" s="67" t="n">
        <v>0</v>
      </c>
      <c r="CV13" s="67" t="n">
        <v>0</v>
      </c>
      <c r="CW13" s="65">
        <f>IFERROR(IF(AND(CU13&lt;&gt;"",CV13&lt;&gt;""),ABS(CU13-CV13)/ABS(CU13)*100,""),"")</f>
        <v/>
      </c>
      <c r="CX13" s="62" t="inlineStr">
        <is>
          <t>Claude</t>
        </is>
      </c>
      <c r="CY13" s="64" t="n">
        <v>6</v>
      </c>
      <c r="CZ13" s="64" t="n">
        <v>0</v>
      </c>
      <c r="DA13" s="65">
        <f>IFERROR(IF(AND(CY13&lt;&gt;"",CZ13&lt;&gt;""),ABS(CY13-CZ13)/ABS(CY13)*100,""),"")</f>
        <v/>
      </c>
      <c r="DB13" s="66" t="inlineStr">
        <is>
          <t>MANUAL FLAG</t>
        </is>
      </c>
      <c r="DC13" s="68" t="n"/>
      <c r="DD13" s="68" t="n">
        <v>5</v>
      </c>
      <c r="DE13" s="65">
        <f>IFERROR(IF(AND(DC13&lt;&gt;"",DD13&lt;&gt;""),ABS(DC13-DD13)/ABS(DC13)*100,""),"")</f>
        <v/>
      </c>
      <c r="DF13" s="62" t="inlineStr">
        <is>
          <t>DeepSeek</t>
        </is>
      </c>
      <c r="DG13" s="68" t="n"/>
      <c r="DH13" s="68" t="n"/>
      <c r="DI13" s="65">
        <f>IFERROR(IF(AND(DG13&lt;&gt;"",DH13&lt;&gt;""),ABS(DG13-DH13)/ABS(DG13)*100,""),"")</f>
        <v/>
      </c>
      <c r="DJ13" s="62" t="inlineStr">
        <is>
          <t>ND</t>
        </is>
      </c>
      <c r="DK13" s="68" t="n"/>
      <c r="DL13" s="68" t="n"/>
      <c r="DM13" s="65">
        <f>IFERROR(IF(AND(DK13&lt;&gt;"",DL13&lt;&gt;""),ABS(DK13-DL13)/ABS(DK13)*100,""),"")</f>
        <v/>
      </c>
      <c r="DN13" s="62" t="inlineStr">
        <is>
          <t>ND</t>
        </is>
      </c>
      <c r="DO13" s="68" t="n"/>
      <c r="DP13" s="68" t="n"/>
      <c r="DQ13" s="65">
        <f>IFERROR(IF(AND(DO13&lt;&gt;"",DP13&lt;&gt;""),ABS(DO13-DP13)/ABS(DO13)*100,""),"")</f>
        <v/>
      </c>
      <c r="DR13" s="62" t="inlineStr">
        <is>
          <t>ND</t>
        </is>
      </c>
      <c r="DS13" s="68" t="n"/>
      <c r="DT13" s="68" t="n"/>
      <c r="DU13" s="65">
        <f>IFERROR(IF(AND(DS13&lt;&gt;"",DT13&lt;&gt;""),ABS(DS13-DT13)/ABS(DS13)*100,""),"")</f>
        <v/>
      </c>
      <c r="DV13" s="62" t="inlineStr">
        <is>
          <t>ND</t>
        </is>
      </c>
      <c r="DW13" s="63" t="inlineStr">
        <is>
          <t>Claude only (DeepSeek pending). Ind.1-3 PROXY: 'Full-timer/Part-timer' used as stand-in for permanent/contract (report never uses 'contract worker'). Ind.7/8 (%Disabled/%Foreign) = ND: only headcounts given (29 disabled; 3 foreign), no total workforce disclosed in this extraction to compute %. Ind.18 (Parental Leave Return Rate) = 110.53, PROXY and IMPLAUSIBLE (&gt;100%) - source itself flags this as non-aligned cohorts (leave-takers and returners not from the same annual cohort); treat with caution / possible MANUAL FLAG candidate once DeepSeek available. Ind.21 PROXY (derived residual, total-voluntary). Ind.24 PROXY (general industrial accident count used as fatality proxy, report never names 'fatality' as its own metric). Ind.25=6, applied identically across 2019-2021 (not year-specific per source). || DEEPSEEK RECONCILIATION - MANUAL FLAGS: Ind.1 (Contract Workers%): Claude=1.6, DeepSeek=1.93, Diff=20.6%; Ind.3 (Female Contract%): Claude=34.48, DeepSeek=45.71, Diff=32.6%; Ind.9 (Female Middle Mgrs): Claude=10.9, DeepSeek=12.22, Diff=12.1%; Ind.25 (COVID Response): Claude=6, DeepSeek=0, Diff=100.0%</t>
        </is>
      </c>
    </row>
    <row r="14" ht="15.75" customHeight="1" s="43">
      <c r="A14" s="69" t="n"/>
      <c r="B14" s="69" t="n"/>
      <c r="C14" s="69" t="inlineStr">
        <is>
          <t>Health Care</t>
        </is>
      </c>
      <c r="D14" s="69" t="inlineStr">
        <is>
          <t>2020</t>
        </is>
      </c>
      <c r="E14" s="70" t="inlineStr">
        <is>
          <t>YUHAN_2021-2022_ESG.pdf</t>
        </is>
      </c>
      <c r="F14" s="69" t="n"/>
      <c r="G14" s="64" t="n">
        <v>1.67</v>
      </c>
      <c r="H14" s="64" t="n">
        <v>1.89</v>
      </c>
      <c r="I14" s="71">
        <f>IFERROR(IF(AND(G14&lt;&gt;"",H14&lt;&gt;""),ABS(G14-H14)/ABS(G14)*100,""),"")</f>
        <v/>
      </c>
      <c r="J14" s="66" t="inlineStr">
        <is>
          <t>MANUAL FLAG</t>
        </is>
      </c>
      <c r="K14" s="67" t="n">
        <v>23.85</v>
      </c>
      <c r="L14" s="67" t="n">
        <v>23.85</v>
      </c>
      <c r="M14" s="71">
        <f>IFERROR(IF(AND(K14&lt;&gt;"",L14&lt;&gt;""),ABS(K14-L14)/ABS(K14)*100,""),"")</f>
        <v/>
      </c>
      <c r="N14" s="69" t="inlineStr">
        <is>
          <t>Claude</t>
        </is>
      </c>
      <c r="O14" s="64" t="n">
        <v>48.39</v>
      </c>
      <c r="P14" s="64" t="n">
        <v>45.71</v>
      </c>
      <c r="Q14" s="71">
        <f>IFERROR(IF(AND(O14&lt;&gt;"",P14&lt;&gt;""),ABS(O14-P14)/ABS(O14)*100,""),"")</f>
        <v/>
      </c>
      <c r="R14" s="66" t="inlineStr">
        <is>
          <t>MANUAL FLAG</t>
        </is>
      </c>
      <c r="S14" s="67" t="n">
        <v>5.77</v>
      </c>
      <c r="T14" s="67" t="n">
        <v>5.77</v>
      </c>
      <c r="U14" s="71">
        <f>IFERROR(IF(AND(S14&lt;&gt;"",T14&lt;&gt;""),ABS(S14-T14)/ABS(S14)*100,""),"")</f>
        <v/>
      </c>
      <c r="V14" s="69" t="inlineStr">
        <is>
          <t>Claude</t>
        </is>
      </c>
      <c r="W14" s="67" t="n"/>
      <c r="X14" s="67" t="n"/>
      <c r="Y14" s="71">
        <f>IFERROR(IF(AND(W14&lt;&gt;"",X14&lt;&gt;""),ABS(W14-X14)/ABS(W14)*100,""),"")</f>
        <v/>
      </c>
      <c r="Z14" s="69" t="inlineStr">
        <is>
          <t>ND</t>
        </is>
      </c>
      <c r="AA14" s="67" t="n">
        <v>41.12</v>
      </c>
      <c r="AB14" s="67" t="n">
        <v>41.12</v>
      </c>
      <c r="AC14" s="71">
        <f>IFERROR(IF(AND(AA14&lt;&gt;"",AB14&lt;&gt;""),ABS(AA14-AB14)/ABS(AA14)*100,""),"")</f>
        <v/>
      </c>
      <c r="AD14" s="69" t="inlineStr">
        <is>
          <t>Claude</t>
        </is>
      </c>
      <c r="AE14" s="67" t="n"/>
      <c r="AF14" s="67" t="n"/>
      <c r="AG14" s="71">
        <f>IFERROR(IF(AND(AE14&lt;&gt;"",AF14&lt;&gt;""),ABS(AE14-AF14)/ABS(AE14)*100,""),"")</f>
        <v/>
      </c>
      <c r="AH14" s="69" t="inlineStr">
        <is>
          <t>ND</t>
        </is>
      </c>
      <c r="AI14" s="67" t="n"/>
      <c r="AJ14" s="67" t="n"/>
      <c r="AK14" s="71">
        <f>IFERROR(IF(AND(AI14&lt;&gt;"",AJ14&lt;&gt;""),ABS(AI14-AJ14)/ABS(AI14)*100,""),"")</f>
        <v/>
      </c>
      <c r="AL14" s="69" t="inlineStr">
        <is>
          <t>ND</t>
        </is>
      </c>
      <c r="AM14" s="64" t="n">
        <v>12.4</v>
      </c>
      <c r="AN14" s="64" t="n">
        <v>13.13</v>
      </c>
      <c r="AO14" s="71">
        <f>IFERROR(IF(AND(AM14&lt;&gt;"",AN14&lt;&gt;""),ABS(AM14-AN14)/ABS(AM14)*100,""),"")</f>
        <v/>
      </c>
      <c r="AP14" s="66" t="inlineStr">
        <is>
          <t>MANUAL FLAG</t>
        </is>
      </c>
      <c r="AQ14" s="67" t="n">
        <v>9.09</v>
      </c>
      <c r="AR14" s="67" t="n"/>
      <c r="AS14" s="71">
        <f>IFERROR(IF(AND(AQ14&lt;&gt;"",AR14&lt;&gt;""),ABS(AQ14-AR14)/ABS(AQ14)*100,""),"")</f>
        <v/>
      </c>
      <c r="AT14" s="69" t="inlineStr">
        <is>
          <t>Claude</t>
        </is>
      </c>
      <c r="AU14" s="67" t="n"/>
      <c r="AV14" s="67" t="n">
        <v>0</v>
      </c>
      <c r="AW14" s="71">
        <f>IFERROR(IF(AND(AU14&lt;&gt;"",AV14&lt;&gt;""),ABS(AU14-AV14)/ABS(AU14)*100,""),"")</f>
        <v/>
      </c>
      <c r="AX14" s="69" t="inlineStr">
        <is>
          <t>DeepSeek</t>
        </is>
      </c>
      <c r="AY14" s="67" t="n"/>
      <c r="AZ14" s="67" t="n"/>
      <c r="BA14" s="71">
        <f>IFERROR(IF(AND(AY14&lt;&gt;"",AZ14&lt;&gt;""),ABS(AY14-AZ14)/ABS(AY14)*100,""),"")</f>
        <v/>
      </c>
      <c r="BB14" s="69" t="inlineStr">
        <is>
          <t>ND</t>
        </is>
      </c>
      <c r="BC14" s="67" t="n"/>
      <c r="BD14" s="67" t="n"/>
      <c r="BE14" s="71">
        <f>IFERROR(IF(AND(BC14&lt;&gt;"",BD14&lt;&gt;""),ABS(BC14-BD14)/ABS(BC14)*100,""),"")</f>
        <v/>
      </c>
      <c r="BF14" s="69" t="inlineStr">
        <is>
          <t>ND</t>
        </is>
      </c>
      <c r="BG14" s="67" t="n">
        <v>870000</v>
      </c>
      <c r="BH14" s="67" t="n">
        <v>867385</v>
      </c>
      <c r="BI14" s="71">
        <f>IFERROR(IF(AND(BG14&lt;&gt;"",BH14&lt;&gt;""),ABS(BG14-BH14)/ABS(BG14)*100,""),"")</f>
        <v/>
      </c>
      <c r="BJ14" s="69" t="inlineStr">
        <is>
          <t>Claude</t>
        </is>
      </c>
      <c r="BK14" s="67" t="n">
        <v>60.3</v>
      </c>
      <c r="BL14" s="67" t="n">
        <v>60.33</v>
      </c>
      <c r="BM14" s="71">
        <f>IFERROR(IF(AND(BK14&lt;&gt;"",BL14&lt;&gt;""),ABS(BK14-BL14)/ABS(BK14)*100,""),"")</f>
        <v/>
      </c>
      <c r="BN14" s="69" t="inlineStr">
        <is>
          <t>Claude</t>
        </is>
      </c>
      <c r="BO14" s="67" t="n">
        <v>19</v>
      </c>
      <c r="BP14" s="67" t="n">
        <v>19</v>
      </c>
      <c r="BQ14" s="71">
        <f>IFERROR(IF(AND(BO14&lt;&gt;"",BP14&lt;&gt;""),ABS(BO14-BP14)/ABS(BO14)*100,""),"")</f>
        <v/>
      </c>
      <c r="BR14" s="69" t="inlineStr">
        <is>
          <t>Claude</t>
        </is>
      </c>
      <c r="BS14" s="67" t="n">
        <v>3</v>
      </c>
      <c r="BT14" s="67" t="n">
        <v>3</v>
      </c>
      <c r="BU14" s="71">
        <f>IFERROR(IF(AND(BS14&lt;&gt;"",BT14&lt;&gt;""),ABS(BS14-BT14)/ABS(BS14)*100,""),"")</f>
        <v/>
      </c>
      <c r="BV14" s="69" t="inlineStr">
        <is>
          <t>Claude</t>
        </is>
      </c>
      <c r="BW14" s="67" t="n">
        <v>81.81999999999999</v>
      </c>
      <c r="BX14" s="67" t="n"/>
      <c r="BY14" s="71">
        <f>IFERROR(IF(AND(BW14&lt;&gt;"",BX14&lt;&gt;""),ABS(BW14-BX14)/ABS(BW14)*100,""),"")</f>
        <v/>
      </c>
      <c r="BZ14" s="69" t="inlineStr">
        <is>
          <t>Claude</t>
        </is>
      </c>
      <c r="CA14" s="67" t="n">
        <v>12.3</v>
      </c>
      <c r="CB14" s="67" t="n">
        <v>12.3</v>
      </c>
      <c r="CC14" s="71">
        <f>IFERROR(IF(AND(CA14&lt;&gt;"",CB14&lt;&gt;""),ABS(CA14-CB14)/ABS(CA14)*100,""),"")</f>
        <v/>
      </c>
      <c r="CD14" s="69" t="inlineStr">
        <is>
          <t>Claude</t>
        </is>
      </c>
      <c r="CE14" s="67" t="n">
        <v>2.12</v>
      </c>
      <c r="CF14" s="67" t="n"/>
      <c r="CG14" s="71">
        <f>IFERROR(IF(AND(CE14&lt;&gt;"",CF14&lt;&gt;""),ABS(CE14-CF14)/ABS(CE14)*100,""),"")</f>
        <v/>
      </c>
      <c r="CH14" s="69" t="inlineStr">
        <is>
          <t>Claude</t>
        </is>
      </c>
      <c r="CI14" s="67" t="n">
        <v>1.28</v>
      </c>
      <c r="CJ14" s="67" t="n"/>
      <c r="CK14" s="71">
        <f>IFERROR(IF(AND(CI14&lt;&gt;"",CJ14&lt;&gt;""),ABS(CI14-CJ14)/ABS(CI14)*100,""),"")</f>
        <v/>
      </c>
      <c r="CL14" s="69" t="inlineStr">
        <is>
          <t>Claude</t>
        </is>
      </c>
      <c r="CM14" s="67" t="n"/>
      <c r="CN14" s="67" t="n"/>
      <c r="CO14" s="71">
        <f>IFERROR(IF(AND(CM14&lt;&gt;"",CN14&lt;&gt;""),ABS(CM14-CN14)/ABS(CM14)*100,""),"")</f>
        <v/>
      </c>
      <c r="CP14" s="69" t="inlineStr">
        <is>
          <t>ND</t>
        </is>
      </c>
      <c r="CQ14" s="67" t="n">
        <v>0</v>
      </c>
      <c r="CR14" s="67" t="n"/>
      <c r="CS14" s="71">
        <f>IFERROR(IF(AND(CQ14&lt;&gt;"",CR14&lt;&gt;""),ABS(CQ14-CR14)/ABS(CQ14)*100,""),"")</f>
        <v/>
      </c>
      <c r="CT14" s="69" t="inlineStr">
        <is>
          <t>Claude</t>
        </is>
      </c>
      <c r="CU14" s="67" t="n">
        <v>0</v>
      </c>
      <c r="CV14" s="67" t="n">
        <v>0</v>
      </c>
      <c r="CW14" s="71">
        <f>IFERROR(IF(AND(CU14&lt;&gt;"",CV14&lt;&gt;""),ABS(CU14-CV14)/ABS(CU14)*100,""),"")</f>
        <v/>
      </c>
      <c r="CX14" s="69" t="inlineStr">
        <is>
          <t>Claude</t>
        </is>
      </c>
      <c r="CY14" s="64" t="n">
        <v>6</v>
      </c>
      <c r="CZ14" s="64" t="n">
        <v>8</v>
      </c>
      <c r="DA14" s="71">
        <f>IFERROR(IF(AND(CY14&lt;&gt;"",CZ14&lt;&gt;""),ABS(CY14-CZ14)/ABS(CY14)*100,""),"")</f>
        <v/>
      </c>
      <c r="DB14" s="66" t="inlineStr">
        <is>
          <t>MANUAL FLAG</t>
        </is>
      </c>
      <c r="DC14" s="68" t="n"/>
      <c r="DD14" s="68" t="n">
        <v>5</v>
      </c>
      <c r="DE14" s="71">
        <f>IFERROR(IF(AND(DC14&lt;&gt;"",DD14&lt;&gt;""),ABS(DC14-DD14)/ABS(DC14)*100,""),"")</f>
        <v/>
      </c>
      <c r="DF14" s="69" t="inlineStr">
        <is>
          <t>DeepSeek</t>
        </is>
      </c>
      <c r="DG14" s="68" t="n"/>
      <c r="DH14" s="68" t="n"/>
      <c r="DI14" s="71">
        <f>IFERROR(IF(AND(DG14&lt;&gt;"",DH14&lt;&gt;""),ABS(DG14-DH14)/ABS(DG14)*100,""),"")</f>
        <v/>
      </c>
      <c r="DJ14" s="69" t="inlineStr">
        <is>
          <t>ND</t>
        </is>
      </c>
      <c r="DK14" s="68" t="n"/>
      <c r="DL14" s="68" t="n"/>
      <c r="DM14" s="71">
        <f>IFERROR(IF(AND(DK14&lt;&gt;"",DL14&lt;&gt;""),ABS(DK14-DL14)/ABS(DK14)*100,""),"")</f>
        <v/>
      </c>
      <c r="DN14" s="69" t="inlineStr">
        <is>
          <t>ND</t>
        </is>
      </c>
      <c r="DO14" s="68" t="n"/>
      <c r="DP14" s="68" t="n"/>
      <c r="DQ14" s="71">
        <f>IFERROR(IF(AND(DO14&lt;&gt;"",DP14&lt;&gt;""),ABS(DO14-DP14)/ABS(DO14)*100,""),"")</f>
        <v/>
      </c>
      <c r="DR14" s="69" t="inlineStr">
        <is>
          <t>ND</t>
        </is>
      </c>
      <c r="DS14" s="68" t="n"/>
      <c r="DT14" s="68" t="n"/>
      <c r="DU14" s="71">
        <f>IFERROR(IF(AND(DS14&lt;&gt;"",DT14&lt;&gt;""),ABS(DS14-DT14)/ABS(DS14)*100,""),"")</f>
        <v/>
      </c>
      <c r="DV14" s="69" t="inlineStr">
        <is>
          <t>ND</t>
        </is>
      </c>
      <c r="DW14" s="70" t="inlineStr">
        <is>
          <t>Claude only (DeepSeek pending). Same proxy caveats as 2019 (Ind.1-3, 21, 24). Ind.7/8 = ND, no total workforce given (headcount: 27 disabled, 4 foreign). Ind.18=81.82 PROXY, same cohort-misalignment caveat as 2019. Ind.25=6, same non-year-specific caveat. || DEEPSEEK RECONCILIATION - MANUAL FLAGS: Ind.1 (Contract Workers%): Claude=1.67, DeepSeek=1.89, Diff=13.2%; Ind.3 (Female Contract%): Claude=48.39, DeepSeek=45.71, Diff=5.5%; Ind.9 (Female Middle Mgrs): Claude=12.4, DeepSeek=13.13, Diff=5.9%; Ind.25 (COVID Response): Claude=6, DeepSeek=8, Diff=33.3%</t>
        </is>
      </c>
    </row>
    <row r="15" ht="15.75" customHeight="1" s="43">
      <c r="A15" s="62" t="n"/>
      <c r="B15" s="62" t="n"/>
      <c r="C15" s="62" t="inlineStr">
        <is>
          <t>Health Care</t>
        </is>
      </c>
      <c r="D15" s="62" t="inlineStr">
        <is>
          <t>2021</t>
        </is>
      </c>
      <c r="E15" s="63" t="inlineStr">
        <is>
          <t>YUHAN_2021-2022_ESG.pdf</t>
        </is>
      </c>
      <c r="F15" s="62" t="n"/>
      <c r="G15" s="64" t="n">
        <v>1.54</v>
      </c>
      <c r="H15" s="64" t="n">
        <v>1.7</v>
      </c>
      <c r="I15" s="65">
        <f>IFERROR(IF(AND(G15&lt;&gt;"",H15&lt;&gt;""),ABS(G15-H15)/ABS(G15)*100,""),"")</f>
        <v/>
      </c>
      <c r="J15" s="66" t="inlineStr">
        <is>
          <t>MANUAL FLAG</t>
        </is>
      </c>
      <c r="K15" s="67" t="n">
        <v>24.45</v>
      </c>
      <c r="L15" s="67" t="n">
        <v>24.32</v>
      </c>
      <c r="M15" s="65">
        <f>IFERROR(IF(AND(K15&lt;&gt;"",L15&lt;&gt;""),ABS(K15-L15)/ABS(K15)*100,""),"")</f>
        <v/>
      </c>
      <c r="N15" s="62" t="inlineStr">
        <is>
          <t>Claude</t>
        </is>
      </c>
      <c r="O15" s="64" t="n">
        <v>44.83</v>
      </c>
      <c r="P15" s="64" t="n">
        <v>50</v>
      </c>
      <c r="Q15" s="65">
        <f>IFERROR(IF(AND(O15&lt;&gt;"",P15&lt;&gt;""),ABS(O15-P15)/ABS(O15)*100,""),"")</f>
        <v/>
      </c>
      <c r="R15" s="66" t="inlineStr">
        <is>
          <t>MANUAL FLAG</t>
        </is>
      </c>
      <c r="S15" s="67" t="n">
        <v>6.66</v>
      </c>
      <c r="T15" s="67" t="n">
        <v>6.66</v>
      </c>
      <c r="U15" s="65">
        <f>IFERROR(IF(AND(S15&lt;&gt;"",T15&lt;&gt;""),ABS(S15-T15)/ABS(S15)*100,""),"")</f>
        <v/>
      </c>
      <c r="V15" s="62" t="inlineStr">
        <is>
          <t>Claude</t>
        </is>
      </c>
      <c r="W15" s="67" t="n"/>
      <c r="X15" s="67" t="n"/>
      <c r="Y15" s="65">
        <f>IFERROR(IF(AND(W15&lt;&gt;"",X15&lt;&gt;""),ABS(W15-X15)/ABS(W15)*100,""),"")</f>
        <v/>
      </c>
      <c r="Z15" s="62" t="inlineStr">
        <is>
          <t>ND</t>
        </is>
      </c>
      <c r="AA15" s="67" t="n">
        <v>42.4</v>
      </c>
      <c r="AB15" s="67" t="n">
        <v>42.4</v>
      </c>
      <c r="AC15" s="65">
        <f>IFERROR(IF(AND(AA15&lt;&gt;"",AB15&lt;&gt;""),ABS(AA15-AB15)/ABS(AA15)*100,""),"")</f>
        <v/>
      </c>
      <c r="AD15" s="62" t="inlineStr">
        <is>
          <t>Claude</t>
        </is>
      </c>
      <c r="AE15" s="67" t="n"/>
      <c r="AF15" s="67" t="n"/>
      <c r="AG15" s="65">
        <f>IFERROR(IF(AND(AE15&lt;&gt;"",AF15&lt;&gt;""),ABS(AE15-AF15)/ABS(AE15)*100,""),"")</f>
        <v/>
      </c>
      <c r="AH15" s="62" t="inlineStr">
        <is>
          <t>ND</t>
        </is>
      </c>
      <c r="AI15" s="67" t="n"/>
      <c r="AJ15" s="67" t="n"/>
      <c r="AK15" s="65">
        <f>IFERROR(IF(AND(AI15&lt;&gt;"",AJ15&lt;&gt;""),ABS(AI15-AJ15)/ABS(AI15)*100,""),"")</f>
        <v/>
      </c>
      <c r="AL15" s="62" t="inlineStr">
        <is>
          <t>ND</t>
        </is>
      </c>
      <c r="AM15" s="67" t="n">
        <v>14.6</v>
      </c>
      <c r="AN15" s="67" t="n">
        <v>14.68</v>
      </c>
      <c r="AO15" s="65">
        <f>IFERROR(IF(AND(AM15&lt;&gt;"",AN15&lt;&gt;""),ABS(AM15-AN15)/ABS(AM15)*100,""),"")</f>
        <v/>
      </c>
      <c r="AP15" s="62" t="inlineStr">
        <is>
          <t>Claude</t>
        </is>
      </c>
      <c r="AQ15" s="67" t="n">
        <v>14.29</v>
      </c>
      <c r="AR15" s="67" t="n"/>
      <c r="AS15" s="65">
        <f>IFERROR(IF(AND(AQ15&lt;&gt;"",AR15&lt;&gt;""),ABS(AQ15-AR15)/ABS(AQ15)*100,""),"")</f>
        <v/>
      </c>
      <c r="AT15" s="62" t="inlineStr">
        <is>
          <t>Claude</t>
        </is>
      </c>
      <c r="AU15" s="67" t="n">
        <v>12.5</v>
      </c>
      <c r="AV15" s="67" t="n">
        <v>12.5</v>
      </c>
      <c r="AW15" s="65">
        <f>IFERROR(IF(AND(AU15&lt;&gt;"",AV15&lt;&gt;""),ABS(AU15-AV15)/ABS(AU15)*100,""),"")</f>
        <v/>
      </c>
      <c r="AX15" s="62" t="inlineStr">
        <is>
          <t>Claude</t>
        </is>
      </c>
      <c r="AY15" s="67" t="n"/>
      <c r="AZ15" s="67" t="n"/>
      <c r="BA15" s="65">
        <f>IFERROR(IF(AND(AY15&lt;&gt;"",AZ15&lt;&gt;""),ABS(AY15-AZ15)/ABS(AY15)*100,""),"")</f>
        <v/>
      </c>
      <c r="BB15" s="62" t="inlineStr">
        <is>
          <t>ND</t>
        </is>
      </c>
      <c r="BC15" s="67" t="n"/>
      <c r="BD15" s="67" t="n"/>
      <c r="BE15" s="65">
        <f>IFERROR(IF(AND(BC15&lt;&gt;"",BD15&lt;&gt;""),ABS(BC15-BD15)/ABS(BC15)*100,""),"")</f>
        <v/>
      </c>
      <c r="BF15" s="62" t="inlineStr">
        <is>
          <t>ND</t>
        </is>
      </c>
      <c r="BG15" s="67" t="n">
        <v>1070000</v>
      </c>
      <c r="BH15" s="67" t="n">
        <v>1071885</v>
      </c>
      <c r="BI15" s="65">
        <f>IFERROR(IF(AND(BG15&lt;&gt;"",BH15&lt;&gt;""),ABS(BG15-BH15)/ABS(BG15)*100,""),"")</f>
        <v/>
      </c>
      <c r="BJ15" s="62" t="inlineStr">
        <is>
          <t>Claude</t>
        </is>
      </c>
      <c r="BK15" s="67" t="n">
        <v>55.2</v>
      </c>
      <c r="BL15" s="67" t="n">
        <v>55.2</v>
      </c>
      <c r="BM15" s="65">
        <f>IFERROR(IF(AND(BK15&lt;&gt;"",BL15&lt;&gt;""),ABS(BK15-BL15)/ABS(BK15)*100,""),"")</f>
        <v/>
      </c>
      <c r="BN15" s="62" t="inlineStr">
        <is>
          <t>Claude</t>
        </is>
      </c>
      <c r="BO15" s="67" t="n">
        <v>25</v>
      </c>
      <c r="BP15" s="67" t="n">
        <v>25</v>
      </c>
      <c r="BQ15" s="65">
        <f>IFERROR(IF(AND(BO15&lt;&gt;"",BP15&lt;&gt;""),ABS(BO15-BP15)/ABS(BO15)*100,""),"")</f>
        <v/>
      </c>
      <c r="BR15" s="62" t="inlineStr">
        <is>
          <t>Claude</t>
        </is>
      </c>
      <c r="BS15" s="67" t="n">
        <v>8</v>
      </c>
      <c r="BT15" s="67" t="n">
        <v>8</v>
      </c>
      <c r="BU15" s="65">
        <f>IFERROR(IF(AND(BS15&lt;&gt;"",BT15&lt;&gt;""),ABS(BS15-BT15)/ABS(BS15)*100,""),"")</f>
        <v/>
      </c>
      <c r="BV15" s="62" t="inlineStr">
        <is>
          <t>Claude</t>
        </is>
      </c>
      <c r="BW15" s="67" t="n">
        <v>63.64</v>
      </c>
      <c r="BX15" s="67" t="n"/>
      <c r="BY15" s="65">
        <f>IFERROR(IF(AND(BW15&lt;&gt;"",BX15&lt;&gt;""),ABS(BW15-BX15)/ABS(BW15)*100,""),"")</f>
        <v/>
      </c>
      <c r="BZ15" s="62" t="inlineStr">
        <is>
          <t>Claude</t>
        </is>
      </c>
      <c r="CA15" s="67" t="n">
        <v>12.7</v>
      </c>
      <c r="CB15" s="67" t="n">
        <v>12.7</v>
      </c>
      <c r="CC15" s="65">
        <f>IFERROR(IF(AND(CA15&lt;&gt;"",CB15&lt;&gt;""),ABS(CA15-CB15)/ABS(CA15)*100,""),"")</f>
        <v/>
      </c>
      <c r="CD15" s="62" t="inlineStr">
        <is>
          <t>Claude</t>
        </is>
      </c>
      <c r="CE15" s="67" t="n">
        <v>3.77</v>
      </c>
      <c r="CF15" s="67" t="n"/>
      <c r="CG15" s="65">
        <f>IFERROR(IF(AND(CE15&lt;&gt;"",CF15&lt;&gt;""),ABS(CE15-CF15)/ABS(CE15)*100,""),"")</f>
        <v/>
      </c>
      <c r="CH15" s="62" t="inlineStr">
        <is>
          <t>Claude</t>
        </is>
      </c>
      <c r="CI15" s="67" t="n">
        <v>2.07</v>
      </c>
      <c r="CJ15" s="67" t="n"/>
      <c r="CK15" s="65">
        <f>IFERROR(IF(AND(CI15&lt;&gt;"",CJ15&lt;&gt;""),ABS(CI15-CJ15)/ABS(CI15)*100,""),"")</f>
        <v/>
      </c>
      <c r="CL15" s="62" t="inlineStr">
        <is>
          <t>Claude</t>
        </is>
      </c>
      <c r="CM15" s="67" t="n">
        <v>44.3</v>
      </c>
      <c r="CN15" s="67" t="n">
        <v>44.37</v>
      </c>
      <c r="CO15" s="65">
        <f>IFERROR(IF(AND(CM15&lt;&gt;"",CN15&lt;&gt;""),ABS(CM15-CN15)/ABS(CM15)*100,""),"")</f>
        <v/>
      </c>
      <c r="CP15" s="62" t="inlineStr">
        <is>
          <t>Claude</t>
        </is>
      </c>
      <c r="CQ15" s="67" t="n">
        <v>0</v>
      </c>
      <c r="CR15" s="67" t="n"/>
      <c r="CS15" s="65">
        <f>IFERROR(IF(AND(CQ15&lt;&gt;"",CR15&lt;&gt;""),ABS(CQ15-CR15)/ABS(CQ15)*100,""),"")</f>
        <v/>
      </c>
      <c r="CT15" s="62" t="inlineStr">
        <is>
          <t>Claude</t>
        </is>
      </c>
      <c r="CU15" s="67" t="n">
        <v>0</v>
      </c>
      <c r="CV15" s="67" t="n">
        <v>0</v>
      </c>
      <c r="CW15" s="65">
        <f>IFERROR(IF(AND(CU15&lt;&gt;"",CV15&lt;&gt;""),ABS(CU15-CV15)/ABS(CU15)*100,""),"")</f>
        <v/>
      </c>
      <c r="CX15" s="62" t="inlineStr">
        <is>
          <t>Claude</t>
        </is>
      </c>
      <c r="CY15" s="64" t="n">
        <v>6</v>
      </c>
      <c r="CZ15" s="64" t="n">
        <v>8</v>
      </c>
      <c r="DA15" s="65">
        <f>IFERROR(IF(AND(CY15&lt;&gt;"",CZ15&lt;&gt;""),ABS(CY15-CZ15)/ABS(CY15)*100,""),"")</f>
        <v/>
      </c>
      <c r="DB15" s="66" t="inlineStr">
        <is>
          <t>MANUAL FLAG</t>
        </is>
      </c>
      <c r="DC15" s="68" t="n"/>
      <c r="DD15" s="68" t="n">
        <v>5</v>
      </c>
      <c r="DE15" s="65">
        <f>IFERROR(IF(AND(DC15&lt;&gt;"",DD15&lt;&gt;""),ABS(DC15-DD15)/ABS(DC15)*100,""),"")</f>
        <v/>
      </c>
      <c r="DF15" s="62" t="inlineStr">
        <is>
          <t>DeepSeek</t>
        </is>
      </c>
      <c r="DG15" s="68" t="n"/>
      <c r="DH15" s="68" t="n"/>
      <c r="DI15" s="65">
        <f>IFERROR(IF(AND(DG15&lt;&gt;"",DH15&lt;&gt;""),ABS(DG15-DH15)/ABS(DG15)*100,""),"")</f>
        <v/>
      </c>
      <c r="DJ15" s="62" t="inlineStr">
        <is>
          <t>ND</t>
        </is>
      </c>
      <c r="DK15" s="68" t="n"/>
      <c r="DL15" s="68" t="n"/>
      <c r="DM15" s="65">
        <f>IFERROR(IF(AND(DK15&lt;&gt;"",DL15&lt;&gt;""),ABS(DK15-DL15)/ABS(DK15)*100,""),"")</f>
        <v/>
      </c>
      <c r="DN15" s="62" t="inlineStr">
        <is>
          <t>ND</t>
        </is>
      </c>
      <c r="DO15" s="68" t="n"/>
      <c r="DP15" s="68" t="n"/>
      <c r="DQ15" s="65">
        <f>IFERROR(IF(AND(DO15&lt;&gt;"",DP15&lt;&gt;""),ABS(DO15-DP15)/ABS(DO15)*100,""),"")</f>
        <v/>
      </c>
      <c r="DR15" s="62" t="inlineStr">
        <is>
          <t>ND</t>
        </is>
      </c>
      <c r="DS15" s="68" t="n"/>
      <c r="DT15" s="68" t="n"/>
      <c r="DU15" s="65">
        <f>IFERROR(IF(AND(DS15&lt;&gt;"",DT15&lt;&gt;""),ABS(DS15-DT15)/ABS(DS15)*100,""),"")</f>
        <v/>
      </c>
      <c r="DV15" s="62" t="inlineStr">
        <is>
          <t>ND</t>
        </is>
      </c>
      <c r="DW15" s="63" t="inlineStr">
        <is>
          <t>Claude only (DeepSeek pending). Same proxy caveats as 2019/2020 (Ind.1-3, 21, 24). Ind.7/8 = ND, no total workforce given (headcount: 28 disabled, 4 foreign). Ind.18=63.64 PROXY, same cohort caveat. Ind.25=6, same non-year-specific caveat. NOTE: this year's data also appears (blank/na) in the 2024-25 batch, no conflict since that batch left 2021 entirely na. || DEEPSEEK RECONCILIATION - MANUAL FLAGS: Ind.1 (Contract Workers%): Claude=1.54, DeepSeek=1.7, Diff=10.4%; Ind.3 (Female Contract%): Claude=44.83, DeepSeek=50.0, Diff=11.5%; Ind.25 (COVID Response): Claude=6, DeepSeek=8, Diff=33.3%</t>
        </is>
      </c>
    </row>
    <row r="16" ht="15.75" customHeight="1" s="43">
      <c r="A16" s="69" t="n"/>
      <c r="B16" s="69" t="n"/>
      <c r="C16" s="69" t="inlineStr">
        <is>
          <t>Health Care</t>
        </is>
      </c>
      <c r="D16" s="69" t="inlineStr">
        <is>
          <t>2022</t>
        </is>
      </c>
      <c r="E16" s="70" t="inlineStr">
        <is>
          <t>Yuhan report published 2024-2025 (filename not provided in extraction)</t>
        </is>
      </c>
      <c r="F16" s="69" t="n"/>
      <c r="G16" s="67" t="n">
        <v>2.22</v>
      </c>
      <c r="H16" s="67" t="n"/>
      <c r="I16" s="71">
        <f>IFERROR(IF(AND(G16&lt;&gt;"",H16&lt;&gt;""),ABS(G16-H16)/ABS(G16)*100,""),"")</f>
        <v/>
      </c>
      <c r="J16" s="69" t="inlineStr">
        <is>
          <t>Claude</t>
        </is>
      </c>
      <c r="K16" s="67" t="n">
        <v>24.7</v>
      </c>
      <c r="L16" s="67" t="n"/>
      <c r="M16" s="71">
        <f>IFERROR(IF(AND(K16&lt;&gt;"",L16&lt;&gt;""),ABS(K16-L16)/ABS(K16)*100,""),"")</f>
        <v/>
      </c>
      <c r="N16" s="69" t="inlineStr">
        <is>
          <t>Claude</t>
        </is>
      </c>
      <c r="O16" s="67" t="n">
        <v>60.47</v>
      </c>
      <c r="P16" s="67" t="n"/>
      <c r="Q16" s="71">
        <f>IFERROR(IF(AND(O16&lt;&gt;"",P16&lt;&gt;""),ABS(O16-P16)/ABS(O16)*100,""),"")</f>
        <v/>
      </c>
      <c r="R16" s="69" t="inlineStr">
        <is>
          <t>Claude</t>
        </is>
      </c>
      <c r="S16" s="67" t="n">
        <v>8.5</v>
      </c>
      <c r="T16" s="67" t="n"/>
      <c r="U16" s="71">
        <f>IFERROR(IF(AND(S16&lt;&gt;"",T16&lt;&gt;""),ABS(S16-T16)/ABS(S16)*100,""),"")</f>
        <v/>
      </c>
      <c r="V16" s="69" t="inlineStr">
        <is>
          <t>Claude</t>
        </is>
      </c>
      <c r="W16" s="67" t="n"/>
      <c r="X16" s="67" t="n"/>
      <c r="Y16" s="71">
        <f>IFERROR(IF(AND(W16&lt;&gt;"",X16&lt;&gt;""),ABS(W16-X16)/ABS(W16)*100,""),"")</f>
        <v/>
      </c>
      <c r="Z16" s="69" t="inlineStr">
        <is>
          <t>ND</t>
        </is>
      </c>
      <c r="AA16" s="67" t="n">
        <v>40.56</v>
      </c>
      <c r="AB16" s="67" t="n"/>
      <c r="AC16" s="71">
        <f>IFERROR(IF(AND(AA16&lt;&gt;"",AB16&lt;&gt;""),ABS(AA16-AB16)/ABS(AA16)*100,""),"")</f>
        <v/>
      </c>
      <c r="AD16" s="69" t="inlineStr">
        <is>
          <t>Claude</t>
        </is>
      </c>
      <c r="AE16" s="67" t="n"/>
      <c r="AF16" s="67" t="n"/>
      <c r="AG16" s="71">
        <f>IFERROR(IF(AND(AE16&lt;&gt;"",AF16&lt;&gt;""),ABS(AE16-AF16)/ABS(AE16)*100,""),"")</f>
        <v/>
      </c>
      <c r="AH16" s="69" t="inlineStr">
        <is>
          <t>ND</t>
        </is>
      </c>
      <c r="AI16" s="67" t="n"/>
      <c r="AJ16" s="67" t="n"/>
      <c r="AK16" s="71">
        <f>IFERROR(IF(AND(AI16&lt;&gt;"",AJ16&lt;&gt;""),ABS(AI16-AJ16)/ABS(AI16)*100,""),"")</f>
        <v/>
      </c>
      <c r="AL16" s="69" t="inlineStr">
        <is>
          <t>ND</t>
        </is>
      </c>
      <c r="AM16" s="67" t="n"/>
      <c r="AN16" s="67" t="n"/>
      <c r="AO16" s="71">
        <f>IFERROR(IF(AND(AM16&lt;&gt;"",AN16&lt;&gt;""),ABS(AM16-AN16)/ABS(AM16)*100,""),"")</f>
        <v/>
      </c>
      <c r="AP16" s="69" t="inlineStr">
        <is>
          <t>ND</t>
        </is>
      </c>
      <c r="AQ16" s="67" t="n">
        <v>18.18</v>
      </c>
      <c r="AR16" s="67" t="n"/>
      <c r="AS16" s="71">
        <f>IFERROR(IF(AND(AQ16&lt;&gt;"",AR16&lt;&gt;""),ABS(AQ16-AR16)/ABS(AQ16)*100,""),"")</f>
        <v/>
      </c>
      <c r="AT16" s="69" t="inlineStr">
        <is>
          <t>Claude</t>
        </is>
      </c>
      <c r="AU16" s="67" t="n">
        <v>12.5</v>
      </c>
      <c r="AV16" s="67" t="n">
        <v>12.5</v>
      </c>
      <c r="AW16" s="71">
        <f>IFERROR(IF(AND(AU16&lt;&gt;"",AV16&lt;&gt;""),ABS(AU16-AV16)/ABS(AU16)*100,""),"")</f>
        <v/>
      </c>
      <c r="AX16" s="69" t="inlineStr">
        <is>
          <t>Claude</t>
        </is>
      </c>
      <c r="AY16" s="67" t="n">
        <v>91000000</v>
      </c>
      <c r="AZ16" s="67" t="n">
        <v>91000000</v>
      </c>
      <c r="BA16" s="71">
        <f>IFERROR(IF(AND(AY16&lt;&gt;"",AZ16&lt;&gt;""),ABS(AY16-AZ16)/ABS(AY16)*100,""),"")</f>
        <v/>
      </c>
      <c r="BB16" s="69" t="inlineStr">
        <is>
          <t>Claude</t>
        </is>
      </c>
      <c r="BC16" s="67" t="n">
        <v>35</v>
      </c>
      <c r="BD16" s="67" t="n">
        <v>35</v>
      </c>
      <c r="BE16" s="71">
        <f>IFERROR(IF(AND(BC16&lt;&gt;"",BD16&lt;&gt;""),ABS(BC16-BD16)/ABS(BC16)*100,""),"")</f>
        <v/>
      </c>
      <c r="BF16" s="69" t="inlineStr">
        <is>
          <t>Claude</t>
        </is>
      </c>
      <c r="BG16" s="67" t="n">
        <v>1400000</v>
      </c>
      <c r="BH16" s="67" t="n">
        <v>1400000</v>
      </c>
      <c r="BI16" s="71">
        <f>IFERROR(IF(AND(BG16&lt;&gt;"",BH16&lt;&gt;""),ABS(BG16-BH16)/ABS(BG16)*100,""),"")</f>
        <v/>
      </c>
      <c r="BJ16" s="69" t="inlineStr">
        <is>
          <t>Claude</t>
        </is>
      </c>
      <c r="BK16" s="67" t="n">
        <v>57.9</v>
      </c>
      <c r="BL16" s="67" t="n">
        <v>57.9</v>
      </c>
      <c r="BM16" s="71">
        <f>IFERROR(IF(AND(BK16&lt;&gt;"",BL16&lt;&gt;""),ABS(BK16-BL16)/ABS(BK16)*100,""),"")</f>
        <v/>
      </c>
      <c r="BN16" s="69" t="inlineStr">
        <is>
          <t>Claude</t>
        </is>
      </c>
      <c r="BO16" s="67" t="n">
        <v>35</v>
      </c>
      <c r="BP16" s="67" t="n">
        <v>35</v>
      </c>
      <c r="BQ16" s="71">
        <f>IFERROR(IF(AND(BO16&lt;&gt;"",BP16&lt;&gt;""),ABS(BO16-BP16)/ABS(BO16)*100,""),"")</f>
        <v/>
      </c>
      <c r="BR16" s="69" t="inlineStr">
        <is>
          <t>Claude</t>
        </is>
      </c>
      <c r="BS16" s="67" t="n">
        <v>5</v>
      </c>
      <c r="BT16" s="67" t="n">
        <v>5</v>
      </c>
      <c r="BU16" s="71">
        <f>IFERROR(IF(AND(BS16&lt;&gt;"",BT16&lt;&gt;""),ABS(BS16-BT16)/ABS(BS16)*100,""),"")</f>
        <v/>
      </c>
      <c r="BV16" s="69" t="inlineStr">
        <is>
          <t>Claude</t>
        </is>
      </c>
      <c r="BW16" s="67" t="n"/>
      <c r="BX16" s="67" t="n"/>
      <c r="BY16" s="71">
        <f>IFERROR(IF(AND(BW16&lt;&gt;"",BX16&lt;&gt;""),ABS(BW16-BX16)/ABS(BW16)*100,""),"")</f>
        <v/>
      </c>
      <c r="BZ16" s="69" t="inlineStr">
        <is>
          <t>ND</t>
        </is>
      </c>
      <c r="CA16" s="67" t="n"/>
      <c r="CB16" s="67" t="n"/>
      <c r="CC16" s="71">
        <f>IFERROR(IF(AND(CA16&lt;&gt;"",CB16&lt;&gt;""),ABS(CA16-CB16)/ABS(CA16)*100,""),"")</f>
        <v/>
      </c>
      <c r="CD16" s="69" t="inlineStr">
        <is>
          <t>ND</t>
        </is>
      </c>
      <c r="CE16" s="67" t="n">
        <v>5.1</v>
      </c>
      <c r="CF16" s="67" t="n"/>
      <c r="CG16" s="71">
        <f>IFERROR(IF(AND(CE16&lt;&gt;"",CF16&lt;&gt;""),ABS(CE16-CF16)/ABS(CE16)*100,""),"")</f>
        <v/>
      </c>
      <c r="CH16" s="69" t="inlineStr">
        <is>
          <t>Claude</t>
        </is>
      </c>
      <c r="CI16" s="67" t="n">
        <v>1.2</v>
      </c>
      <c r="CJ16" s="67" t="n"/>
      <c r="CK16" s="71">
        <f>IFERROR(IF(AND(CI16&lt;&gt;"",CJ16&lt;&gt;""),ABS(CI16-CJ16)/ABS(CI16)*100,""),"")</f>
        <v/>
      </c>
      <c r="CL16" s="69" t="inlineStr">
        <is>
          <t>Claude</t>
        </is>
      </c>
      <c r="CM16" s="64" t="n">
        <v>44.4</v>
      </c>
      <c r="CN16" s="64" t="n">
        <v>20.23</v>
      </c>
      <c r="CO16" s="71">
        <f>IFERROR(IF(AND(CM16&lt;&gt;"",CN16&lt;&gt;""),ABS(CM16-CN16)/ABS(CM16)*100,""),"")</f>
        <v/>
      </c>
      <c r="CP16" s="66" t="inlineStr">
        <is>
          <t>MANUAL FLAG</t>
        </is>
      </c>
      <c r="CQ16" s="67" t="n">
        <v>0</v>
      </c>
      <c r="CR16" s="67" t="n"/>
      <c r="CS16" s="71">
        <f>IFERROR(IF(AND(CQ16&lt;&gt;"",CR16&lt;&gt;""),ABS(CQ16-CR16)/ABS(CQ16)*100,""),"")</f>
        <v/>
      </c>
      <c r="CT16" s="69" t="inlineStr">
        <is>
          <t>Claude</t>
        </is>
      </c>
      <c r="CU16" s="67" t="n">
        <v>0</v>
      </c>
      <c r="CV16" s="67" t="n">
        <v>0</v>
      </c>
      <c r="CW16" s="71">
        <f>IFERROR(IF(AND(CU16&lt;&gt;"",CV16&lt;&gt;""),ABS(CU16-CV16)/ABS(CU16)*100,""),"")</f>
        <v/>
      </c>
      <c r="CX16" s="69" t="inlineStr">
        <is>
          <t>Claude</t>
        </is>
      </c>
      <c r="CY16" s="68" t="n"/>
      <c r="CZ16" s="68" t="n"/>
      <c r="DA16" s="71">
        <f>IFERROR(IF(AND(CY16&lt;&gt;"",CZ16&lt;&gt;""),ABS(CY16-CZ16)/ABS(CY16)*100,""),"")</f>
        <v/>
      </c>
      <c r="DB16" s="69" t="inlineStr">
        <is>
          <t>ND</t>
        </is>
      </c>
      <c r="DC16" s="68" t="n"/>
      <c r="DD16" s="68" t="n"/>
      <c r="DE16" s="71">
        <f>IFERROR(IF(AND(DC16&lt;&gt;"",DD16&lt;&gt;""),ABS(DC16-DD16)/ABS(DC16)*100,""),"")</f>
        <v/>
      </c>
      <c r="DF16" s="69" t="inlineStr">
        <is>
          <t>ND</t>
        </is>
      </c>
      <c r="DG16" s="68" t="n"/>
      <c r="DH16" s="68" t="n"/>
      <c r="DI16" s="71">
        <f>IFERROR(IF(AND(DG16&lt;&gt;"",DH16&lt;&gt;""),ABS(DG16-DH16)/ABS(DG16)*100,""),"")</f>
        <v/>
      </c>
      <c r="DJ16" s="69" t="inlineStr">
        <is>
          <t>ND</t>
        </is>
      </c>
      <c r="DK16" s="68" t="n"/>
      <c r="DL16" s="68" t="n"/>
      <c r="DM16" s="71">
        <f>IFERROR(IF(AND(DK16&lt;&gt;"",DL16&lt;&gt;""),ABS(DK16-DL16)/ABS(DK16)*100,""),"")</f>
        <v/>
      </c>
      <c r="DN16" s="69" t="inlineStr">
        <is>
          <t>ND</t>
        </is>
      </c>
      <c r="DO16" s="68" t="n"/>
      <c r="DP16" s="68" t="n"/>
      <c r="DQ16" s="71">
        <f>IFERROR(IF(AND(DO16&lt;&gt;"",DP16&lt;&gt;""),ABS(DO16-DP16)/ABS(DO16)*100,""),"")</f>
        <v/>
      </c>
      <c r="DR16" s="69" t="inlineStr">
        <is>
          <t>ND</t>
        </is>
      </c>
      <c r="DS16" s="68" t="n"/>
      <c r="DT16" s="68" t="n"/>
      <c r="DU16" s="71">
        <f>IFERROR(IF(AND(DS16&lt;&gt;"",DT16&lt;&gt;""),ABS(DS16-DT16)/ABS(DS16)*100,""),"")</f>
        <v/>
      </c>
      <c r="DV16" s="69" t="inlineStr">
        <is>
          <t>ND</t>
        </is>
      </c>
      <c r="DW16" s="70" t="inlineStr">
        <is>
          <t>Claude only (DeepSeek pending). Source batch reports NO proxy flags this run (definitional/methodology change vs 2019-2021 batch - e.g. Ind.1 now appears to use direct 'contract worker' terminology rather than Full-timer/Part-timer proxy) - flagging for trend-comparability awareness, not a Claude/DeepSeek discrepancy. Ind.7/8 = ND, no total workforce given (headcount: 28 disabled, 4 foreign). Ind.21/24 no longer flagged proxy in this batch even though same derivation logic likely applies - inconsistent flagging between report editions, worth manual review. || DEEPSEEK RECONCILIATION - MANUAL FLAGS: Ind.22 (Union Membership): Claude=44.4, DeepSeek=20.23, Diff=54.4%</t>
        </is>
      </c>
    </row>
    <row r="17" ht="15.75" customHeight="1" s="43">
      <c r="A17" s="62" t="n"/>
      <c r="B17" s="62" t="n"/>
      <c r="C17" s="62" t="inlineStr">
        <is>
          <t>Health Care</t>
        </is>
      </c>
      <c r="D17" s="62" t="inlineStr">
        <is>
          <t>2023</t>
        </is>
      </c>
      <c r="E17" s="63" t="inlineStr">
        <is>
          <t>Yuhan report published 2024-2025 (filename not provided in extraction)</t>
        </is>
      </c>
      <c r="F17" s="62" t="n"/>
      <c r="G17" s="67" t="n">
        <v>2.75</v>
      </c>
      <c r="H17" s="67" t="n"/>
      <c r="I17" s="65">
        <f>IFERROR(IF(AND(G17&lt;&gt;"",H17&lt;&gt;""),ABS(G17-H17)/ABS(G17)*100,""),"")</f>
        <v/>
      </c>
      <c r="J17" s="62" t="inlineStr">
        <is>
          <t>Claude</t>
        </is>
      </c>
      <c r="K17" s="67" t="n">
        <v>25.32</v>
      </c>
      <c r="L17" s="67" t="n"/>
      <c r="M17" s="65">
        <f>IFERROR(IF(AND(K17&lt;&gt;"",L17&lt;&gt;""),ABS(K17-L17)/ABS(K17)*100,""),"")</f>
        <v/>
      </c>
      <c r="N17" s="62" t="inlineStr">
        <is>
          <t>Claude</t>
        </is>
      </c>
      <c r="O17" s="67" t="n">
        <v>45.45</v>
      </c>
      <c r="P17" s="67" t="n"/>
      <c r="Q17" s="65">
        <f>IFERROR(IF(AND(O17&lt;&gt;"",P17&lt;&gt;""),ABS(O17-P17)/ABS(O17)*100,""),"")</f>
        <v/>
      </c>
      <c r="R17" s="62" t="inlineStr">
        <is>
          <t>Claude</t>
        </is>
      </c>
      <c r="S17" s="67" t="n">
        <v>8.630000000000001</v>
      </c>
      <c r="T17" s="67" t="n"/>
      <c r="U17" s="65">
        <f>IFERROR(IF(AND(S17&lt;&gt;"",T17&lt;&gt;""),ABS(S17-T17)/ABS(S17)*100,""),"")</f>
        <v/>
      </c>
      <c r="V17" s="62" t="inlineStr">
        <is>
          <t>Claude</t>
        </is>
      </c>
      <c r="W17" s="67" t="n"/>
      <c r="X17" s="67" t="n"/>
      <c r="Y17" s="65">
        <f>IFERROR(IF(AND(W17&lt;&gt;"",X17&lt;&gt;""),ABS(W17-X17)/ABS(W17)*100,""),"")</f>
        <v/>
      </c>
      <c r="Z17" s="62" t="inlineStr">
        <is>
          <t>ND</t>
        </is>
      </c>
      <c r="AA17" s="67" t="n">
        <v>38.62</v>
      </c>
      <c r="AB17" s="67" t="n"/>
      <c r="AC17" s="65">
        <f>IFERROR(IF(AND(AA17&lt;&gt;"",AB17&lt;&gt;""),ABS(AA17-AB17)/ABS(AA17)*100,""),"")</f>
        <v/>
      </c>
      <c r="AD17" s="62" t="inlineStr">
        <is>
          <t>Claude</t>
        </is>
      </c>
      <c r="AE17" s="67" t="n"/>
      <c r="AF17" s="67" t="n"/>
      <c r="AG17" s="65">
        <f>IFERROR(IF(AND(AE17&lt;&gt;"",AF17&lt;&gt;""),ABS(AE17-AF17)/ABS(AE17)*100,""),"")</f>
        <v/>
      </c>
      <c r="AH17" s="62" t="inlineStr">
        <is>
          <t>ND</t>
        </is>
      </c>
      <c r="AI17" s="67" t="n"/>
      <c r="AJ17" s="67" t="n"/>
      <c r="AK17" s="65">
        <f>IFERROR(IF(AND(AI17&lt;&gt;"",AJ17&lt;&gt;""),ABS(AI17-AJ17)/ABS(AI17)*100,""),"")</f>
        <v/>
      </c>
      <c r="AL17" s="62" t="inlineStr">
        <is>
          <t>ND</t>
        </is>
      </c>
      <c r="AM17" s="67" t="n"/>
      <c r="AN17" s="67" t="n"/>
      <c r="AO17" s="65">
        <f>IFERROR(IF(AND(AM17&lt;&gt;"",AN17&lt;&gt;""),ABS(AM17-AN17)/ABS(AM17)*100,""),"")</f>
        <v/>
      </c>
      <c r="AP17" s="62" t="inlineStr">
        <is>
          <t>ND</t>
        </is>
      </c>
      <c r="AQ17" s="67" t="n">
        <v>18.52</v>
      </c>
      <c r="AR17" s="67" t="n"/>
      <c r="AS17" s="65">
        <f>IFERROR(IF(AND(AQ17&lt;&gt;"",AR17&lt;&gt;""),ABS(AQ17-AR17)/ABS(AQ17)*100,""),"")</f>
        <v/>
      </c>
      <c r="AT17" s="62" t="inlineStr">
        <is>
          <t>Claude</t>
        </is>
      </c>
      <c r="AU17" s="67" t="n">
        <v>14.29</v>
      </c>
      <c r="AV17" s="67" t="n">
        <v>14.3</v>
      </c>
      <c r="AW17" s="65">
        <f>IFERROR(IF(AND(AU17&lt;&gt;"",AV17&lt;&gt;""),ABS(AU17-AV17)/ABS(AU17)*100,""),"")</f>
        <v/>
      </c>
      <c r="AX17" s="62" t="inlineStr">
        <is>
          <t>Claude</t>
        </is>
      </c>
      <c r="AY17" s="67" t="n">
        <v>95000000</v>
      </c>
      <c r="AZ17" s="67" t="n">
        <v>95000000</v>
      </c>
      <c r="BA17" s="65">
        <f>IFERROR(IF(AND(AY17&lt;&gt;"",AZ17&lt;&gt;""),ABS(AY17-AZ17)/ABS(AY17)*100,""),"")</f>
        <v/>
      </c>
      <c r="BB17" s="62" t="inlineStr">
        <is>
          <t>Claude</t>
        </is>
      </c>
      <c r="BC17" s="67" t="n">
        <v>31.07</v>
      </c>
      <c r="BD17" s="67" t="n">
        <v>31.07</v>
      </c>
      <c r="BE17" s="65">
        <f>IFERROR(IF(AND(BC17&lt;&gt;"",BD17&lt;&gt;""),ABS(BC17-BD17)/ABS(BC17)*100,""),"")</f>
        <v/>
      </c>
      <c r="BF17" s="62" t="inlineStr">
        <is>
          <t>Claude</t>
        </is>
      </c>
      <c r="BG17" s="67" t="n">
        <v>1640000</v>
      </c>
      <c r="BH17" s="67" t="n">
        <v>1640000</v>
      </c>
      <c r="BI17" s="65">
        <f>IFERROR(IF(AND(BG17&lt;&gt;"",BH17&lt;&gt;""),ABS(BG17-BH17)/ABS(BG17)*100,""),"")</f>
        <v/>
      </c>
      <c r="BJ17" s="62" t="inlineStr">
        <is>
          <t>Claude</t>
        </is>
      </c>
      <c r="BK17" s="67" t="n">
        <v>60.1</v>
      </c>
      <c r="BL17" s="67" t="n">
        <v>60.1</v>
      </c>
      <c r="BM17" s="65">
        <f>IFERROR(IF(AND(BK17&lt;&gt;"",BL17&lt;&gt;""),ABS(BK17-BL17)/ABS(BK17)*100,""),"")</f>
        <v/>
      </c>
      <c r="BN17" s="62" t="inlineStr">
        <is>
          <t>Claude</t>
        </is>
      </c>
      <c r="BO17" s="67" t="n">
        <v>21</v>
      </c>
      <c r="BP17" s="67" t="n">
        <v>21</v>
      </c>
      <c r="BQ17" s="65">
        <f>IFERROR(IF(AND(BO17&lt;&gt;"",BP17&lt;&gt;""),ABS(BO17-BP17)/ABS(BO17)*100,""),"")</f>
        <v/>
      </c>
      <c r="BR17" s="62" t="inlineStr">
        <is>
          <t>Claude</t>
        </is>
      </c>
      <c r="BS17" s="67" t="n">
        <v>8</v>
      </c>
      <c r="BT17" s="67" t="n">
        <v>8</v>
      </c>
      <c r="BU17" s="65">
        <f>IFERROR(IF(AND(BS17&lt;&gt;"",BT17&lt;&gt;""),ABS(BS17-BT17)/ABS(BS17)*100,""),"")</f>
        <v/>
      </c>
      <c r="BV17" s="62" t="inlineStr">
        <is>
          <t>Claude</t>
        </is>
      </c>
      <c r="BW17" s="67" t="n"/>
      <c r="BX17" s="67" t="n"/>
      <c r="BY17" s="65">
        <f>IFERROR(IF(AND(BW17&lt;&gt;"",BX17&lt;&gt;""),ABS(BW17-BX17)/ABS(BW17)*100,""),"")</f>
        <v/>
      </c>
      <c r="BZ17" s="62" t="inlineStr">
        <is>
          <t>ND</t>
        </is>
      </c>
      <c r="CA17" s="67" t="n"/>
      <c r="CB17" s="67" t="n"/>
      <c r="CC17" s="65">
        <f>IFERROR(IF(AND(CA17&lt;&gt;"",CB17&lt;&gt;""),ABS(CA17-CB17)/ABS(CA17)*100,""),"")</f>
        <v/>
      </c>
      <c r="CD17" s="62" t="inlineStr">
        <is>
          <t>ND</t>
        </is>
      </c>
      <c r="CE17" s="67" t="n">
        <v>4.7</v>
      </c>
      <c r="CF17" s="67" t="n"/>
      <c r="CG17" s="65">
        <f>IFERROR(IF(AND(CE17&lt;&gt;"",CF17&lt;&gt;""),ABS(CE17-CF17)/ABS(CE17)*100,""),"")</f>
        <v/>
      </c>
      <c r="CH17" s="62" t="inlineStr">
        <is>
          <t>Claude</t>
        </is>
      </c>
      <c r="CI17" s="67" t="n">
        <v>1.2</v>
      </c>
      <c r="CJ17" s="67" t="n"/>
      <c r="CK17" s="65">
        <f>IFERROR(IF(AND(CI17&lt;&gt;"",CJ17&lt;&gt;""),ABS(CI17-CJ17)/ABS(CI17)*100,""),"")</f>
        <v/>
      </c>
      <c r="CL17" s="62" t="inlineStr">
        <is>
          <t>Claude</t>
        </is>
      </c>
      <c r="CM17" s="64" t="n">
        <v>43.2</v>
      </c>
      <c r="CN17" s="64" t="n">
        <v>19.36</v>
      </c>
      <c r="CO17" s="65">
        <f>IFERROR(IF(AND(CM17&lt;&gt;"",CN17&lt;&gt;""),ABS(CM17-CN17)/ABS(CM17)*100,""),"")</f>
        <v/>
      </c>
      <c r="CP17" s="66" t="inlineStr">
        <is>
          <t>MANUAL FLAG</t>
        </is>
      </c>
      <c r="CQ17" s="67" t="n">
        <v>0</v>
      </c>
      <c r="CR17" s="67" t="n"/>
      <c r="CS17" s="65">
        <f>IFERROR(IF(AND(CQ17&lt;&gt;"",CR17&lt;&gt;""),ABS(CQ17-CR17)/ABS(CQ17)*100,""),"")</f>
        <v/>
      </c>
      <c r="CT17" s="62" t="inlineStr">
        <is>
          <t>Claude</t>
        </is>
      </c>
      <c r="CU17" s="67" t="n">
        <v>0</v>
      </c>
      <c r="CV17" s="67" t="n">
        <v>0</v>
      </c>
      <c r="CW17" s="65">
        <f>IFERROR(IF(AND(CU17&lt;&gt;"",CV17&lt;&gt;""),ABS(CU17-CV17)/ABS(CU17)*100,""),"")</f>
        <v/>
      </c>
      <c r="CX17" s="62" t="inlineStr">
        <is>
          <t>Claude</t>
        </is>
      </c>
      <c r="CY17" s="68" t="n"/>
      <c r="CZ17" s="68" t="n"/>
      <c r="DA17" s="65">
        <f>IFERROR(IF(AND(CY17&lt;&gt;"",CZ17&lt;&gt;""),ABS(CY17-CZ17)/ABS(CY17)*100,""),"")</f>
        <v/>
      </c>
      <c r="DB17" s="62" t="inlineStr">
        <is>
          <t>ND</t>
        </is>
      </c>
      <c r="DC17" s="68" t="n"/>
      <c r="DD17" s="68" t="n"/>
      <c r="DE17" s="65">
        <f>IFERROR(IF(AND(DC17&lt;&gt;"",DD17&lt;&gt;""),ABS(DC17-DD17)/ABS(DC17)*100,""),"")</f>
        <v/>
      </c>
      <c r="DF17" s="62" t="inlineStr">
        <is>
          <t>ND</t>
        </is>
      </c>
      <c r="DG17" s="68" t="n"/>
      <c r="DH17" s="68" t="n"/>
      <c r="DI17" s="65">
        <f>IFERROR(IF(AND(DG17&lt;&gt;"",DH17&lt;&gt;""),ABS(DG17-DH17)/ABS(DG17)*100,""),"")</f>
        <v/>
      </c>
      <c r="DJ17" s="62" t="inlineStr">
        <is>
          <t>ND</t>
        </is>
      </c>
      <c r="DK17" s="68" t="n"/>
      <c r="DL17" s="68" t="n"/>
      <c r="DM17" s="65">
        <f>IFERROR(IF(AND(DK17&lt;&gt;"",DL17&lt;&gt;""),ABS(DK17-DL17)/ABS(DK17)*100,""),"")</f>
        <v/>
      </c>
      <c r="DN17" s="62" t="inlineStr">
        <is>
          <t>ND</t>
        </is>
      </c>
      <c r="DO17" s="68" t="n"/>
      <c r="DP17" s="68" t="n"/>
      <c r="DQ17" s="65">
        <f>IFERROR(IF(AND(DO17&lt;&gt;"",DP17&lt;&gt;""),ABS(DO17-DP17)/ABS(DO17)*100,""),"")</f>
        <v/>
      </c>
      <c r="DR17" s="62" t="inlineStr">
        <is>
          <t>ND</t>
        </is>
      </c>
      <c r="DS17" s="68" t="n"/>
      <c r="DT17" s="68" t="n"/>
      <c r="DU17" s="65">
        <f>IFERROR(IF(AND(DS17&lt;&gt;"",DT17&lt;&gt;""),ABS(DS17-DT17)/ABS(DS17)*100,""),"")</f>
        <v/>
      </c>
      <c r="DV17" s="62" t="inlineStr">
        <is>
          <t>ND</t>
        </is>
      </c>
      <c r="DW17" s="63" t="inlineStr">
        <is>
          <t>Claude only (DeepSeek pending). Same batch/methodology note as 2022. Ind.7/8 = ND, no total workforce given (headcount: 30 disabled, 4 foreign). || DEEPSEEK RECONCILIATION - MANUAL FLAGS: Ind.22 (Union Membership): Claude=43.2, DeepSeek=19.36, Diff=55.2%</t>
        </is>
      </c>
    </row>
    <row r="18" ht="15.75" customHeight="1" s="43">
      <c r="A18" s="69" t="n"/>
      <c r="B18" s="69" t="n"/>
      <c r="C18" s="69" t="inlineStr">
        <is>
          <t>Health Care</t>
        </is>
      </c>
      <c r="D18" s="69" t="inlineStr">
        <is>
          <t>2024</t>
        </is>
      </c>
      <c r="E18" s="70" t="inlineStr">
        <is>
          <t>Yuhan report published 2024-2025 (filename not provided in extraction)</t>
        </is>
      </c>
      <c r="F18" s="69" t="n"/>
      <c r="G18" s="67" t="n">
        <v>2.88</v>
      </c>
      <c r="H18" s="67" t="n"/>
      <c r="I18" s="71">
        <f>IFERROR(IF(AND(G18&lt;&gt;"",H18&lt;&gt;""),ABS(G18-H18)/ABS(G18)*100,""),"")</f>
        <v/>
      </c>
      <c r="J18" s="69" t="inlineStr">
        <is>
          <t>Claude</t>
        </is>
      </c>
      <c r="K18" s="67" t="n">
        <v>25.63</v>
      </c>
      <c r="L18" s="67" t="n"/>
      <c r="M18" s="71">
        <f>IFERROR(IF(AND(K18&lt;&gt;"",L18&lt;&gt;""),ABS(K18-L18)/ABS(K18)*100,""),"")</f>
        <v/>
      </c>
      <c r="N18" s="69" t="inlineStr">
        <is>
          <t>Claude</t>
        </is>
      </c>
      <c r="O18" s="67" t="n">
        <v>63.93</v>
      </c>
      <c r="P18" s="67" t="n"/>
      <c r="Q18" s="71">
        <f>IFERROR(IF(AND(O18&lt;&gt;"",P18&lt;&gt;""),ABS(O18-P18)/ABS(O18)*100,""),"")</f>
        <v/>
      </c>
      <c r="R18" s="69" t="inlineStr">
        <is>
          <t>Claude</t>
        </is>
      </c>
      <c r="S18" s="67" t="n">
        <v>9.76</v>
      </c>
      <c r="T18" s="67" t="n"/>
      <c r="U18" s="71">
        <f>IFERROR(IF(AND(S18&lt;&gt;"",T18&lt;&gt;""),ABS(S18-T18)/ABS(S18)*100,""),"")</f>
        <v/>
      </c>
      <c r="V18" s="69" t="inlineStr">
        <is>
          <t>Claude</t>
        </is>
      </c>
      <c r="W18" s="67" t="n"/>
      <c r="X18" s="67" t="n"/>
      <c r="Y18" s="71">
        <f>IFERROR(IF(AND(W18&lt;&gt;"",X18&lt;&gt;""),ABS(W18-X18)/ABS(W18)*100,""),"")</f>
        <v/>
      </c>
      <c r="Z18" s="69" t="inlineStr">
        <is>
          <t>ND</t>
        </is>
      </c>
      <c r="AA18" s="67" t="n">
        <v>39.74</v>
      </c>
      <c r="AB18" s="67" t="n"/>
      <c r="AC18" s="71">
        <f>IFERROR(IF(AND(AA18&lt;&gt;"",AB18&lt;&gt;""),ABS(AA18-AB18)/ABS(AA18)*100,""),"")</f>
        <v/>
      </c>
      <c r="AD18" s="69" t="inlineStr">
        <is>
          <t>Claude</t>
        </is>
      </c>
      <c r="AE18" s="67" t="n"/>
      <c r="AF18" s="67" t="n"/>
      <c r="AG18" s="71">
        <f>IFERROR(IF(AND(AE18&lt;&gt;"",AF18&lt;&gt;""),ABS(AE18-AF18)/ABS(AE18)*100,""),"")</f>
        <v/>
      </c>
      <c r="AH18" s="69" t="inlineStr">
        <is>
          <t>ND</t>
        </is>
      </c>
      <c r="AI18" s="67" t="n"/>
      <c r="AJ18" s="67" t="n"/>
      <c r="AK18" s="71">
        <f>IFERROR(IF(AND(AI18&lt;&gt;"",AJ18&lt;&gt;""),ABS(AI18-AJ18)/ABS(AI18)*100,""),"")</f>
        <v/>
      </c>
      <c r="AL18" s="69" t="inlineStr">
        <is>
          <t>ND</t>
        </is>
      </c>
      <c r="AM18" s="67" t="n">
        <v>15.44</v>
      </c>
      <c r="AN18" s="67" t="n"/>
      <c r="AO18" s="71">
        <f>IFERROR(IF(AND(AM18&lt;&gt;"",AN18&lt;&gt;""),ABS(AM18-AN18)/ABS(AM18)*100,""),"")</f>
        <v/>
      </c>
      <c r="AP18" s="69" t="inlineStr">
        <is>
          <t>Claude</t>
        </is>
      </c>
      <c r="AQ18" s="67" t="n">
        <v>16.13</v>
      </c>
      <c r="AR18" s="67" t="n"/>
      <c r="AS18" s="71">
        <f>IFERROR(IF(AND(AQ18&lt;&gt;"",AR18&lt;&gt;""),ABS(AQ18-AR18)/ABS(AQ18)*100,""),"")</f>
        <v/>
      </c>
      <c r="AT18" s="69" t="inlineStr">
        <is>
          <t>Claude</t>
        </is>
      </c>
      <c r="AU18" s="64" t="n">
        <v>14.29</v>
      </c>
      <c r="AV18" s="64" t="n">
        <v>12.5</v>
      </c>
      <c r="AW18" s="71">
        <f>IFERROR(IF(AND(AU18&lt;&gt;"",AV18&lt;&gt;""),ABS(AU18-AV18)/ABS(AU18)*100,""),"")</f>
        <v/>
      </c>
      <c r="AX18" s="66" t="inlineStr">
        <is>
          <t>MANUAL FLAG</t>
        </is>
      </c>
      <c r="AY18" s="67" t="n">
        <v>97000000</v>
      </c>
      <c r="AZ18" s="67" t="n"/>
      <c r="BA18" s="71">
        <f>IFERROR(IF(AND(AY18&lt;&gt;"",AZ18&lt;&gt;""),ABS(AY18-AZ18)/ABS(AY18)*100,""),"")</f>
        <v/>
      </c>
      <c r="BB18" s="69" t="inlineStr">
        <is>
          <t>Claude</t>
        </is>
      </c>
      <c r="BC18" s="67" t="n">
        <v>30.19</v>
      </c>
      <c r="BD18" s="67" t="n"/>
      <c r="BE18" s="71">
        <f>IFERROR(IF(AND(BC18&lt;&gt;"",BD18&lt;&gt;""),ABS(BC18-BD18)/ABS(BC18)*100,""),"")</f>
        <v/>
      </c>
      <c r="BF18" s="69" t="inlineStr">
        <is>
          <t>Claude</t>
        </is>
      </c>
      <c r="BG18" s="67" t="n">
        <v>1620000</v>
      </c>
      <c r="BH18" s="67" t="n"/>
      <c r="BI18" s="71">
        <f>IFERROR(IF(AND(BG18&lt;&gt;"",BH18&lt;&gt;""),ABS(BG18-BH18)/ABS(BG18)*100,""),"")</f>
        <v/>
      </c>
      <c r="BJ18" s="69" t="inlineStr">
        <is>
          <t>Claude</t>
        </is>
      </c>
      <c r="BK18" s="67" t="n">
        <v>60.7</v>
      </c>
      <c r="BL18" s="67" t="n"/>
      <c r="BM18" s="71">
        <f>IFERROR(IF(AND(BK18&lt;&gt;"",BL18&lt;&gt;""),ABS(BK18-BL18)/ABS(BK18)*100,""),"")</f>
        <v/>
      </c>
      <c r="BN18" s="69" t="inlineStr">
        <is>
          <t>Claude</t>
        </is>
      </c>
      <c r="BO18" s="67" t="n">
        <v>34</v>
      </c>
      <c r="BP18" s="67" t="n"/>
      <c r="BQ18" s="71">
        <f>IFERROR(IF(AND(BO18&lt;&gt;"",BP18&lt;&gt;""),ABS(BO18-BP18)/ABS(BO18)*100,""),"")</f>
        <v/>
      </c>
      <c r="BR18" s="69" t="inlineStr">
        <is>
          <t>Claude</t>
        </is>
      </c>
      <c r="BS18" s="67" t="n">
        <v>10</v>
      </c>
      <c r="BT18" s="67" t="n"/>
      <c r="BU18" s="71">
        <f>IFERROR(IF(AND(BS18&lt;&gt;"",BT18&lt;&gt;""),ABS(BS18-BT18)/ABS(BS18)*100,""),"")</f>
        <v/>
      </c>
      <c r="BV18" s="69" t="inlineStr">
        <is>
          <t>Claude</t>
        </is>
      </c>
      <c r="BW18" s="67" t="n"/>
      <c r="BX18" s="67" t="n"/>
      <c r="BY18" s="71">
        <f>IFERROR(IF(AND(BW18&lt;&gt;"",BX18&lt;&gt;""),ABS(BW18-BX18)/ABS(BW18)*100,""),"")</f>
        <v/>
      </c>
      <c r="BZ18" s="69" t="inlineStr">
        <is>
          <t>ND</t>
        </is>
      </c>
      <c r="CA18" s="67" t="n">
        <v>12.58</v>
      </c>
      <c r="CB18" s="67" t="n"/>
      <c r="CC18" s="71">
        <f>IFERROR(IF(AND(CA18&lt;&gt;"",CB18&lt;&gt;""),ABS(CA18-CB18)/ABS(CA18)*100,""),"")</f>
        <v/>
      </c>
      <c r="CD18" s="69" t="inlineStr">
        <is>
          <t>Claude</t>
        </is>
      </c>
      <c r="CE18" s="64" t="n">
        <v>4.1</v>
      </c>
      <c r="CF18" s="64" t="n">
        <v>51</v>
      </c>
      <c r="CG18" s="71">
        <f>IFERROR(IF(AND(CE18&lt;&gt;"",CF18&lt;&gt;""),ABS(CE18-CF18)/ABS(CE18)*100,""),"")</f>
        <v/>
      </c>
      <c r="CH18" s="66" t="inlineStr">
        <is>
          <t>MANUAL FLAG</t>
        </is>
      </c>
      <c r="CI18" s="64" t="n">
        <v>1.7</v>
      </c>
      <c r="CJ18" s="64" t="n">
        <v>1.2</v>
      </c>
      <c r="CK18" s="71">
        <f>IFERROR(IF(AND(CI18&lt;&gt;"",CJ18&lt;&gt;""),ABS(CI18-CJ18)/ABS(CI18)*100,""),"")</f>
        <v/>
      </c>
      <c r="CL18" s="66" t="inlineStr">
        <is>
          <t>MANUAL FLAG</t>
        </is>
      </c>
      <c r="CM18" s="67" t="n">
        <v>43.2</v>
      </c>
      <c r="CN18" s="67" t="n"/>
      <c r="CO18" s="71">
        <f>IFERROR(IF(AND(CM18&lt;&gt;"",CN18&lt;&gt;""),ABS(CM18-CN18)/ABS(CM18)*100,""),"")</f>
        <v/>
      </c>
      <c r="CP18" s="69" t="inlineStr">
        <is>
          <t>Claude</t>
        </is>
      </c>
      <c r="CQ18" s="67" t="n">
        <v>0</v>
      </c>
      <c r="CR18" s="67" t="n"/>
      <c r="CS18" s="71">
        <f>IFERROR(IF(AND(CQ18&lt;&gt;"",CR18&lt;&gt;""),ABS(CQ18-CR18)/ABS(CQ18)*100,""),"")</f>
        <v/>
      </c>
      <c r="CT18" s="69" t="inlineStr">
        <is>
          <t>Claude</t>
        </is>
      </c>
      <c r="CU18" s="67" t="n">
        <v>0</v>
      </c>
      <c r="CV18" s="67" t="n">
        <v>0</v>
      </c>
      <c r="CW18" s="71">
        <f>IFERROR(IF(AND(CU18&lt;&gt;"",CV18&lt;&gt;""),ABS(CU18-CV18)/ABS(CU18)*100,""),"")</f>
        <v/>
      </c>
      <c r="CX18" s="69" t="inlineStr">
        <is>
          <t>Claude</t>
        </is>
      </c>
      <c r="CY18" s="68" t="n"/>
      <c r="CZ18" s="68" t="n"/>
      <c r="DA18" s="71">
        <f>IFERROR(IF(AND(CY18&lt;&gt;"",CZ18&lt;&gt;""),ABS(CY18-CZ18)/ABS(CY18)*100,""),"")</f>
        <v/>
      </c>
      <c r="DB18" s="69" t="inlineStr">
        <is>
          <t>ND</t>
        </is>
      </c>
      <c r="DC18" s="68" t="n"/>
      <c r="DD18" s="68" t="n"/>
      <c r="DE18" s="71">
        <f>IFERROR(IF(AND(DC18&lt;&gt;"",DD18&lt;&gt;""),ABS(DC18-DD18)/ABS(DC18)*100,""),"")</f>
        <v/>
      </c>
      <c r="DF18" s="69" t="inlineStr">
        <is>
          <t>ND</t>
        </is>
      </c>
      <c r="DG18" s="68" t="n"/>
      <c r="DH18" s="68" t="n"/>
      <c r="DI18" s="71">
        <f>IFERROR(IF(AND(DG18&lt;&gt;"",DH18&lt;&gt;""),ABS(DG18-DH18)/ABS(DG18)*100,""),"")</f>
        <v/>
      </c>
      <c r="DJ18" s="69" t="inlineStr">
        <is>
          <t>ND</t>
        </is>
      </c>
      <c r="DK18" s="68" t="n"/>
      <c r="DL18" s="68" t="n"/>
      <c r="DM18" s="71">
        <f>IFERROR(IF(AND(DK18&lt;&gt;"",DL18&lt;&gt;""),ABS(DK18-DL18)/ABS(DK18)*100,""),"")</f>
        <v/>
      </c>
      <c r="DN18" s="69" t="inlineStr">
        <is>
          <t>ND</t>
        </is>
      </c>
      <c r="DO18" s="68" t="n"/>
      <c r="DP18" s="68" t="n"/>
      <c r="DQ18" s="71">
        <f>IFERROR(IF(AND(DO18&lt;&gt;"",DP18&lt;&gt;""),ABS(DO18-DP18)/ABS(DO18)*100,""),"")</f>
        <v/>
      </c>
      <c r="DR18" s="69" t="inlineStr">
        <is>
          <t>ND</t>
        </is>
      </c>
      <c r="DS18" s="68" t="n"/>
      <c r="DT18" s="68" t="n"/>
      <c r="DU18" s="71">
        <f>IFERROR(IF(AND(DS18&lt;&gt;"",DT18&lt;&gt;""),ABS(DS18-DT18)/ABS(DS18)*100,""),"")</f>
        <v/>
      </c>
      <c r="DV18" s="69" t="inlineStr">
        <is>
          <t>ND</t>
        </is>
      </c>
      <c r="DW18" s="70" t="inlineStr">
        <is>
          <t>Claude only (DeepSeek pending). Same batch/methodology note as 2022. Ind.7/8 = ND, no total workforce given (headcount: 31 disabled, 4 foreign). || DEEPSEEK RECONCILIATION - MANUAL FLAGS: Ind.11 (Female Board Directors): Claude=14.29, DeepSeek=12.5, Diff=12.5%; Ind.20 (Voluntary Turnover): Claude=4.1, DeepSeek=51, Diff=1143.9%; Ind.21 (Involuntary Turnover): Claude=1.7, DeepSeek=1.2, Diff=29.4%</t>
        </is>
      </c>
    </row>
    <row r="19" ht="4.5" customHeight="1" s="43">
      <c r="A19" s="72" t="n"/>
      <c r="B19" s="72" t="n"/>
      <c r="C19" s="72" t="n"/>
      <c r="D19" s="72" t="n"/>
      <c r="E19" s="72" t="n"/>
      <c r="F19" s="72" t="n"/>
      <c r="G19" s="72" t="n"/>
      <c r="H19" s="72" t="n"/>
      <c r="I19" s="72" t="n"/>
      <c r="J19" s="72" t="n"/>
      <c r="K19" s="72" t="n"/>
      <c r="L19" s="72" t="n"/>
      <c r="M19" s="72" t="n"/>
      <c r="N19" s="72" t="n"/>
      <c r="O19" s="72" t="n"/>
      <c r="P19" s="72" t="n"/>
      <c r="Q19" s="72" t="n"/>
      <c r="R19" s="72" t="n"/>
      <c r="S19" s="72" t="n"/>
      <c r="T19" s="72" t="n"/>
      <c r="U19" s="72" t="n"/>
      <c r="V19" s="72" t="n"/>
      <c r="W19" s="72" t="n"/>
      <c r="X19" s="72" t="n"/>
      <c r="Y19" s="72" t="n"/>
      <c r="Z19" s="72" t="n"/>
      <c r="AA19" s="72" t="n"/>
      <c r="AB19" s="72" t="n"/>
      <c r="AC19" s="72" t="n"/>
      <c r="AD19" s="72" t="n"/>
      <c r="AE19" s="72" t="n"/>
      <c r="AF19" s="72" t="n"/>
      <c r="AG19" s="72" t="n"/>
      <c r="AH19" s="72" t="n"/>
      <c r="AI19" s="72" t="n"/>
      <c r="AJ19" s="72" t="n"/>
      <c r="AK19" s="72" t="n"/>
      <c r="AL19" s="72" t="n"/>
      <c r="AM19" s="72" t="n"/>
      <c r="AN19" s="72" t="n"/>
      <c r="AO19" s="72" t="n"/>
      <c r="AP19" s="72" t="n"/>
      <c r="AQ19" s="72" t="n"/>
      <c r="AR19" s="72" t="n"/>
      <c r="AS19" s="72" t="n"/>
      <c r="AT19" s="72" t="n"/>
      <c r="AU19" s="72" t="n"/>
      <c r="AV19" s="72" t="n"/>
      <c r="AW19" s="72" t="n"/>
      <c r="AX19" s="72" t="n"/>
      <c r="AY19" s="72" t="n"/>
      <c r="AZ19" s="72" t="n"/>
      <c r="BA19" s="72" t="n"/>
      <c r="BB19" s="72" t="n"/>
      <c r="BC19" s="72" t="n"/>
      <c r="BD19" s="72" t="n"/>
      <c r="BE19" s="72" t="n"/>
      <c r="BF19" s="72" t="n"/>
      <c r="BG19" s="72" t="n"/>
      <c r="BH19" s="72" t="n"/>
      <c r="BI19" s="72" t="n"/>
      <c r="BJ19" s="72" t="n"/>
      <c r="BK19" s="72" t="n"/>
      <c r="BL19" s="72" t="n"/>
      <c r="BM19" s="72" t="n"/>
      <c r="BN19" s="72" t="n"/>
      <c r="BO19" s="72" t="n"/>
      <c r="BP19" s="72" t="n"/>
      <c r="BQ19" s="72" t="n"/>
      <c r="BR19" s="72" t="n"/>
      <c r="BS19" s="72" t="n"/>
      <c r="BT19" s="72" t="n"/>
      <c r="BU19" s="72" t="n"/>
      <c r="BV19" s="72" t="n"/>
      <c r="BW19" s="72" t="n"/>
      <c r="BX19" s="72" t="n"/>
      <c r="BY19" s="72" t="n"/>
      <c r="BZ19" s="72" t="n"/>
      <c r="CA19" s="72" t="n"/>
      <c r="CB19" s="72" t="n"/>
      <c r="CC19" s="72" t="n"/>
      <c r="CD19" s="72" t="n"/>
      <c r="CE19" s="72" t="n"/>
      <c r="CF19" s="72" t="n"/>
      <c r="CG19" s="72" t="n"/>
      <c r="CH19" s="72" t="n"/>
      <c r="CI19" s="72" t="n"/>
      <c r="CJ19" s="72" t="n"/>
      <c r="CK19" s="72" t="n"/>
      <c r="CL19" s="72" t="n"/>
      <c r="CM19" s="72" t="n"/>
      <c r="CN19" s="72" t="n"/>
      <c r="CO19" s="72" t="n"/>
      <c r="CP19" s="72" t="n"/>
      <c r="CQ19" s="72" t="n"/>
      <c r="CR19" s="72" t="n"/>
      <c r="CS19" s="72" t="n"/>
      <c r="CT19" s="72" t="n"/>
      <c r="CU19" s="72" t="n"/>
      <c r="CV19" s="72" t="n"/>
      <c r="CW19" s="72" t="n"/>
      <c r="CX19" s="72" t="n"/>
      <c r="CY19" s="72" t="n"/>
      <c r="CZ19" s="72" t="n"/>
      <c r="DA19" s="72" t="n"/>
      <c r="DB19" s="72" t="n"/>
      <c r="DC19" s="72" t="n"/>
      <c r="DD19" s="72" t="n"/>
      <c r="DE19" s="72" t="n"/>
      <c r="DF19" s="72" t="n"/>
      <c r="DG19" s="72" t="n"/>
      <c r="DH19" s="72" t="n"/>
      <c r="DI19" s="72" t="n"/>
      <c r="DJ19" s="72" t="n"/>
      <c r="DK19" s="72" t="n"/>
      <c r="DL19" s="72" t="n"/>
      <c r="DM19" s="72" t="n"/>
      <c r="DN19" s="72" t="n"/>
      <c r="DO19" s="72" t="n"/>
      <c r="DP19" s="72" t="n"/>
      <c r="DQ19" s="72" t="n"/>
      <c r="DR19" s="72" t="n"/>
      <c r="DS19" s="72" t="n"/>
      <c r="DT19" s="72" t="n"/>
      <c r="DU19" s="72" t="n"/>
      <c r="DV19" s="72" t="n"/>
      <c r="DW19" s="72" t="n"/>
    </row>
    <row r="20" ht="15.75" customHeight="1" s="43">
      <c r="A20" s="61" t="inlineStr">
        <is>
          <t>SKBP</t>
        </is>
      </c>
      <c r="B20" s="62" t="inlineStr">
        <is>
          <t>326030</t>
        </is>
      </c>
      <c r="C20" s="62" t="inlineStr">
        <is>
          <t>Health Care</t>
        </is>
      </c>
      <c r="D20" s="62" t="inlineStr">
        <is>
          <t>2018</t>
        </is>
      </c>
      <c r="E20" s="63" t="inlineStr">
        <is>
          <t>SKBP_2021.pdf (only report covering 2018)</t>
        </is>
      </c>
      <c r="F20" s="62" t="n"/>
      <c r="G20" s="67" t="n"/>
      <c r="H20" s="67" t="n">
        <v>1.16</v>
      </c>
      <c r="I20" s="65">
        <f>IFERROR(IF(AND(G20&lt;&gt;"",H20&lt;&gt;""),ABS(G20-H20)/ABS(G20)*100,""),"")</f>
        <v/>
      </c>
      <c r="J20" s="62" t="inlineStr">
        <is>
          <t>DeepSeek</t>
        </is>
      </c>
      <c r="K20" s="67" t="n"/>
      <c r="L20" s="67" t="n">
        <v>56.14</v>
      </c>
      <c r="M20" s="65">
        <f>IFERROR(IF(AND(K20&lt;&gt;"",L20&lt;&gt;""),ABS(K20-L20)/ABS(K20)*100,""),"")</f>
        <v/>
      </c>
      <c r="N20" s="62" t="inlineStr">
        <is>
          <t>DeepSeek</t>
        </is>
      </c>
      <c r="O20" s="67" t="n"/>
      <c r="P20" s="67" t="n"/>
      <c r="Q20" s="65">
        <f>IFERROR(IF(AND(O20&lt;&gt;"",P20&lt;&gt;""),ABS(O20-P20)/ABS(O20)*100,""),"")</f>
        <v/>
      </c>
      <c r="R20" s="62" t="inlineStr">
        <is>
          <t>ND</t>
        </is>
      </c>
      <c r="S20" s="67" t="n">
        <v>27.75</v>
      </c>
      <c r="T20" s="67" t="n">
        <v>27.75</v>
      </c>
      <c r="U20" s="65">
        <f>IFERROR(IF(AND(S20&lt;&gt;"",T20&lt;&gt;""),ABS(S20-T20)/ABS(S20)*100,""),"")</f>
        <v/>
      </c>
      <c r="V20" s="62" t="inlineStr">
        <is>
          <t>Claude</t>
        </is>
      </c>
      <c r="W20" s="67" t="n"/>
      <c r="X20" s="67" t="n"/>
      <c r="Y20" s="65">
        <f>IFERROR(IF(AND(W20&lt;&gt;"",X20&lt;&gt;""),ABS(W20-X20)/ABS(W20)*100,""),"")</f>
        <v/>
      </c>
      <c r="Z20" s="62" t="inlineStr">
        <is>
          <t>ND</t>
        </is>
      </c>
      <c r="AA20" s="67" t="n"/>
      <c r="AB20" s="67" t="n"/>
      <c r="AC20" s="65">
        <f>IFERROR(IF(AND(AA20&lt;&gt;"",AB20&lt;&gt;""),ABS(AA20-AB20)/ABS(AA20)*100,""),"")</f>
        <v/>
      </c>
      <c r="AD20" s="62" t="inlineStr">
        <is>
          <t>ND</t>
        </is>
      </c>
      <c r="AE20" s="67" t="n">
        <v>0.578</v>
      </c>
      <c r="AF20" s="67" t="n"/>
      <c r="AG20" s="65">
        <f>IFERROR(IF(AND(AE20&lt;&gt;"",AF20&lt;&gt;""),ABS(AE20-AF20)/ABS(AE20)*100,""),"")</f>
        <v/>
      </c>
      <c r="AH20" s="62" t="inlineStr">
        <is>
          <t>Claude</t>
        </is>
      </c>
      <c r="AI20" s="67" t="n"/>
      <c r="AJ20" s="67" t="n"/>
      <c r="AK20" s="65">
        <f>IFERROR(IF(AND(AI20&lt;&gt;"",AJ20&lt;&gt;""),ABS(AI20-AJ20)/ABS(AI20)*100,""),"")</f>
        <v/>
      </c>
      <c r="AL20" s="62" t="inlineStr">
        <is>
          <t>ND</t>
        </is>
      </c>
      <c r="AM20" s="67" t="n">
        <v>25</v>
      </c>
      <c r="AN20" s="67" t="n"/>
      <c r="AO20" s="65">
        <f>IFERROR(IF(AND(AM20&lt;&gt;"",AN20&lt;&gt;""),ABS(AM20-AN20)/ABS(AM20)*100,""),"")</f>
        <v/>
      </c>
      <c r="AP20" s="62" t="inlineStr">
        <is>
          <t>Claude</t>
        </is>
      </c>
      <c r="AQ20" s="67" t="n"/>
      <c r="AR20" s="67" t="n">
        <v>25</v>
      </c>
      <c r="AS20" s="65">
        <f>IFERROR(IF(AND(AQ20&lt;&gt;"",AR20&lt;&gt;""),ABS(AQ20-AR20)/ABS(AQ20)*100,""),"")</f>
        <v/>
      </c>
      <c r="AT20" s="62" t="inlineStr">
        <is>
          <t>DeepSeek</t>
        </is>
      </c>
      <c r="AU20" s="67" t="n"/>
      <c r="AV20" s="67" t="n"/>
      <c r="AW20" s="65">
        <f>IFERROR(IF(AND(AU20&lt;&gt;"",AV20&lt;&gt;""),ABS(AU20-AV20)/ABS(AU20)*100,""),"")</f>
        <v/>
      </c>
      <c r="AX20" s="62" t="inlineStr">
        <is>
          <t>ND</t>
        </is>
      </c>
      <c r="AY20" s="67" t="n"/>
      <c r="AZ20" s="67" t="n"/>
      <c r="BA20" s="65">
        <f>IFERROR(IF(AND(AY20&lt;&gt;"",AZ20&lt;&gt;""),ABS(AY20-AZ20)/ABS(AY20)*100,""),"")</f>
        <v/>
      </c>
      <c r="BB20" s="62" t="inlineStr">
        <is>
          <t>ND</t>
        </is>
      </c>
      <c r="BC20" s="67" t="n"/>
      <c r="BD20" s="67" t="n"/>
      <c r="BE20" s="65">
        <f>IFERROR(IF(AND(BC20&lt;&gt;"",BD20&lt;&gt;""),ABS(BC20-BD20)/ABS(BC20)*100,""),"")</f>
        <v/>
      </c>
      <c r="BF20" s="62" t="inlineStr">
        <is>
          <t>ND</t>
        </is>
      </c>
      <c r="BG20" s="67" t="n"/>
      <c r="BH20" s="67" t="n"/>
      <c r="BI20" s="65">
        <f>IFERROR(IF(AND(BG20&lt;&gt;"",BH20&lt;&gt;""),ABS(BG20-BH20)/ABS(BG20)*100,""),"")</f>
        <v/>
      </c>
      <c r="BJ20" s="62" t="inlineStr">
        <is>
          <t>ND</t>
        </is>
      </c>
      <c r="BK20" s="67" t="n"/>
      <c r="BL20" s="67" t="n"/>
      <c r="BM20" s="65">
        <f>IFERROR(IF(AND(BK20&lt;&gt;"",BL20&lt;&gt;""),ABS(BK20-BL20)/ABS(BK20)*100,""),"")</f>
        <v/>
      </c>
      <c r="BN20" s="62" t="inlineStr">
        <is>
          <t>ND</t>
        </is>
      </c>
      <c r="BO20" s="67" t="n"/>
      <c r="BP20" s="67" t="n"/>
      <c r="BQ20" s="65">
        <f>IFERROR(IF(AND(BO20&lt;&gt;"",BP20&lt;&gt;""),ABS(BO20-BP20)/ABS(BO20)*100,""),"")</f>
        <v/>
      </c>
      <c r="BR20" s="62" t="inlineStr">
        <is>
          <t>ND</t>
        </is>
      </c>
      <c r="BS20" s="67" t="n"/>
      <c r="BT20" s="67" t="n"/>
      <c r="BU20" s="65">
        <f>IFERROR(IF(AND(BS20&lt;&gt;"",BT20&lt;&gt;""),ABS(BS20-BT20)/ABS(BS20)*100,""),"")</f>
        <v/>
      </c>
      <c r="BV20" s="62" t="inlineStr">
        <is>
          <t>ND</t>
        </is>
      </c>
      <c r="BW20" s="67" t="n"/>
      <c r="BX20" s="67" t="n"/>
      <c r="BY20" s="65">
        <f>IFERROR(IF(AND(BW20&lt;&gt;"",BX20&lt;&gt;""),ABS(BW20-BX20)/ABS(BW20)*100,""),"")</f>
        <v/>
      </c>
      <c r="BZ20" s="62" t="inlineStr">
        <is>
          <t>ND</t>
        </is>
      </c>
      <c r="CA20" s="67" t="n"/>
      <c r="CB20" s="67" t="n"/>
      <c r="CC20" s="65">
        <f>IFERROR(IF(AND(CA20&lt;&gt;"",CB20&lt;&gt;""),ABS(CA20-CB20)/ABS(CA20)*100,""),"")</f>
        <v/>
      </c>
      <c r="CD20" s="62" t="inlineStr">
        <is>
          <t>ND</t>
        </is>
      </c>
      <c r="CE20" s="64" t="n">
        <v>83</v>
      </c>
      <c r="CF20" s="64" t="n">
        <v>47.98</v>
      </c>
      <c r="CG20" s="65">
        <f>IFERROR(IF(AND(CE20&lt;&gt;"",CF20&lt;&gt;""),ABS(CE20-CF20)/ABS(CE20)*100,""),"")</f>
        <v/>
      </c>
      <c r="CH20" s="66" t="inlineStr">
        <is>
          <t>MANUAL FLAG</t>
        </is>
      </c>
      <c r="CI20" s="64" t="n">
        <v>17</v>
      </c>
      <c r="CJ20" s="64" t="n">
        <v>9.83</v>
      </c>
      <c r="CK20" s="65">
        <f>IFERROR(IF(AND(CI20&lt;&gt;"",CJ20&lt;&gt;""),ABS(CI20-CJ20)/ABS(CI20)*100,""),"")</f>
        <v/>
      </c>
      <c r="CL20" s="66" t="inlineStr">
        <is>
          <t>MANUAL FLAG</t>
        </is>
      </c>
      <c r="CM20" s="67" t="n"/>
      <c r="CN20" s="67" t="n"/>
      <c r="CO20" s="65">
        <f>IFERROR(IF(AND(CM20&lt;&gt;"",CN20&lt;&gt;""),ABS(CM20-CN20)/ABS(CM20)*100,""),"")</f>
        <v/>
      </c>
      <c r="CP20" s="62" t="inlineStr">
        <is>
          <t>ND</t>
        </is>
      </c>
      <c r="CQ20" s="67" t="n">
        <v>0</v>
      </c>
      <c r="CR20" s="67" t="n">
        <v>0</v>
      </c>
      <c r="CS20" s="65">
        <f>IFERROR(IF(AND(CQ20&lt;&gt;"",CR20&lt;&gt;""),ABS(CQ20-CR20)/ABS(CQ20)*100,""),"")</f>
        <v/>
      </c>
      <c r="CT20" s="62" t="inlineStr">
        <is>
          <t>Claude</t>
        </is>
      </c>
      <c r="CU20" s="67" t="n">
        <v>0</v>
      </c>
      <c r="CV20" s="67" t="n">
        <v>0</v>
      </c>
      <c r="CW20" s="65">
        <f>IFERROR(IF(AND(CU20&lt;&gt;"",CV20&lt;&gt;""),ABS(CU20-CV20)/ABS(CU20)*100,""),"")</f>
        <v/>
      </c>
      <c r="CX20" s="62" t="inlineStr">
        <is>
          <t>Claude</t>
        </is>
      </c>
      <c r="CY20" s="68" t="n"/>
      <c r="CZ20" s="68" t="n"/>
      <c r="DA20" s="65">
        <f>IFERROR(IF(AND(CY20&lt;&gt;"",CZ20&lt;&gt;""),ABS(CY20-CZ20)/ABS(CY20)*100,""),"")</f>
        <v/>
      </c>
      <c r="DB20" s="62" t="inlineStr">
        <is>
          <t>ND</t>
        </is>
      </c>
      <c r="DC20" s="68" t="n"/>
      <c r="DD20" s="68" t="n"/>
      <c r="DE20" s="65">
        <f>IFERROR(IF(AND(DC20&lt;&gt;"",DD20&lt;&gt;""),ABS(DC20-DD20)/ABS(DC20)*100,""),"")</f>
        <v/>
      </c>
      <c r="DF20" s="62" t="inlineStr">
        <is>
          <t>ND</t>
        </is>
      </c>
      <c r="DG20" s="68" t="n"/>
      <c r="DH20" s="68" t="n"/>
      <c r="DI20" s="65">
        <f>IFERROR(IF(AND(DG20&lt;&gt;"",DH20&lt;&gt;""),ABS(DG20-DH20)/ABS(DG20)*100,""),"")</f>
        <v/>
      </c>
      <c r="DJ20" s="62" t="inlineStr">
        <is>
          <t>ND</t>
        </is>
      </c>
      <c r="DK20" s="68" t="n"/>
      <c r="DL20" s="68" t="n"/>
      <c r="DM20" s="65">
        <f>IFERROR(IF(AND(DK20&lt;&gt;"",DL20&lt;&gt;""),ABS(DK20-DL20)/ABS(DK20)*100,""),"")</f>
        <v/>
      </c>
      <c r="DN20" s="62" t="inlineStr">
        <is>
          <t>ND</t>
        </is>
      </c>
      <c r="DO20" s="68" t="n"/>
      <c r="DP20" s="68" t="n"/>
      <c r="DQ20" s="65">
        <f>IFERROR(IF(AND(DO20&lt;&gt;"",DP20&lt;&gt;""),ABS(DO20-DP20)/ABS(DO20)*100,""),"")</f>
        <v/>
      </c>
      <c r="DR20" s="62" t="inlineStr">
        <is>
          <t>ND</t>
        </is>
      </c>
      <c r="DS20" s="68" t="n"/>
      <c r="DT20" s="68" t="n"/>
      <c r="DU20" s="65">
        <f>IFERROR(IF(AND(DS20&lt;&gt;"",DT20&lt;&gt;""),ABS(DS20-DT20)/ABS(DS20)*100,""),"")</f>
        <v/>
      </c>
      <c r="DV20" s="62" t="inlineStr">
        <is>
          <t>ND</t>
        </is>
      </c>
      <c r="DW20" s="63" t="inlineStr">
        <is>
          <t>Claude only (DeepSeek pending). Source=SKBP_2021.pdf (2017-2020 window), only report covering 2018. Ind.7 (%Disabled)=0.578 recalculated from headcount 1 / total workforce 173 (denominator from New-Hires calc in same report). Ind.8 (%Foreign)=ND, not disclosed any edition. Ind.9=25%, definition='team manager or higher' (broader than strict middle-manager). Ind.20=83, Ind.21=17: both SCOPE-LIMITED to SASB 'all other employees' category (not company-wide blended rate) - not directly comparable to later years' figures. Ind.23=0, disclosed as 'LTIR' on 200,000-hr base, not confirmed equivalent to required 1M-hr LTIFR convention (numerically 0 either way). || DEEPSEEK RECONCILIATION - MANUAL FLAGS: Ind.20 (Voluntary Turnover): Claude=83, DeepSeek=47.98, Diff=42.2%; Ind.21 (Involuntary Turnover): Claude=17, DeepSeek=9.83, Diff=42.2%</t>
        </is>
      </c>
    </row>
    <row r="21" ht="15.75" customHeight="1" s="43">
      <c r="A21" s="69" t="n"/>
      <c r="B21" s="69" t="n"/>
      <c r="C21" s="69" t="inlineStr">
        <is>
          <t>Health Care</t>
        </is>
      </c>
      <c r="D21" s="69" t="inlineStr">
        <is>
          <t>2019</t>
        </is>
      </c>
      <c r="E21" s="70" t="inlineStr">
        <is>
          <t>SKBP_2022.pdf (most recent covering 2019)</t>
        </is>
      </c>
      <c r="F21" s="69" t="n"/>
      <c r="G21" s="67" t="n">
        <v>3.74</v>
      </c>
      <c r="H21" s="67" t="n">
        <v>3.74</v>
      </c>
      <c r="I21" s="71">
        <f>IFERROR(IF(AND(G21&lt;&gt;"",H21&lt;&gt;""),ABS(G21-H21)/ABS(G21)*100,""),"")</f>
        <v/>
      </c>
      <c r="J21" s="69" t="inlineStr">
        <is>
          <t>Claude</t>
        </is>
      </c>
      <c r="K21" s="67" t="n"/>
      <c r="L21" s="67" t="n"/>
      <c r="M21" s="71">
        <f>IFERROR(IF(AND(K21&lt;&gt;"",L21&lt;&gt;""),ABS(K21-L21)/ABS(K21)*100,""),"")</f>
        <v/>
      </c>
      <c r="N21" s="69" t="inlineStr">
        <is>
          <t>ND</t>
        </is>
      </c>
      <c r="O21" s="67" t="n"/>
      <c r="P21" s="67" t="n"/>
      <c r="Q21" s="71">
        <f>IFERROR(IF(AND(O21&lt;&gt;"",P21&lt;&gt;""),ABS(O21-P21)/ABS(O21)*100,""),"")</f>
        <v/>
      </c>
      <c r="R21" s="69" t="inlineStr">
        <is>
          <t>ND</t>
        </is>
      </c>
      <c r="S21" s="64" t="n">
        <v>21.96</v>
      </c>
      <c r="T21" s="64" t="n">
        <v>14.13</v>
      </c>
      <c r="U21" s="71">
        <f>IFERROR(IF(AND(S21&lt;&gt;"",T21&lt;&gt;""),ABS(S21-T21)/ABS(S21)*100,""),"")</f>
        <v/>
      </c>
      <c r="V21" s="66" t="inlineStr">
        <is>
          <t>MANUAL FLAG</t>
        </is>
      </c>
      <c r="W21" s="67" t="n"/>
      <c r="X21" s="67" t="n"/>
      <c r="Y21" s="71">
        <f>IFERROR(IF(AND(W21&lt;&gt;"",X21&lt;&gt;""),ABS(W21-X21)/ABS(W21)*100,""),"")</f>
        <v/>
      </c>
      <c r="Z21" s="69" t="inlineStr">
        <is>
          <t>ND</t>
        </is>
      </c>
      <c r="AA21" s="67" t="n">
        <v>51.06</v>
      </c>
      <c r="AB21" s="67" t="n">
        <v>52.94</v>
      </c>
      <c r="AC21" s="71">
        <f>IFERROR(IF(AND(AA21&lt;&gt;"",AB21&lt;&gt;""),ABS(AA21-AB21)/ABS(AA21)*100,""),"")</f>
        <v/>
      </c>
      <c r="AD21" s="69" t="inlineStr">
        <is>
          <t>Claude</t>
        </is>
      </c>
      <c r="AE21" s="67" t="n">
        <v>0.957</v>
      </c>
      <c r="AF21" s="67" t="n"/>
      <c r="AG21" s="71">
        <f>IFERROR(IF(AND(AE21&lt;&gt;"",AF21&lt;&gt;""),ABS(AE21-AF21)/ABS(AE21)*100,""),"")</f>
        <v/>
      </c>
      <c r="AH21" s="69" t="inlineStr">
        <is>
          <t>Claude</t>
        </is>
      </c>
      <c r="AI21" s="67" t="n"/>
      <c r="AJ21" s="67" t="n"/>
      <c r="AK21" s="71">
        <f>IFERROR(IF(AND(AI21&lt;&gt;"",AJ21&lt;&gt;""),ABS(AI21-AJ21)/ABS(AI21)*100,""),"")</f>
        <v/>
      </c>
      <c r="AL21" s="69" t="inlineStr">
        <is>
          <t>ND</t>
        </is>
      </c>
      <c r="AM21" s="64" t="n">
        <v>48.6</v>
      </c>
      <c r="AN21" s="64" t="n">
        <v>35</v>
      </c>
      <c r="AO21" s="71">
        <f>IFERROR(IF(AND(AM21&lt;&gt;"",AN21&lt;&gt;""),ABS(AM21-AN21)/ABS(AM21)*100,""),"")</f>
        <v/>
      </c>
      <c r="AP21" s="66" t="inlineStr">
        <is>
          <t>MANUAL FLAG</t>
        </is>
      </c>
      <c r="AQ21" s="64" t="n">
        <v>0</v>
      </c>
      <c r="AR21" s="64" t="n">
        <v>8.33</v>
      </c>
      <c r="AS21" s="71">
        <f>IFERROR(IF(AND(AQ21&lt;&gt;"",AR21&lt;&gt;""),ABS(AQ21-AR21)/ABS(AQ21)*100,""),"")</f>
        <v/>
      </c>
      <c r="AT21" s="66" t="inlineStr">
        <is>
          <t>MANUAL FLAG</t>
        </is>
      </c>
      <c r="AU21" s="67" t="n">
        <v>20</v>
      </c>
      <c r="AV21" s="67" t="n">
        <v>20</v>
      </c>
      <c r="AW21" s="71">
        <f>IFERROR(IF(AND(AU21&lt;&gt;"",AV21&lt;&gt;""),ABS(AU21-AV21)/ABS(AU21)*100,""),"")</f>
        <v/>
      </c>
      <c r="AX21" s="69" t="inlineStr">
        <is>
          <t>Claude</t>
        </is>
      </c>
      <c r="AY21" s="67" t="n"/>
      <c r="AZ21" s="67" t="n"/>
      <c r="BA21" s="71">
        <f>IFERROR(IF(AND(AY21&lt;&gt;"",AZ21&lt;&gt;""),ABS(AY21-AZ21)/ABS(AY21)*100,""),"")</f>
        <v/>
      </c>
      <c r="BB21" s="69" t="inlineStr">
        <is>
          <t>ND</t>
        </is>
      </c>
      <c r="BC21" s="67" t="n"/>
      <c r="BD21" s="67" t="n">
        <v>10.94</v>
      </c>
      <c r="BE21" s="71">
        <f>IFERROR(IF(AND(BC21&lt;&gt;"",BD21&lt;&gt;""),ABS(BC21-BD21)/ABS(BC21)*100,""),"")</f>
        <v/>
      </c>
      <c r="BF21" s="69" t="inlineStr">
        <is>
          <t>DeepSeek</t>
        </is>
      </c>
      <c r="BG21" s="67" t="n"/>
      <c r="BH21" s="67" t="n"/>
      <c r="BI21" s="71">
        <f>IFERROR(IF(AND(BG21&lt;&gt;"",BH21&lt;&gt;""),ABS(BG21-BH21)/ABS(BG21)*100,""),"")</f>
        <v/>
      </c>
      <c r="BJ21" s="69" t="inlineStr">
        <is>
          <t>ND</t>
        </is>
      </c>
      <c r="BK21" s="67" t="n"/>
      <c r="BL21" s="67" t="n"/>
      <c r="BM21" s="71">
        <f>IFERROR(IF(AND(BK21&lt;&gt;"",BL21&lt;&gt;""),ABS(BK21-BL21)/ABS(BK21)*100,""),"")</f>
        <v/>
      </c>
      <c r="BN21" s="69" t="inlineStr">
        <is>
          <t>ND</t>
        </is>
      </c>
      <c r="BO21" s="67" t="n">
        <v>7</v>
      </c>
      <c r="BP21" s="67" t="n">
        <v>7</v>
      </c>
      <c r="BQ21" s="71">
        <f>IFERROR(IF(AND(BO21&lt;&gt;"",BP21&lt;&gt;""),ABS(BO21-BP21)/ABS(BO21)*100,""),"")</f>
        <v/>
      </c>
      <c r="BR21" s="69" t="inlineStr">
        <is>
          <t>Claude</t>
        </is>
      </c>
      <c r="BS21" s="67" t="n">
        <v>0</v>
      </c>
      <c r="BT21" s="67" t="n">
        <v>0</v>
      </c>
      <c r="BU21" s="71">
        <f>IFERROR(IF(AND(BS21&lt;&gt;"",BT21&lt;&gt;""),ABS(BS21-BT21)/ABS(BS21)*100,""),"")</f>
        <v/>
      </c>
      <c r="BV21" s="69" t="inlineStr">
        <is>
          <t>Claude</t>
        </is>
      </c>
      <c r="BW21" s="67" t="n"/>
      <c r="BX21" s="67" t="n"/>
      <c r="BY21" s="71">
        <f>IFERROR(IF(AND(BW21&lt;&gt;"",BX21&lt;&gt;""),ABS(BW21-BX21)/ABS(BW21)*100,""),"")</f>
        <v/>
      </c>
      <c r="BZ21" s="69" t="inlineStr">
        <is>
          <t>ND</t>
        </is>
      </c>
      <c r="CA21" s="67" t="n"/>
      <c r="CB21" s="67" t="n"/>
      <c r="CC21" s="71">
        <f>IFERROR(IF(AND(CA21&lt;&gt;"",CB21&lt;&gt;""),ABS(CA21-CB21)/ABS(CA21)*100,""),"")</f>
        <v/>
      </c>
      <c r="CD21" s="69" t="inlineStr">
        <is>
          <t>ND</t>
        </is>
      </c>
      <c r="CE21" s="64" t="n">
        <v>5.2</v>
      </c>
      <c r="CF21" s="64" t="n">
        <v>11.45</v>
      </c>
      <c r="CG21" s="71">
        <f>IFERROR(IF(AND(CE21&lt;&gt;"",CF21&lt;&gt;""),ABS(CE21-CF21)/ABS(CE21)*100,""),"")</f>
        <v/>
      </c>
      <c r="CH21" s="66" t="inlineStr">
        <is>
          <t>MANUAL FLAG</t>
        </is>
      </c>
      <c r="CI21" s="64" t="n">
        <v>0.47</v>
      </c>
      <c r="CJ21" s="64" t="n">
        <v>1.11</v>
      </c>
      <c r="CK21" s="71">
        <f>IFERROR(IF(AND(CI21&lt;&gt;"",CJ21&lt;&gt;""),ABS(CI21-CJ21)/ABS(CI21)*100,""),"")</f>
        <v/>
      </c>
      <c r="CL21" s="66" t="inlineStr">
        <is>
          <t>MANUAL FLAG</t>
        </is>
      </c>
      <c r="CM21" s="67" t="n"/>
      <c r="CN21" s="67" t="n"/>
      <c r="CO21" s="71">
        <f>IFERROR(IF(AND(CM21&lt;&gt;"",CN21&lt;&gt;""),ABS(CM21-CN21)/ABS(CM21)*100,""),"")</f>
        <v/>
      </c>
      <c r="CP21" s="69" t="inlineStr">
        <is>
          <t>ND</t>
        </is>
      </c>
      <c r="CQ21" s="67" t="n">
        <v>0</v>
      </c>
      <c r="CR21" s="67" t="n">
        <v>0</v>
      </c>
      <c r="CS21" s="71">
        <f>IFERROR(IF(AND(CQ21&lt;&gt;"",CR21&lt;&gt;""),ABS(CQ21-CR21)/ABS(CQ21)*100,""),"")</f>
        <v/>
      </c>
      <c r="CT21" s="69" t="inlineStr">
        <is>
          <t>Claude</t>
        </is>
      </c>
      <c r="CU21" s="67" t="n">
        <v>0</v>
      </c>
      <c r="CV21" s="67" t="n">
        <v>0</v>
      </c>
      <c r="CW21" s="71">
        <f>IFERROR(IF(AND(CU21&lt;&gt;"",CV21&lt;&gt;""),ABS(CU21-CV21)/ABS(CU21)*100,""),"")</f>
        <v/>
      </c>
      <c r="CX21" s="69" t="inlineStr">
        <is>
          <t>Claude</t>
        </is>
      </c>
      <c r="CY21" s="68" t="n"/>
      <c r="CZ21" s="68" t="n"/>
      <c r="DA21" s="71">
        <f>IFERROR(IF(AND(CY21&lt;&gt;"",CZ21&lt;&gt;""),ABS(CY21-CZ21)/ABS(CY21)*100,""),"")</f>
        <v/>
      </c>
      <c r="DB21" s="69" t="inlineStr">
        <is>
          <t>ND</t>
        </is>
      </c>
      <c r="DC21" s="68" t="n"/>
      <c r="DD21" s="68" t="n">
        <v>7</v>
      </c>
      <c r="DE21" s="71">
        <f>IFERROR(IF(AND(DC21&lt;&gt;"",DD21&lt;&gt;""),ABS(DC21-DD21)/ABS(DC21)*100,""),"")</f>
        <v/>
      </c>
      <c r="DF21" s="69" t="inlineStr">
        <is>
          <t>DeepSeek</t>
        </is>
      </c>
      <c r="DG21" s="68" t="n"/>
      <c r="DH21" s="68" t="n">
        <v>74</v>
      </c>
      <c r="DI21" s="71">
        <f>IFERROR(IF(AND(DG21&lt;&gt;"",DH21&lt;&gt;""),ABS(DG21-DH21)/ABS(DG21)*100,""),"")</f>
        <v/>
      </c>
      <c r="DJ21" s="69" t="inlineStr">
        <is>
          <t>DeepSeek</t>
        </is>
      </c>
      <c r="DK21" s="68" t="n"/>
      <c r="DL21" s="68" t="n"/>
      <c r="DM21" s="71">
        <f>IFERROR(IF(AND(DK21&lt;&gt;"",DL21&lt;&gt;""),ABS(DK21-DL21)/ABS(DK21)*100,""),"")</f>
        <v/>
      </c>
      <c r="DN21" s="69" t="inlineStr">
        <is>
          <t>ND</t>
        </is>
      </c>
      <c r="DO21" s="68" t="n"/>
      <c r="DP21" s="68" t="n"/>
      <c r="DQ21" s="71">
        <f>IFERROR(IF(AND(DO21&lt;&gt;"",DP21&lt;&gt;""),ABS(DO21-DP21)/ABS(DO21)*100,""),"")</f>
        <v/>
      </c>
      <c r="DR21" s="69" t="inlineStr">
        <is>
          <t>ND</t>
        </is>
      </c>
      <c r="DS21" s="68" t="n"/>
      <c r="DT21" s="68" t="n"/>
      <c r="DU21" s="71">
        <f>IFERROR(IF(AND(DS21&lt;&gt;"",DT21&lt;&gt;""),ABS(DS21-DT21)/ABS(DS21)*100,""),"")</f>
        <v/>
      </c>
      <c r="DV21" s="69" t="inlineStr">
        <is>
          <t>ND</t>
        </is>
      </c>
      <c r="DW21" s="70" t="inlineStr">
        <is>
          <t>Claude only (DeepSeek pending). Source=SKBP_2022.pdf (more recent than 2021 ed., used per 'most recent' rule). Ind.7=0.957 recalculated from headcount 2 (matches both 2021 and 2022 report editions) / total workforce 209 (denominator only available from 2021 ed. report). Ind.9=48.6, PROXY definition='Total managers' (manager+senior-manager) - differs from 2018's 'team manager+' definition (2021 ed. reported 28% for 2019 under old definition vs 48.6% here under new definition - large swing is DEFINITIONAL, not a data conflict). Ind.20=5.2 (2022 ed.) vs 92 reported in 2021 ed. for same year - MAJOR SCOPE/METHODOLOGY CONFLICT, used most-recent per your rule but flagging for your review. Ind.21=0.47 (2022 ed., proxy) vs 8 in 2021 ed. - same conflict pattern. Ind.25=na (2022 ed.) - 2021 ed. reported 3 COVID actions for this year; later report simply doesn't repeat it, not necessarily contradictory. || DEEPSEEK RECONCILIATION - MANUAL FLAGS: Ind.4 (New Hire Rate): Claude=21.96, DeepSeek=14.13, Diff=35.7%; Ind.9 (Female Middle Mgrs): Claude=48.6, DeepSeek=35.0, Diff=28.0%; Ind.10 (Female Executives): Claude=0, DeepSeek=8.33, Diff=999999.0%; Ind.20 (Voluntary Turnover): Claude=5.2, DeepSeek=11.45, Diff=120.2%; Ind.21 (Involuntary Turnover): Claude=0.47, DeepSeek=1.11, Diff=136.2%</t>
        </is>
      </c>
    </row>
    <row r="22" ht="15.75" customHeight="1" s="43">
      <c r="A22" s="62" t="n"/>
      <c r="B22" s="62" t="n"/>
      <c r="C22" s="62" t="inlineStr">
        <is>
          <t>Health Care</t>
        </is>
      </c>
      <c r="D22" s="62" t="inlineStr">
        <is>
          <t>2020</t>
        </is>
      </c>
      <c r="E22" s="63" t="inlineStr">
        <is>
          <t>SKBP_2022.pdf (most recent covering 2020)</t>
        </is>
      </c>
      <c r="F22" s="62" t="n"/>
      <c r="G22" s="67" t="n">
        <v>8.5</v>
      </c>
      <c r="H22" s="67" t="n">
        <v>8.5</v>
      </c>
      <c r="I22" s="65">
        <f>IFERROR(IF(AND(G22&lt;&gt;"",H22&lt;&gt;""),ABS(G22-H22)/ABS(G22)*100,""),"")</f>
        <v/>
      </c>
      <c r="J22" s="62" t="inlineStr">
        <is>
          <t>Claude</t>
        </is>
      </c>
      <c r="K22" s="67" t="n"/>
      <c r="L22" s="67" t="n"/>
      <c r="M22" s="65">
        <f>IFERROR(IF(AND(K22&lt;&gt;"",L22&lt;&gt;""),ABS(K22-L22)/ABS(K22)*100,""),"")</f>
        <v/>
      </c>
      <c r="N22" s="62" t="inlineStr">
        <is>
          <t>ND</t>
        </is>
      </c>
      <c r="O22" s="67" t="n"/>
      <c r="P22" s="67" t="n"/>
      <c r="Q22" s="65">
        <f>IFERROR(IF(AND(O22&lt;&gt;"",P22&lt;&gt;""),ABS(O22-P22)/ABS(O22)*100,""),"")</f>
        <v/>
      </c>
      <c r="R22" s="62" t="inlineStr">
        <is>
          <t>ND</t>
        </is>
      </c>
      <c r="S22" s="64" t="n">
        <v>36.5</v>
      </c>
      <c r="T22" s="64" t="n">
        <v>17.04</v>
      </c>
      <c r="U22" s="65">
        <f>IFERROR(IF(AND(S22&lt;&gt;"",T22&lt;&gt;""),ABS(S22-T22)/ABS(S22)*100,""),"")</f>
        <v/>
      </c>
      <c r="V22" s="66" t="inlineStr">
        <is>
          <t>MANUAL FLAG</t>
        </is>
      </c>
      <c r="W22" s="67" t="n"/>
      <c r="X22" s="67" t="n"/>
      <c r="Y22" s="65">
        <f>IFERROR(IF(AND(W22&lt;&gt;"",X22&lt;&gt;""),ABS(W22-X22)/ABS(W22)*100,""),"")</f>
        <v/>
      </c>
      <c r="Z22" s="62" t="inlineStr">
        <is>
          <t>ND</t>
        </is>
      </c>
      <c r="AA22" s="64" t="n">
        <v>42.47</v>
      </c>
      <c r="AB22" s="64" t="n">
        <v>40.26</v>
      </c>
      <c r="AC22" s="65">
        <f>IFERROR(IF(AND(AA22&lt;&gt;"",AB22&lt;&gt;""),ABS(AA22-AB22)/ABS(AA22)*100,""),"")</f>
        <v/>
      </c>
      <c r="AD22" s="66" t="inlineStr">
        <is>
          <t>MANUAL FLAG</t>
        </is>
      </c>
      <c r="AE22" s="67" t="n">
        <v>1.031</v>
      </c>
      <c r="AF22" s="67" t="n"/>
      <c r="AG22" s="65">
        <f>IFERROR(IF(AND(AE22&lt;&gt;"",AF22&lt;&gt;""),ABS(AE22-AF22)/ABS(AE22)*100,""),"")</f>
        <v/>
      </c>
      <c r="AH22" s="62" t="inlineStr">
        <is>
          <t>Claude</t>
        </is>
      </c>
      <c r="AI22" s="67" t="n"/>
      <c r="AJ22" s="67" t="n"/>
      <c r="AK22" s="65">
        <f>IFERROR(IF(AND(AI22&lt;&gt;"",AJ22&lt;&gt;""),ABS(AI22-AJ22)/ABS(AI22)*100,""),"")</f>
        <v/>
      </c>
      <c r="AL22" s="62" t="inlineStr">
        <is>
          <t>ND</t>
        </is>
      </c>
      <c r="AM22" s="64" t="n">
        <v>39.6</v>
      </c>
      <c r="AN22" s="64" t="n">
        <v>37.14</v>
      </c>
      <c r="AO22" s="65">
        <f>IFERROR(IF(AND(AM22&lt;&gt;"",AN22&lt;&gt;""),ABS(AM22-AN22)/ABS(AM22)*100,""),"")</f>
        <v/>
      </c>
      <c r="AP22" s="66" t="inlineStr">
        <is>
          <t>MANUAL FLAG</t>
        </is>
      </c>
      <c r="AQ22" s="64" t="n">
        <v>12.5</v>
      </c>
      <c r="AR22" s="64" t="n">
        <v>11.11</v>
      </c>
      <c r="AS22" s="65">
        <f>IFERROR(IF(AND(AQ22&lt;&gt;"",AR22&lt;&gt;""),ABS(AQ22-AR22)/ABS(AQ22)*100,""),"")</f>
        <v/>
      </c>
      <c r="AT22" s="66" t="inlineStr">
        <is>
          <t>MANUAL FLAG</t>
        </is>
      </c>
      <c r="AU22" s="67" t="n">
        <v>20</v>
      </c>
      <c r="AV22" s="67" t="n">
        <v>20</v>
      </c>
      <c r="AW22" s="65">
        <f>IFERROR(IF(AND(AU22&lt;&gt;"",AV22&lt;&gt;""),ABS(AU22-AV22)/ABS(AU22)*100,""),"")</f>
        <v/>
      </c>
      <c r="AX22" s="62" t="inlineStr">
        <is>
          <t>Claude</t>
        </is>
      </c>
      <c r="AY22" s="67" t="n"/>
      <c r="AZ22" s="67" t="n"/>
      <c r="BA22" s="65">
        <f>IFERROR(IF(AND(AY22&lt;&gt;"",AZ22&lt;&gt;""),ABS(AY22-AZ22)/ABS(AY22)*100,""),"")</f>
        <v/>
      </c>
      <c r="BB22" s="62" t="inlineStr">
        <is>
          <t>ND</t>
        </is>
      </c>
      <c r="BC22" s="67" t="n"/>
      <c r="BD22" s="67" t="n">
        <v>9.380000000000001</v>
      </c>
      <c r="BE22" s="65">
        <f>IFERROR(IF(AND(BC22&lt;&gt;"",BD22&lt;&gt;""),ABS(BC22-BD22)/ABS(BC22)*100,""),"")</f>
        <v/>
      </c>
      <c r="BF22" s="62" t="inlineStr">
        <is>
          <t>DeepSeek</t>
        </is>
      </c>
      <c r="BG22" s="67" t="n"/>
      <c r="BH22" s="67" t="n"/>
      <c r="BI22" s="65">
        <f>IFERROR(IF(AND(BG22&lt;&gt;"",BH22&lt;&gt;""),ABS(BG22-BH22)/ABS(BG22)*100,""),"")</f>
        <v/>
      </c>
      <c r="BJ22" s="62" t="inlineStr">
        <is>
          <t>ND</t>
        </is>
      </c>
      <c r="BK22" s="67" t="n"/>
      <c r="BL22" s="67" t="n"/>
      <c r="BM22" s="65">
        <f>IFERROR(IF(AND(BK22&lt;&gt;"",BL22&lt;&gt;""),ABS(BK22-BL22)/ABS(BK22)*100,""),"")</f>
        <v/>
      </c>
      <c r="BN22" s="62" t="inlineStr">
        <is>
          <t>ND</t>
        </is>
      </c>
      <c r="BO22" s="67" t="n">
        <v>6</v>
      </c>
      <c r="BP22" s="67" t="n">
        <v>6</v>
      </c>
      <c r="BQ22" s="65">
        <f>IFERROR(IF(AND(BO22&lt;&gt;"",BP22&lt;&gt;""),ABS(BO22-BP22)/ABS(BO22)*100,""),"")</f>
        <v/>
      </c>
      <c r="BR22" s="62" t="inlineStr">
        <is>
          <t>Claude</t>
        </is>
      </c>
      <c r="BS22" s="67" t="n">
        <v>0</v>
      </c>
      <c r="BT22" s="67" t="n">
        <v>0</v>
      </c>
      <c r="BU22" s="65">
        <f>IFERROR(IF(AND(BS22&lt;&gt;"",BT22&lt;&gt;""),ABS(BS22-BT22)/ABS(BS22)*100,""),"")</f>
        <v/>
      </c>
      <c r="BV22" s="62" t="inlineStr">
        <is>
          <t>Claude</t>
        </is>
      </c>
      <c r="BW22" s="67" t="n"/>
      <c r="BX22" s="67" t="n"/>
      <c r="BY22" s="65">
        <f>IFERROR(IF(AND(BW22&lt;&gt;"",BX22&lt;&gt;""),ABS(BW22-BX22)/ABS(BW22)*100,""),"")</f>
        <v/>
      </c>
      <c r="BZ22" s="62" t="inlineStr">
        <is>
          <t>ND</t>
        </is>
      </c>
      <c r="CA22" s="67" t="n"/>
      <c r="CB22" s="67" t="n"/>
      <c r="CC22" s="65">
        <f>IFERROR(IF(AND(CA22&lt;&gt;"",CB22&lt;&gt;""),ABS(CA22-CB22)/ABS(CA22)*100,""),"")</f>
        <v/>
      </c>
      <c r="CD22" s="62" t="inlineStr">
        <is>
          <t>ND</t>
        </is>
      </c>
      <c r="CE22" s="64" t="n">
        <v>41.6</v>
      </c>
      <c r="CF22" s="64" t="n">
        <v>9.41</v>
      </c>
      <c r="CG22" s="65">
        <f>IFERROR(IF(AND(CE22&lt;&gt;"",CF22&lt;&gt;""),ABS(CE22-CF22)/ABS(CE22)*100,""),"")</f>
        <v/>
      </c>
      <c r="CH22" s="66" t="inlineStr">
        <is>
          <t>MANUAL FLAG</t>
        </is>
      </c>
      <c r="CI22" s="64" t="n">
        <v>0</v>
      </c>
      <c r="CJ22" s="64" t="n">
        <v>0.66</v>
      </c>
      <c r="CK22" s="65">
        <f>IFERROR(IF(AND(CI22&lt;&gt;"",CJ22&lt;&gt;""),ABS(CI22-CJ22)/ABS(CI22)*100,""),"")</f>
        <v/>
      </c>
      <c r="CL22" s="66" t="inlineStr">
        <is>
          <t>MANUAL FLAG</t>
        </is>
      </c>
      <c r="CM22" s="67" t="n"/>
      <c r="CN22" s="67" t="n"/>
      <c r="CO22" s="65">
        <f>IFERROR(IF(AND(CM22&lt;&gt;"",CN22&lt;&gt;""),ABS(CM22-CN22)/ABS(CM22)*100,""),"")</f>
        <v/>
      </c>
      <c r="CP22" s="62" t="inlineStr">
        <is>
          <t>ND</t>
        </is>
      </c>
      <c r="CQ22" s="67" t="n">
        <v>0</v>
      </c>
      <c r="CR22" s="67" t="n">
        <v>0</v>
      </c>
      <c r="CS22" s="65">
        <f>IFERROR(IF(AND(CQ22&lt;&gt;"",CR22&lt;&gt;""),ABS(CQ22-CR22)/ABS(CQ22)*100,""),"")</f>
        <v/>
      </c>
      <c r="CT22" s="62" t="inlineStr">
        <is>
          <t>Claude</t>
        </is>
      </c>
      <c r="CU22" s="67" t="n">
        <v>0</v>
      </c>
      <c r="CV22" s="67" t="n">
        <v>0</v>
      </c>
      <c r="CW22" s="65">
        <f>IFERROR(IF(AND(CU22&lt;&gt;"",CV22&lt;&gt;""),ABS(CU22-CV22)/ABS(CU22)*100,""),"")</f>
        <v/>
      </c>
      <c r="CX22" s="62" t="inlineStr">
        <is>
          <t>Claude</t>
        </is>
      </c>
      <c r="CY22" s="68" t="n"/>
      <c r="CZ22" s="68" t="n"/>
      <c r="DA22" s="65">
        <f>IFERROR(IF(AND(CY22&lt;&gt;"",CZ22&lt;&gt;""),ABS(CY22-CZ22)/ABS(CY22)*100,""),"")</f>
        <v/>
      </c>
      <c r="DB22" s="62" t="inlineStr">
        <is>
          <t>ND</t>
        </is>
      </c>
      <c r="DC22" s="68" t="n"/>
      <c r="DD22" s="68" t="n">
        <v>7</v>
      </c>
      <c r="DE22" s="65">
        <f>IFERROR(IF(AND(DC22&lt;&gt;"",DD22&lt;&gt;""),ABS(DC22-DD22)/ABS(DC22)*100,""),"")</f>
        <v/>
      </c>
      <c r="DF22" s="62" t="inlineStr">
        <is>
          <t>DeepSeek</t>
        </is>
      </c>
      <c r="DG22" s="68" t="n"/>
      <c r="DH22" s="68" t="n">
        <v>75</v>
      </c>
      <c r="DI22" s="65">
        <f>IFERROR(IF(AND(DG22&lt;&gt;"",DH22&lt;&gt;""),ABS(DG22-DH22)/ABS(DG22)*100,""),"")</f>
        <v/>
      </c>
      <c r="DJ22" s="62" t="inlineStr">
        <is>
          <t>DeepSeek</t>
        </is>
      </c>
      <c r="DK22" s="68" t="n"/>
      <c r="DL22" s="68" t="n"/>
      <c r="DM22" s="65">
        <f>IFERROR(IF(AND(DK22&lt;&gt;"",DL22&lt;&gt;""),ABS(DK22-DL22)/ABS(DK22)*100,""),"")</f>
        <v/>
      </c>
      <c r="DN22" s="62" t="inlineStr">
        <is>
          <t>ND</t>
        </is>
      </c>
      <c r="DO22" s="68" t="n"/>
      <c r="DP22" s="68" t="n"/>
      <c r="DQ22" s="65">
        <f>IFERROR(IF(AND(DO22&lt;&gt;"",DP22&lt;&gt;""),ABS(DO22-DP22)/ABS(DO22)*100,""),"")</f>
        <v/>
      </c>
      <c r="DR22" s="62" t="inlineStr">
        <is>
          <t>ND</t>
        </is>
      </c>
      <c r="DS22" s="68" t="n"/>
      <c r="DT22" s="68" t="n"/>
      <c r="DU22" s="65">
        <f>IFERROR(IF(AND(DS22&lt;&gt;"",DT22&lt;&gt;""),ABS(DS22-DT22)/ABS(DS22)*100,""),"")</f>
        <v/>
      </c>
      <c r="DV22" s="62" t="inlineStr">
        <is>
          <t>ND</t>
        </is>
      </c>
      <c r="DW22" s="63" t="inlineStr">
        <is>
          <t>Claude only (DeepSeek pending). Source=SKBP_2022.pdf. Ind.7=1.031 from headcount 2 / total workforce 194 (denominator from 2021 ed.). Ind.9=39.6, PROXY 'Total managers' definition (vs 2021 ed.'s 34.8% under 'team manager+' - definitional swing). Ind.20=41.6 (2022 ed.) vs 100 in 2021 ed. - MAJOR SCOPE CONFLICT, flagged as with 2019. Ind.21=0.00, matches 2021 ed.'s 0 (no conflict this year). Ind.25: 2021 ed. reported 3 COVID actions for 2020; 2022 ed. shows na for 2020 (only 2021=2) - same non-repeat pattern as noted for 2019. || DEEPSEEK RECONCILIATION - MANUAL FLAGS: Ind.4 (New Hire Rate): Claude=36.5, DeepSeek=17.04, Diff=53.3%; Ind.6 (New Hires Female%): Claude=42.47, DeepSeek=40.26, Diff=5.2%; Ind.9 (Female Middle Mgrs): Claude=39.6, DeepSeek=37.14, Diff=6.2%; Ind.10 (Female Executives): Claude=12.5, DeepSeek=11.11, Diff=11.1%; Ind.20 (Voluntary Turnover): Claude=41.6, DeepSeek=9.41, Diff=77.4%; Ind.21 (Involuntary Turnover): Claude=0, DeepSeek=0.66, Diff=999999.0%</t>
        </is>
      </c>
    </row>
    <row r="23" ht="15.75" customHeight="1" s="43">
      <c r="A23" s="69" t="n"/>
      <c r="B23" s="69" t="n"/>
      <c r="C23" s="69" t="inlineStr">
        <is>
          <t>Health Care</t>
        </is>
      </c>
      <c r="D23" s="69" t="inlineStr">
        <is>
          <t>2021</t>
        </is>
      </c>
      <c r="E23" s="70" t="inlineStr">
        <is>
          <t>SKBP_2022.pdf (only report covering 2021)</t>
        </is>
      </c>
      <c r="F23" s="69" t="n"/>
      <c r="G23" s="67" t="n">
        <v>6.12</v>
      </c>
      <c r="H23" s="67" t="n">
        <v>6.12</v>
      </c>
      <c r="I23" s="71">
        <f>IFERROR(IF(AND(G23&lt;&gt;"",H23&lt;&gt;""),ABS(G23-H23)/ABS(G23)*100,""),"")</f>
        <v/>
      </c>
      <c r="J23" s="69" t="inlineStr">
        <is>
          <t>Claude</t>
        </is>
      </c>
      <c r="K23" s="67" t="n"/>
      <c r="L23" s="67" t="n"/>
      <c r="M23" s="71">
        <f>IFERROR(IF(AND(K23&lt;&gt;"",L23&lt;&gt;""),ABS(K23-L23)/ABS(K23)*100,""),"")</f>
        <v/>
      </c>
      <c r="N23" s="69" t="inlineStr">
        <is>
          <t>ND</t>
        </is>
      </c>
      <c r="O23" s="67" t="n"/>
      <c r="P23" s="67" t="n"/>
      <c r="Q23" s="71">
        <f>IFERROR(IF(AND(O23&lt;&gt;"",P23&lt;&gt;""),ABS(O23-P23)/ABS(O23)*100,""),"")</f>
        <v/>
      </c>
      <c r="R23" s="69" t="inlineStr">
        <is>
          <t>ND</t>
        </is>
      </c>
      <c r="S23" s="64" t="n">
        <v>24.08</v>
      </c>
      <c r="T23" s="64" t="n">
        <v>15.11</v>
      </c>
      <c r="U23" s="71">
        <f>IFERROR(IF(AND(S23&lt;&gt;"",T23&lt;&gt;""),ABS(S23-T23)/ABS(S23)*100,""),"")</f>
        <v/>
      </c>
      <c r="V23" s="66" t="inlineStr">
        <is>
          <t>MANUAL FLAG</t>
        </is>
      </c>
      <c r="W23" s="67" t="n"/>
      <c r="X23" s="67" t="n"/>
      <c r="Y23" s="71">
        <f>IFERROR(IF(AND(W23&lt;&gt;"",X23&lt;&gt;""),ABS(W23-X23)/ABS(W23)*100,""),"")</f>
        <v/>
      </c>
      <c r="Z23" s="69" t="inlineStr">
        <is>
          <t>ND</t>
        </is>
      </c>
      <c r="AA23" s="64" t="n">
        <v>57.63</v>
      </c>
      <c r="AB23" s="64" t="n">
        <v>53.95</v>
      </c>
      <c r="AC23" s="71">
        <f>IFERROR(IF(AND(AA23&lt;&gt;"",AB23&lt;&gt;""),ABS(AA23-AB23)/ABS(AA23)*100,""),"")</f>
        <v/>
      </c>
      <c r="AD23" s="66" t="inlineStr">
        <is>
          <t>MANUAL FLAG</t>
        </is>
      </c>
      <c r="AE23" s="67" t="n"/>
      <c r="AF23" s="67" t="n"/>
      <c r="AG23" s="71">
        <f>IFERROR(IF(AND(AE23&lt;&gt;"",AF23&lt;&gt;""),ABS(AE23-AF23)/ABS(AE23)*100,""),"")</f>
        <v/>
      </c>
      <c r="AH23" s="69" t="inlineStr">
        <is>
          <t>ND</t>
        </is>
      </c>
      <c r="AI23" s="67" t="n"/>
      <c r="AJ23" s="67" t="n"/>
      <c r="AK23" s="71">
        <f>IFERROR(IF(AND(AI23&lt;&gt;"",AJ23&lt;&gt;""),ABS(AI23-AJ23)/ABS(AI23)*100,""),"")</f>
        <v/>
      </c>
      <c r="AL23" s="69" t="inlineStr">
        <is>
          <t>ND</t>
        </is>
      </c>
      <c r="AM23" s="64" t="n">
        <v>49.6</v>
      </c>
      <c r="AN23" s="64" t="n">
        <v>34.62</v>
      </c>
      <c r="AO23" s="71">
        <f>IFERROR(IF(AND(AM23&lt;&gt;"",AN23&lt;&gt;""),ABS(AM23-AN23)/ABS(AM23)*100,""),"")</f>
        <v/>
      </c>
      <c r="AP23" s="66" t="inlineStr">
        <is>
          <t>MANUAL FLAG</t>
        </is>
      </c>
      <c r="AQ23" s="64" t="n">
        <v>16.7</v>
      </c>
      <c r="AR23" s="64" t="n">
        <v>13.64</v>
      </c>
      <c r="AS23" s="71">
        <f>IFERROR(IF(AND(AQ23&lt;&gt;"",AR23&lt;&gt;""),ABS(AQ23-AR23)/ABS(AQ23)*100,""),"")</f>
        <v/>
      </c>
      <c r="AT23" s="66" t="inlineStr">
        <is>
          <t>MANUAL FLAG</t>
        </is>
      </c>
      <c r="AU23" s="67" t="n">
        <v>20</v>
      </c>
      <c r="AV23" s="67" t="n">
        <v>20</v>
      </c>
      <c r="AW23" s="71">
        <f>IFERROR(IF(AND(AU23&lt;&gt;"",AV23&lt;&gt;""),ABS(AU23-AV23)/ABS(AU23)*100,""),"")</f>
        <v/>
      </c>
      <c r="AX23" s="69" t="inlineStr">
        <is>
          <t>Claude</t>
        </is>
      </c>
      <c r="AY23" s="67" t="n"/>
      <c r="AZ23" s="67" t="n"/>
      <c r="BA23" s="71">
        <f>IFERROR(IF(AND(AY23&lt;&gt;"",AZ23&lt;&gt;""),ABS(AY23-AZ23)/ABS(AY23)*100,""),"")</f>
        <v/>
      </c>
      <c r="BB23" s="69" t="inlineStr">
        <is>
          <t>ND</t>
        </is>
      </c>
      <c r="BC23" s="67" t="n"/>
      <c r="BD23" s="67" t="n"/>
      <c r="BE23" s="71">
        <f>IFERROR(IF(AND(BC23&lt;&gt;"",BD23&lt;&gt;""),ABS(BC23-BD23)/ABS(BC23)*100,""),"")</f>
        <v/>
      </c>
      <c r="BF23" s="69" t="inlineStr">
        <is>
          <t>ND</t>
        </is>
      </c>
      <c r="BG23" s="67" t="n">
        <v>4200000</v>
      </c>
      <c r="BH23" s="67" t="n"/>
      <c r="BI23" s="71">
        <f>IFERROR(IF(AND(BG23&lt;&gt;"",BH23&lt;&gt;""),ABS(BG23-BH23)/ABS(BG23)*100,""),"")</f>
        <v/>
      </c>
      <c r="BJ23" s="69" t="inlineStr">
        <is>
          <t>Claude</t>
        </is>
      </c>
      <c r="BK23" s="67" t="n">
        <v>47.7</v>
      </c>
      <c r="BL23" s="67" t="n">
        <v>47.7</v>
      </c>
      <c r="BM23" s="71">
        <f>IFERROR(IF(AND(BK23&lt;&gt;"",BL23&lt;&gt;""),ABS(BK23-BL23)/ABS(BK23)*100,""),"")</f>
        <v/>
      </c>
      <c r="BN23" s="69" t="inlineStr">
        <is>
          <t>Claude</t>
        </is>
      </c>
      <c r="BO23" s="67" t="n">
        <v>4</v>
      </c>
      <c r="BP23" s="67" t="n">
        <v>4</v>
      </c>
      <c r="BQ23" s="71">
        <f>IFERROR(IF(AND(BO23&lt;&gt;"",BP23&lt;&gt;""),ABS(BO23-BP23)/ABS(BO23)*100,""),"")</f>
        <v/>
      </c>
      <c r="BR23" s="69" t="inlineStr">
        <is>
          <t>Claude</t>
        </is>
      </c>
      <c r="BS23" s="67" t="n">
        <v>1</v>
      </c>
      <c r="BT23" s="67" t="n">
        <v>1</v>
      </c>
      <c r="BU23" s="71">
        <f>IFERROR(IF(AND(BS23&lt;&gt;"",BT23&lt;&gt;""),ABS(BS23-BT23)/ABS(BS23)*100,""),"")</f>
        <v/>
      </c>
      <c r="BV23" s="69" t="inlineStr">
        <is>
          <t>Claude</t>
        </is>
      </c>
      <c r="BW23" s="67" t="n"/>
      <c r="BX23" s="67" t="n"/>
      <c r="BY23" s="71">
        <f>IFERROR(IF(AND(BW23&lt;&gt;"",BX23&lt;&gt;""),ABS(BW23-BX23)/ABS(BW23)*100,""),"")</f>
        <v/>
      </c>
      <c r="BZ23" s="69" t="inlineStr">
        <is>
          <t>ND</t>
        </is>
      </c>
      <c r="CA23" s="67" t="n"/>
      <c r="CB23" s="67" t="n"/>
      <c r="CC23" s="71">
        <f>IFERROR(IF(AND(CA23&lt;&gt;"",CB23&lt;&gt;""),ABS(CA23-CB23)/ABS(CA23)*100,""),"")</f>
        <v/>
      </c>
      <c r="CD23" s="69" t="inlineStr">
        <is>
          <t>ND</t>
        </is>
      </c>
      <c r="CE23" s="64" t="n">
        <v>6</v>
      </c>
      <c r="CF23" s="64" t="n">
        <v>12.67</v>
      </c>
      <c r="CG23" s="71">
        <f>IFERROR(IF(AND(CE23&lt;&gt;"",CF23&lt;&gt;""),ABS(CE23-CF23)/ABS(CE23)*100,""),"")</f>
        <v/>
      </c>
      <c r="CH23" s="66" t="inlineStr">
        <is>
          <t>MANUAL FLAG</t>
        </is>
      </c>
      <c r="CI23" s="67" t="n">
        <v>0</v>
      </c>
      <c r="CJ23" s="67" t="n">
        <v>0</v>
      </c>
      <c r="CK23" s="71">
        <f>IFERROR(IF(AND(CI23&lt;&gt;"",CJ23&lt;&gt;""),ABS(CI23-CJ23)/ABS(CI23)*100,""),"")</f>
        <v/>
      </c>
      <c r="CL23" s="69" t="inlineStr">
        <is>
          <t>Claude</t>
        </is>
      </c>
      <c r="CM23" s="67" t="n"/>
      <c r="CN23" s="67" t="n"/>
      <c r="CO23" s="71">
        <f>IFERROR(IF(AND(CM23&lt;&gt;"",CN23&lt;&gt;""),ABS(CM23-CN23)/ABS(CM23)*100,""),"")</f>
        <v/>
      </c>
      <c r="CP23" s="69" t="inlineStr">
        <is>
          <t>ND</t>
        </is>
      </c>
      <c r="CQ23" s="67" t="n">
        <v>0</v>
      </c>
      <c r="CR23" s="67" t="n">
        <v>0</v>
      </c>
      <c r="CS23" s="71">
        <f>IFERROR(IF(AND(CQ23&lt;&gt;"",CR23&lt;&gt;""),ABS(CQ23-CR23)/ABS(CQ23)*100,""),"")</f>
        <v/>
      </c>
      <c r="CT23" s="69" t="inlineStr">
        <is>
          <t>Claude</t>
        </is>
      </c>
      <c r="CU23" s="67" t="n">
        <v>0</v>
      </c>
      <c r="CV23" s="67" t="n">
        <v>0</v>
      </c>
      <c r="CW23" s="71">
        <f>IFERROR(IF(AND(CU23&lt;&gt;"",CV23&lt;&gt;""),ABS(CU23-CV23)/ABS(CU23)*100,""),"")</f>
        <v/>
      </c>
      <c r="CX23" s="69" t="inlineStr">
        <is>
          <t>Claude</t>
        </is>
      </c>
      <c r="CY23" s="64" t="n">
        <v>2</v>
      </c>
      <c r="CZ23" s="64" t="n">
        <v>3</v>
      </c>
      <c r="DA23" s="71">
        <f>IFERROR(IF(AND(CY23&lt;&gt;"",CZ23&lt;&gt;""),ABS(CY23-CZ23)/ABS(CY23)*100,""),"")</f>
        <v/>
      </c>
      <c r="DB23" s="66" t="inlineStr">
        <is>
          <t>MANUAL FLAG</t>
        </is>
      </c>
      <c r="DC23" s="68" t="n"/>
      <c r="DD23" s="68" t="n">
        <v>7</v>
      </c>
      <c r="DE23" s="71">
        <f>IFERROR(IF(AND(DC23&lt;&gt;"",DD23&lt;&gt;""),ABS(DC23-DD23)/ABS(DC23)*100,""),"")</f>
        <v/>
      </c>
      <c r="DF23" s="69" t="inlineStr">
        <is>
          <t>DeepSeek</t>
        </is>
      </c>
      <c r="DG23" s="68" t="n"/>
      <c r="DH23" s="68" t="n">
        <v>80</v>
      </c>
      <c r="DI23" s="71">
        <f>IFERROR(IF(AND(DG23&lt;&gt;"",DH23&lt;&gt;""),ABS(DG23-DH23)/ABS(DG23)*100,""),"")</f>
        <v/>
      </c>
      <c r="DJ23" s="69" t="inlineStr">
        <is>
          <t>DeepSeek</t>
        </is>
      </c>
      <c r="DK23" s="68" t="n"/>
      <c r="DL23" s="68" t="n"/>
      <c r="DM23" s="71">
        <f>IFERROR(IF(AND(DK23&lt;&gt;"",DL23&lt;&gt;""),ABS(DK23-DL23)/ABS(DK23)*100,""),"")</f>
        <v/>
      </c>
      <c r="DN23" s="69" t="inlineStr">
        <is>
          <t>ND</t>
        </is>
      </c>
      <c r="DO23" s="68" t="n"/>
      <c r="DP23" s="68" t="n"/>
      <c r="DQ23" s="71">
        <f>IFERROR(IF(AND(DO23&lt;&gt;"",DP23&lt;&gt;""),ABS(DO23-DP23)/ABS(DO23)*100,""),"")</f>
        <v/>
      </c>
      <c r="DR23" s="69" t="inlineStr">
        <is>
          <t>ND</t>
        </is>
      </c>
      <c r="DS23" s="68" t="n"/>
      <c r="DT23" s="68" t="n"/>
      <c r="DU23" s="71">
        <f>IFERROR(IF(AND(DS23&lt;&gt;"",DT23&lt;&gt;""),ABS(DS23-DT23)/ABS(DS23)*100,""),"")</f>
        <v/>
      </c>
      <c r="DV23" s="69" t="inlineStr">
        <is>
          <t>ND</t>
        </is>
      </c>
      <c r="DW23" s="70" t="inlineStr">
        <is>
          <t>Claude only (DeepSeek pending). Source=SKBP_2022.pdf, only report covering 2021 (2025 ed. window starts 2022, shows na for 2021). Ind.7/8=ND: disability headcount=5 known but no total workforce figure disclosed in this or any report for 2021 - cannot compute %. Ind.9=49.6, PROXY 'Total managers' definition. Ind.14=4,200,000 KRW - UNIT ASSUMPTION: source gave '4.2' with no explicit unit; inferred as KRW million (consistent with 2025 ed.'s explicit 'KRW million' trend: 4.9/5.8/6.5 continuing smoothly from this 4.2) - verify if possible. Ind.21=0.00, PROXY (denominator method unconfirmed). || DEEPSEEK RECONCILIATION - MANUAL FLAGS: Ind.4 (New Hire Rate): Claude=24.08, DeepSeek=15.11, Diff=37.3%; Ind.6 (New Hires Female%): Claude=57.63, DeepSeek=53.95, Diff=6.4%; Ind.9 (Female Middle Mgrs): Claude=49.6, DeepSeek=34.62, Diff=30.2%; Ind.10 (Female Executives): Claude=16.7, DeepSeek=13.64, Diff=18.3%; Ind.20 (Voluntary Turnover): Claude=6, DeepSeek=12.67, Diff=111.2%; Ind.25 (COVID Response): Claude=2, DeepSeek=3, Diff=50.0%</t>
        </is>
      </c>
    </row>
    <row r="24" ht="15.75" customHeight="1" s="43">
      <c r="A24" s="62" t="n"/>
      <c r="B24" s="62" t="n"/>
      <c r="C24" s="62" t="inlineStr">
        <is>
          <t>Health Care</t>
        </is>
      </c>
      <c r="D24" s="62" t="inlineStr">
        <is>
          <t>2022</t>
        </is>
      </c>
      <c r="E24" s="63" t="inlineStr">
        <is>
          <t>SKBP_2025.pdf (only report covering 2022)</t>
        </is>
      </c>
      <c r="F24" s="62" t="n"/>
      <c r="G24" s="64" t="n">
        <v>8.789999999999999</v>
      </c>
      <c r="H24" s="64" t="n">
        <v>0.73</v>
      </c>
      <c r="I24" s="65">
        <f>IFERROR(IF(AND(G24&lt;&gt;"",H24&lt;&gt;""),ABS(G24-H24)/ABS(G24)*100,""),"")</f>
        <v/>
      </c>
      <c r="J24" s="66" t="inlineStr">
        <is>
          <t>MANUAL FLAG</t>
        </is>
      </c>
      <c r="K24" s="67" t="n"/>
      <c r="L24" s="67" t="n"/>
      <c r="M24" s="65">
        <f>IFERROR(IF(AND(K24&lt;&gt;"",L24&lt;&gt;""),ABS(K24-L24)/ABS(K24)*100,""),"")</f>
        <v/>
      </c>
      <c r="N24" s="62" t="inlineStr">
        <is>
          <t>ND</t>
        </is>
      </c>
      <c r="O24" s="67" t="n"/>
      <c r="P24" s="67" t="n"/>
      <c r="Q24" s="65">
        <f>IFERROR(IF(AND(O24&lt;&gt;"",P24&lt;&gt;""),ABS(O24-P24)/ABS(O24)*100,""),"")</f>
        <v/>
      </c>
      <c r="R24" s="62" t="inlineStr">
        <is>
          <t>ND</t>
        </is>
      </c>
      <c r="S24" s="67" t="n">
        <v>19.05</v>
      </c>
      <c r="T24" s="67" t="n"/>
      <c r="U24" s="65">
        <f>IFERROR(IF(AND(S24&lt;&gt;"",T24&lt;&gt;""),ABS(S24-T24)/ABS(S24)*100,""),"")</f>
        <v/>
      </c>
      <c r="V24" s="62" t="inlineStr">
        <is>
          <t>Claude</t>
        </is>
      </c>
      <c r="W24" s="67" t="n"/>
      <c r="X24" s="67" t="n"/>
      <c r="Y24" s="65">
        <f>IFERROR(IF(AND(W24&lt;&gt;"",X24&lt;&gt;""),ABS(W24-X24)/ABS(W24)*100,""),"")</f>
        <v/>
      </c>
      <c r="Z24" s="62" t="inlineStr">
        <is>
          <t>ND</t>
        </is>
      </c>
      <c r="AA24" s="67" t="n">
        <v>44.23</v>
      </c>
      <c r="AB24" s="67" t="n"/>
      <c r="AC24" s="65">
        <f>IFERROR(IF(AND(AA24&lt;&gt;"",AB24&lt;&gt;""),ABS(AA24-AB24)/ABS(AA24)*100,""),"")</f>
        <v/>
      </c>
      <c r="AD24" s="62" t="inlineStr">
        <is>
          <t>Claude</t>
        </is>
      </c>
      <c r="AE24" s="67" t="n">
        <v>3.663</v>
      </c>
      <c r="AF24" s="67" t="n"/>
      <c r="AG24" s="65">
        <f>IFERROR(IF(AND(AE24&lt;&gt;"",AF24&lt;&gt;""),ABS(AE24-AF24)/ABS(AE24)*100,""),"")</f>
        <v/>
      </c>
      <c r="AH24" s="62" t="inlineStr">
        <is>
          <t>Claude</t>
        </is>
      </c>
      <c r="AI24" s="67" t="n"/>
      <c r="AJ24" s="67" t="n"/>
      <c r="AK24" s="65">
        <f>IFERROR(IF(AND(AI24&lt;&gt;"",AJ24&lt;&gt;""),ABS(AI24-AJ24)/ABS(AI24)*100,""),"")</f>
        <v/>
      </c>
      <c r="AL24" s="62" t="inlineStr">
        <is>
          <t>ND</t>
        </is>
      </c>
      <c r="AM24" s="67" t="n">
        <v>39</v>
      </c>
      <c r="AN24" s="67" t="n"/>
      <c r="AO24" s="65">
        <f>IFERROR(IF(AND(AM24&lt;&gt;"",AN24&lt;&gt;""),ABS(AM24-AN24)/ABS(AM24)*100,""),"")</f>
        <v/>
      </c>
      <c r="AP24" s="62" t="inlineStr">
        <is>
          <t>Claude</t>
        </is>
      </c>
      <c r="AQ24" s="67" t="n">
        <v>27</v>
      </c>
      <c r="AR24" s="67" t="n"/>
      <c r="AS24" s="65">
        <f>IFERROR(IF(AND(AQ24&lt;&gt;"",AR24&lt;&gt;""),ABS(AQ24-AR24)/ABS(AQ24)*100,""),"")</f>
        <v/>
      </c>
      <c r="AT24" s="62" t="inlineStr">
        <is>
          <t>Claude</t>
        </is>
      </c>
      <c r="AU24" s="67" t="n">
        <v>20</v>
      </c>
      <c r="AV24" s="67" t="n">
        <v>20</v>
      </c>
      <c r="AW24" s="65">
        <f>IFERROR(IF(AND(AU24&lt;&gt;"",AV24&lt;&gt;""),ABS(AU24-AV24)/ABS(AU24)*100,""),"")</f>
        <v/>
      </c>
      <c r="AX24" s="62" t="inlineStr">
        <is>
          <t>Claude</t>
        </is>
      </c>
      <c r="AY24" s="67" t="n"/>
      <c r="AZ24" s="67" t="n">
        <v>84000000</v>
      </c>
      <c r="BA24" s="65">
        <f>IFERROR(IF(AND(AY24&lt;&gt;"",AZ24&lt;&gt;""),ABS(AY24-AZ24)/ABS(AY24)*100,""),"")</f>
        <v/>
      </c>
      <c r="BB24" s="62" t="inlineStr">
        <is>
          <t>DeepSeek</t>
        </is>
      </c>
      <c r="BC24" s="67" t="n"/>
      <c r="BD24" s="67" t="n">
        <v>42</v>
      </c>
      <c r="BE24" s="65">
        <f>IFERROR(IF(AND(BC24&lt;&gt;"",BD24&lt;&gt;""),ABS(BC24-BD24)/ABS(BC24)*100,""),"")</f>
        <v/>
      </c>
      <c r="BF24" s="62" t="inlineStr">
        <is>
          <t>DeepSeek</t>
        </is>
      </c>
      <c r="BG24" s="67" t="n">
        <v>4900000</v>
      </c>
      <c r="BH24" s="67" t="n">
        <v>4900000</v>
      </c>
      <c r="BI24" s="65">
        <f>IFERROR(IF(AND(BG24&lt;&gt;"",BH24&lt;&gt;""),ABS(BG24-BH24)/ABS(BG24)*100,""),"")</f>
        <v/>
      </c>
      <c r="BJ24" s="62" t="inlineStr">
        <is>
          <t>Claude</t>
        </is>
      </c>
      <c r="BK24" s="67" t="n">
        <v>29.3</v>
      </c>
      <c r="BL24" s="67" t="n">
        <v>29.3</v>
      </c>
      <c r="BM24" s="65">
        <f>IFERROR(IF(AND(BK24&lt;&gt;"",BL24&lt;&gt;""),ABS(BK24-BL24)/ABS(BK24)*100,""),"")</f>
        <v/>
      </c>
      <c r="BN24" s="62" t="inlineStr">
        <is>
          <t>Claude</t>
        </is>
      </c>
      <c r="BO24" s="67" t="n">
        <v>3</v>
      </c>
      <c r="BP24" s="67" t="n">
        <v>3</v>
      </c>
      <c r="BQ24" s="65">
        <f>IFERROR(IF(AND(BO24&lt;&gt;"",BP24&lt;&gt;""),ABS(BO24-BP24)/ABS(BO24)*100,""),"")</f>
        <v/>
      </c>
      <c r="BR24" s="62" t="inlineStr">
        <is>
          <t>Claude</t>
        </is>
      </c>
      <c r="BS24" s="67" t="n">
        <v>2</v>
      </c>
      <c r="BT24" s="67" t="n">
        <v>2</v>
      </c>
      <c r="BU24" s="65">
        <f>IFERROR(IF(AND(BS24&lt;&gt;"",BT24&lt;&gt;""),ABS(BS24-BT24)/ABS(BS24)*100,""),"")</f>
        <v/>
      </c>
      <c r="BV24" s="62" t="inlineStr">
        <is>
          <t>Claude</t>
        </is>
      </c>
      <c r="BW24" s="67" t="n"/>
      <c r="BX24" s="67" t="n">
        <v>100</v>
      </c>
      <c r="BY24" s="65">
        <f>IFERROR(IF(AND(BW24&lt;&gt;"",BX24&lt;&gt;""),ABS(BW24-BX24)/ABS(BW24)*100,""),"")</f>
        <v/>
      </c>
      <c r="BZ24" s="62" t="inlineStr">
        <is>
          <t>DeepSeek</t>
        </is>
      </c>
      <c r="CA24" s="67" t="n"/>
      <c r="CB24" s="67" t="n"/>
      <c r="CC24" s="65">
        <f>IFERROR(IF(AND(CA24&lt;&gt;"",CB24&lt;&gt;""),ABS(CA24-CB24)/ABS(CA24)*100,""),"")</f>
        <v/>
      </c>
      <c r="CD24" s="62" t="inlineStr">
        <is>
          <t>ND</t>
        </is>
      </c>
      <c r="CE24" s="67" t="n">
        <v>8.4</v>
      </c>
      <c r="CF24" s="67" t="n">
        <v>8.4</v>
      </c>
      <c r="CG24" s="65">
        <f>IFERROR(IF(AND(CE24&lt;&gt;"",CF24&lt;&gt;""),ABS(CE24-CF24)/ABS(CE24)*100,""),"")</f>
        <v/>
      </c>
      <c r="CH24" s="62" t="inlineStr">
        <is>
          <t>Claude</t>
        </is>
      </c>
      <c r="CI24" s="67" t="n">
        <v>0</v>
      </c>
      <c r="CJ24" s="67" t="n">
        <v>0</v>
      </c>
      <c r="CK24" s="65">
        <f>IFERROR(IF(AND(CI24&lt;&gt;"",CJ24&lt;&gt;""),ABS(CI24-CJ24)/ABS(CI24)*100,""),"")</f>
        <v/>
      </c>
      <c r="CL24" s="62" t="inlineStr">
        <is>
          <t>Claude</t>
        </is>
      </c>
      <c r="CM24" s="67" t="n"/>
      <c r="CN24" s="67" t="n"/>
      <c r="CO24" s="65">
        <f>IFERROR(IF(AND(CM24&lt;&gt;"",CN24&lt;&gt;""),ABS(CM24-CN24)/ABS(CM24)*100,""),"")</f>
        <v/>
      </c>
      <c r="CP24" s="62" t="inlineStr">
        <is>
          <t>ND</t>
        </is>
      </c>
      <c r="CQ24" s="67" t="n">
        <v>0</v>
      </c>
      <c r="CR24" s="67" t="n">
        <v>0</v>
      </c>
      <c r="CS24" s="65">
        <f>IFERROR(IF(AND(CQ24&lt;&gt;"",CR24&lt;&gt;""),ABS(CQ24-CR24)/ABS(CQ24)*100,""),"")</f>
        <v/>
      </c>
      <c r="CT24" s="62" t="inlineStr">
        <is>
          <t>Claude</t>
        </is>
      </c>
      <c r="CU24" s="67" t="n">
        <v>0</v>
      </c>
      <c r="CV24" s="67" t="n">
        <v>0</v>
      </c>
      <c r="CW24" s="65">
        <f>IFERROR(IF(AND(CU24&lt;&gt;"",CV24&lt;&gt;""),ABS(CU24-CV24)/ABS(CU24)*100,""),"")</f>
        <v/>
      </c>
      <c r="CX24" s="62" t="inlineStr">
        <is>
          <t>Claude</t>
        </is>
      </c>
      <c r="CY24" s="68" t="n"/>
      <c r="CZ24" s="68" t="n"/>
      <c r="DA24" s="65">
        <f>IFERROR(IF(AND(CY24&lt;&gt;"",CZ24&lt;&gt;""),ABS(CY24-CZ24)/ABS(CY24)*100,""),"")</f>
        <v/>
      </c>
      <c r="DB24" s="62" t="inlineStr">
        <is>
          <t>ND</t>
        </is>
      </c>
      <c r="DC24" s="68" t="n"/>
      <c r="DD24" s="68" t="n"/>
      <c r="DE24" s="65">
        <f>IFERROR(IF(AND(DC24&lt;&gt;"",DD24&lt;&gt;""),ABS(DC24-DD24)/ABS(DC24)*100,""),"")</f>
        <v/>
      </c>
      <c r="DF24" s="62" t="inlineStr">
        <is>
          <t>ND</t>
        </is>
      </c>
      <c r="DG24" s="68" t="n">
        <v>73</v>
      </c>
      <c r="DH24" s="68" t="n"/>
      <c r="DI24" s="65">
        <f>IFERROR(IF(AND(DG24&lt;&gt;"",DH24&lt;&gt;""),ABS(DG24-DH24)/ABS(DG24)*100,""),"")</f>
        <v/>
      </c>
      <c r="DJ24" s="62" t="inlineStr">
        <is>
          <t>Claude</t>
        </is>
      </c>
      <c r="DK24" s="68" t="n"/>
      <c r="DL24" s="68" t="n"/>
      <c r="DM24" s="65">
        <f>IFERROR(IF(AND(DK24&lt;&gt;"",DL24&lt;&gt;""),ABS(DK24-DL24)/ABS(DK24)*100,""),"")</f>
        <v/>
      </c>
      <c r="DN24" s="62" t="inlineStr">
        <is>
          <t>ND</t>
        </is>
      </c>
      <c r="DO24" s="68" t="n"/>
      <c r="DP24" s="68" t="n"/>
      <c r="DQ24" s="65">
        <f>IFERROR(IF(AND(DO24&lt;&gt;"",DP24&lt;&gt;""),ABS(DO24-DP24)/ABS(DO24)*100,""),"")</f>
        <v/>
      </c>
      <c r="DR24" s="62" t="inlineStr">
        <is>
          <t>ND</t>
        </is>
      </c>
      <c r="DS24" s="68" t="inlineStr">
        <is>
          <t>A</t>
        </is>
      </c>
      <c r="DT24" s="68" t="n"/>
      <c r="DU24" s="65">
        <f>IFERROR(IF(AND(DS24&lt;&gt;"",DT24&lt;&gt;""),ABS(DS24-DT24)/ABS(DS24)*100,""),"")</f>
        <v/>
      </c>
      <c r="DV24" s="62" t="inlineStr">
        <is>
          <t>Claude</t>
        </is>
      </c>
      <c r="DW24" s="63" t="inlineStr">
        <is>
          <t>Claude only (DeepSeek pending). Source=SKBP_2025.pdf, only report covering 2022. Ind.7=3.663 from headcount 10 / total workforce 273 (from New-Hires calc, same report). Ind.9=39%, definition='Diversity table' direct figure (3rd different definition vs 2018/2019-2021 editions - not directly trend-comparable). Ind.13 (Gender Pay Gap)=ND: report only gives job-level breakdown (Executive=42%, Manager=-5%, Non-manager=10%), no single company-wide figure - breakdown recorded here for reference, not blended into one number. Ind.14=4,900,000 KRW (explicit 'KRW million' unit this edition). Ind.18 (Parental Leave Return Rate)=ND: report only gives gender breakdown (Male=0%, Female=100%), no company-wide figure - recorded for reference. Ind.21=0.00, PROXY. Ind.30=A, PROXY: inferred from report's 'Grade A for 3 consecutive years' statement (p.11), not individually confirmed for 2022 specifically. || DEEPSEEK RECONCILIATION - MANUAL FLAGS: Ind.1 (Contract Workers%): Claude=8.79, DeepSeek=0.73, Diff=91.7%</t>
        </is>
      </c>
    </row>
    <row r="25" ht="15.75" customHeight="1" s="43">
      <c r="A25" s="69" t="n"/>
      <c r="B25" s="69" t="n"/>
      <c r="C25" s="69" t="inlineStr">
        <is>
          <t>Health Care</t>
        </is>
      </c>
      <c r="D25" s="69" t="inlineStr">
        <is>
          <t>2023</t>
        </is>
      </c>
      <c r="E25" s="70" t="inlineStr">
        <is>
          <t>SKBP_2025.pdf</t>
        </is>
      </c>
      <c r="F25" s="69" t="n"/>
      <c r="G25" s="67" t="n">
        <v>9.16</v>
      </c>
      <c r="H25" s="67" t="n">
        <v>8.789999999999999</v>
      </c>
      <c r="I25" s="71">
        <f>IFERROR(IF(AND(G25&lt;&gt;"",H25&lt;&gt;""),ABS(G25-H25)/ABS(G25)*100,""),"")</f>
        <v/>
      </c>
      <c r="J25" s="69" t="inlineStr">
        <is>
          <t>Claude</t>
        </is>
      </c>
      <c r="K25" s="67" t="n"/>
      <c r="L25" s="67" t="n"/>
      <c r="M25" s="71">
        <f>IFERROR(IF(AND(K25&lt;&gt;"",L25&lt;&gt;""),ABS(K25-L25)/ABS(K25)*100,""),"")</f>
        <v/>
      </c>
      <c r="N25" s="69" t="inlineStr">
        <is>
          <t>ND</t>
        </is>
      </c>
      <c r="O25" s="67" t="n"/>
      <c r="P25" s="67" t="n"/>
      <c r="Q25" s="71">
        <f>IFERROR(IF(AND(O25&lt;&gt;"",P25&lt;&gt;""),ABS(O25-P25)/ABS(O25)*100,""),"")</f>
        <v/>
      </c>
      <c r="R25" s="69" t="inlineStr">
        <is>
          <t>ND</t>
        </is>
      </c>
      <c r="S25" s="67" t="n">
        <v>6.23</v>
      </c>
      <c r="T25" s="67" t="n"/>
      <c r="U25" s="71">
        <f>IFERROR(IF(AND(S25&lt;&gt;"",T25&lt;&gt;""),ABS(S25-T25)/ABS(S25)*100,""),"")</f>
        <v/>
      </c>
      <c r="V25" s="69" t="inlineStr">
        <is>
          <t>Claude</t>
        </is>
      </c>
      <c r="W25" s="67" t="n"/>
      <c r="X25" s="67" t="n"/>
      <c r="Y25" s="71">
        <f>IFERROR(IF(AND(W25&lt;&gt;"",X25&lt;&gt;""),ABS(W25-X25)/ABS(W25)*100,""),"")</f>
        <v/>
      </c>
      <c r="Z25" s="69" t="inlineStr">
        <is>
          <t>ND</t>
        </is>
      </c>
      <c r="AA25" s="67" t="n">
        <v>58.82</v>
      </c>
      <c r="AB25" s="67" t="n"/>
      <c r="AC25" s="71">
        <f>IFERROR(IF(AND(AA25&lt;&gt;"",AB25&lt;&gt;""),ABS(AA25-AB25)/ABS(AA25)*100,""),"")</f>
        <v/>
      </c>
      <c r="AD25" s="69" t="inlineStr">
        <is>
          <t>Claude</t>
        </is>
      </c>
      <c r="AE25" s="67" t="n">
        <v>3.297</v>
      </c>
      <c r="AF25" s="67" t="n"/>
      <c r="AG25" s="71">
        <f>IFERROR(IF(AND(AE25&lt;&gt;"",AF25&lt;&gt;""),ABS(AE25-AF25)/ABS(AE25)*100,""),"")</f>
        <v/>
      </c>
      <c r="AH25" s="69" t="inlineStr">
        <is>
          <t>Claude</t>
        </is>
      </c>
      <c r="AI25" s="67" t="n"/>
      <c r="AJ25" s="67" t="n"/>
      <c r="AK25" s="71">
        <f>IFERROR(IF(AND(AI25&lt;&gt;"",AJ25&lt;&gt;""),ABS(AI25-AJ25)/ABS(AI25)*100,""),"")</f>
        <v/>
      </c>
      <c r="AL25" s="69" t="inlineStr">
        <is>
          <t>ND</t>
        </is>
      </c>
      <c r="AM25" s="67" t="n">
        <v>40</v>
      </c>
      <c r="AN25" s="67" t="n"/>
      <c r="AO25" s="71">
        <f>IFERROR(IF(AND(AM25&lt;&gt;"",AN25&lt;&gt;""),ABS(AM25-AN25)/ABS(AM25)*100,""),"")</f>
        <v/>
      </c>
      <c r="AP25" s="69" t="inlineStr">
        <is>
          <t>Claude</t>
        </is>
      </c>
      <c r="AQ25" s="67" t="n">
        <v>25</v>
      </c>
      <c r="AR25" s="67" t="n">
        <v>25</v>
      </c>
      <c r="AS25" s="71">
        <f>IFERROR(IF(AND(AQ25&lt;&gt;"",AR25&lt;&gt;""),ABS(AQ25-AR25)/ABS(AQ25)*100,""),"")</f>
        <v/>
      </c>
      <c r="AT25" s="69" t="inlineStr">
        <is>
          <t>Claude</t>
        </is>
      </c>
      <c r="AU25" s="67" t="n">
        <v>40</v>
      </c>
      <c r="AV25" s="67" t="n">
        <v>40</v>
      </c>
      <c r="AW25" s="71">
        <f>IFERROR(IF(AND(AU25&lt;&gt;"",AV25&lt;&gt;""),ABS(AU25-AV25)/ABS(AU25)*100,""),"")</f>
        <v/>
      </c>
      <c r="AX25" s="69" t="inlineStr">
        <is>
          <t>Claude</t>
        </is>
      </c>
      <c r="AY25" s="67" t="n"/>
      <c r="AZ25" s="67" t="n">
        <v>81000000</v>
      </c>
      <c r="BA25" s="71">
        <f>IFERROR(IF(AND(AY25&lt;&gt;"",AZ25&lt;&gt;""),ABS(AY25-AZ25)/ABS(AY25)*100,""),"")</f>
        <v/>
      </c>
      <c r="BB25" s="69" t="inlineStr">
        <is>
          <t>DeepSeek</t>
        </is>
      </c>
      <c r="BC25" s="67" t="n"/>
      <c r="BD25" s="67" t="n">
        <v>55</v>
      </c>
      <c r="BE25" s="71">
        <f>IFERROR(IF(AND(BC25&lt;&gt;"",BD25&lt;&gt;""),ABS(BC25-BD25)/ABS(BC25)*100,""),"")</f>
        <v/>
      </c>
      <c r="BF25" s="69" t="inlineStr">
        <is>
          <t>DeepSeek</t>
        </is>
      </c>
      <c r="BG25" s="67" t="n">
        <v>5800000</v>
      </c>
      <c r="BH25" s="67" t="n">
        <v>5800000</v>
      </c>
      <c r="BI25" s="71">
        <f>IFERROR(IF(AND(BG25&lt;&gt;"",BH25&lt;&gt;""),ABS(BG25-BH25)/ABS(BG25)*100,""),"")</f>
        <v/>
      </c>
      <c r="BJ25" s="69" t="inlineStr">
        <is>
          <t>Claude</t>
        </is>
      </c>
      <c r="BK25" s="67" t="n">
        <v>43</v>
      </c>
      <c r="BL25" s="67" t="n">
        <v>43</v>
      </c>
      <c r="BM25" s="71">
        <f>IFERROR(IF(AND(BK25&lt;&gt;"",BL25&lt;&gt;""),ABS(BK25-BL25)/ABS(BK25)*100,""),"")</f>
        <v/>
      </c>
      <c r="BN25" s="69" t="inlineStr">
        <is>
          <t>Claude</t>
        </is>
      </c>
      <c r="BO25" s="64" t="n">
        <v>11</v>
      </c>
      <c r="BP25" s="64" t="n">
        <v>1</v>
      </c>
      <c r="BQ25" s="71">
        <f>IFERROR(IF(AND(BO25&lt;&gt;"",BP25&lt;&gt;""),ABS(BO25-BP25)/ABS(BO25)*100,""),"")</f>
        <v/>
      </c>
      <c r="BR25" s="66" t="inlineStr">
        <is>
          <t>MANUAL FLAG</t>
        </is>
      </c>
      <c r="BS25" s="67" t="n">
        <v>4</v>
      </c>
      <c r="BT25" s="67" t="n">
        <v>4</v>
      </c>
      <c r="BU25" s="71">
        <f>IFERROR(IF(AND(BS25&lt;&gt;"",BT25&lt;&gt;""),ABS(BS25-BT25)/ABS(BS25)*100,""),"")</f>
        <v/>
      </c>
      <c r="BV25" s="69" t="inlineStr">
        <is>
          <t>Claude</t>
        </is>
      </c>
      <c r="BW25" s="67" t="n"/>
      <c r="BX25" s="67" t="n">
        <v>100</v>
      </c>
      <c r="BY25" s="71">
        <f>IFERROR(IF(AND(BW25&lt;&gt;"",BX25&lt;&gt;""),ABS(BW25-BX25)/ABS(BW25)*100,""),"")</f>
        <v/>
      </c>
      <c r="BZ25" s="69" t="inlineStr">
        <is>
          <t>DeepSeek</t>
        </is>
      </c>
      <c r="CA25" s="67" t="n"/>
      <c r="CB25" s="67" t="n"/>
      <c r="CC25" s="71">
        <f>IFERROR(IF(AND(CA25&lt;&gt;"",CB25&lt;&gt;""),ABS(CA25-CB25)/ABS(CA25)*100,""),"")</f>
        <v/>
      </c>
      <c r="CD25" s="69" t="inlineStr">
        <is>
          <t>ND</t>
        </is>
      </c>
      <c r="CE25" s="67" t="n">
        <v>8.1</v>
      </c>
      <c r="CF25" s="67" t="n">
        <v>8.1</v>
      </c>
      <c r="CG25" s="71">
        <f>IFERROR(IF(AND(CE25&lt;&gt;"",CF25&lt;&gt;""),ABS(CE25-CF25)/ABS(CE25)*100,""),"")</f>
        <v/>
      </c>
      <c r="CH25" s="69" t="inlineStr">
        <is>
          <t>Claude</t>
        </is>
      </c>
      <c r="CI25" s="67" t="n">
        <v>0.37</v>
      </c>
      <c r="CJ25" s="67" t="n">
        <v>0.37</v>
      </c>
      <c r="CK25" s="71">
        <f>IFERROR(IF(AND(CI25&lt;&gt;"",CJ25&lt;&gt;""),ABS(CI25-CJ25)/ABS(CI25)*100,""),"")</f>
        <v/>
      </c>
      <c r="CL25" s="69" t="inlineStr">
        <is>
          <t>Claude</t>
        </is>
      </c>
      <c r="CM25" s="67" t="n"/>
      <c r="CN25" s="67" t="n"/>
      <c r="CO25" s="71">
        <f>IFERROR(IF(AND(CM25&lt;&gt;"",CN25&lt;&gt;""),ABS(CM25-CN25)/ABS(CM25)*100,""),"")</f>
        <v/>
      </c>
      <c r="CP25" s="69" t="inlineStr">
        <is>
          <t>ND</t>
        </is>
      </c>
      <c r="CQ25" s="67" t="n">
        <v>0</v>
      </c>
      <c r="CR25" s="67" t="n">
        <v>0</v>
      </c>
      <c r="CS25" s="71">
        <f>IFERROR(IF(AND(CQ25&lt;&gt;"",CR25&lt;&gt;""),ABS(CQ25-CR25)/ABS(CQ25)*100,""),"")</f>
        <v/>
      </c>
      <c r="CT25" s="69" t="inlineStr">
        <is>
          <t>Claude</t>
        </is>
      </c>
      <c r="CU25" s="67" t="n">
        <v>0</v>
      </c>
      <c r="CV25" s="67" t="n">
        <v>0</v>
      </c>
      <c r="CW25" s="71">
        <f>IFERROR(IF(AND(CU25&lt;&gt;"",CV25&lt;&gt;""),ABS(CU25-CV25)/ABS(CU25)*100,""),"")</f>
        <v/>
      </c>
      <c r="CX25" s="69" t="inlineStr">
        <is>
          <t>Claude</t>
        </is>
      </c>
      <c r="CY25" s="68" t="n"/>
      <c r="CZ25" s="68" t="n"/>
      <c r="DA25" s="71">
        <f>IFERROR(IF(AND(CY25&lt;&gt;"",CZ25&lt;&gt;""),ABS(CY25-CZ25)/ABS(CY25)*100,""),"")</f>
        <v/>
      </c>
      <c r="DB25" s="69" t="inlineStr">
        <is>
          <t>ND</t>
        </is>
      </c>
      <c r="DC25" s="68" t="n"/>
      <c r="DD25" s="68" t="n"/>
      <c r="DE25" s="71">
        <f>IFERROR(IF(AND(DC25&lt;&gt;"",DD25&lt;&gt;""),ABS(DC25-DD25)/ABS(DC25)*100,""),"")</f>
        <v/>
      </c>
      <c r="DF25" s="69" t="inlineStr">
        <is>
          <t>ND</t>
        </is>
      </c>
      <c r="DG25" s="68" t="n">
        <v>77</v>
      </c>
      <c r="DH25" s="68" t="n"/>
      <c r="DI25" s="71">
        <f>IFERROR(IF(AND(DG25&lt;&gt;"",DH25&lt;&gt;""),ABS(DG25-DH25)/ABS(DG25)*100,""),"")</f>
        <v/>
      </c>
      <c r="DJ25" s="69" t="inlineStr">
        <is>
          <t>Claude</t>
        </is>
      </c>
      <c r="DK25" s="68" t="n"/>
      <c r="DL25" s="68" t="n"/>
      <c r="DM25" s="71">
        <f>IFERROR(IF(AND(DK25&lt;&gt;"",DL25&lt;&gt;""),ABS(DK25-DL25)/ABS(DK25)*100,""),"")</f>
        <v/>
      </c>
      <c r="DN25" s="69" t="inlineStr">
        <is>
          <t>ND</t>
        </is>
      </c>
      <c r="DO25" s="68" t="n"/>
      <c r="DP25" s="68" t="n"/>
      <c r="DQ25" s="71">
        <f>IFERROR(IF(AND(DO25&lt;&gt;"",DP25&lt;&gt;""),ABS(DO25-DP25)/ABS(DO25)*100,""),"")</f>
        <v/>
      </c>
      <c r="DR25" s="69" t="inlineStr">
        <is>
          <t>ND</t>
        </is>
      </c>
      <c r="DS25" s="68" t="inlineStr">
        <is>
          <t>A</t>
        </is>
      </c>
      <c r="DT25" s="68" t="n"/>
      <c r="DU25" s="71">
        <f>IFERROR(IF(AND(DS25&lt;&gt;"",DT25&lt;&gt;""),ABS(DS25-DT25)/ABS(DS25)*100,""),"")</f>
        <v/>
      </c>
      <c r="DV25" s="69" t="inlineStr">
        <is>
          <t>Claude</t>
        </is>
      </c>
      <c r="DW25" s="70" t="inlineStr">
        <is>
          <t>Claude only (DeepSeek pending). Source=SKBP_2025.pdf. Ind.7=3.297 from headcount 9 / total workforce 273. Ind.13=ND: breakdown only (Executive=55%, Manager=10%, Non-manager=13%) - recorded for reference. Ind.18=ND: breakdown only (Male=100%, Female=100%) - recorded for reference. Ind.20=8.1, marked 'Restated in report' (corrected vs a prior report's 18.6% total-turnover figure per source footnote). Ind.21=0.37, PROXY. Ind.30=A, PROXY (same '3 consecutive years' inference as 2022). || DEEPSEEK RECONCILIATION - MANUAL FLAGS: Ind.16 (Parental Leave F): Claude=11, DeepSeek=1, Diff=90.9%</t>
        </is>
      </c>
    </row>
    <row r="26" ht="15.75" customHeight="1" s="43">
      <c r="A26" s="62" t="n"/>
      <c r="B26" s="62" t="n"/>
      <c r="C26" s="62" t="inlineStr">
        <is>
          <t>Health Care</t>
        </is>
      </c>
      <c r="D26" s="62" t="inlineStr">
        <is>
          <t>2024</t>
        </is>
      </c>
      <c r="E26" s="63" t="inlineStr">
        <is>
          <t>SKBP_2025.pdf</t>
        </is>
      </c>
      <c r="F26" s="62" t="n"/>
      <c r="G26" s="67" t="n">
        <v>9.43</v>
      </c>
      <c r="H26" s="67" t="n">
        <v>9.06</v>
      </c>
      <c r="I26" s="65">
        <f>IFERROR(IF(AND(G26&lt;&gt;"",H26&lt;&gt;""),ABS(G26-H26)/ABS(G26)*100,""),"")</f>
        <v/>
      </c>
      <c r="J26" s="62" t="inlineStr">
        <is>
          <t>Claude</t>
        </is>
      </c>
      <c r="K26" s="67" t="n"/>
      <c r="L26" s="67" t="n"/>
      <c r="M26" s="65">
        <f>IFERROR(IF(AND(K26&lt;&gt;"",L26&lt;&gt;""),ABS(K26-L26)/ABS(K26)*100,""),"")</f>
        <v/>
      </c>
      <c r="N26" s="62" t="inlineStr">
        <is>
          <t>ND</t>
        </is>
      </c>
      <c r="O26" s="67" t="n"/>
      <c r="P26" s="67" t="n"/>
      <c r="Q26" s="65">
        <f>IFERROR(IF(AND(O26&lt;&gt;"",P26&lt;&gt;""),ABS(O26-P26)/ABS(O26)*100,""),"")</f>
        <v/>
      </c>
      <c r="R26" s="62" t="inlineStr">
        <is>
          <t>ND</t>
        </is>
      </c>
      <c r="S26" s="67" t="n">
        <v>6.79</v>
      </c>
      <c r="T26" s="67" t="n"/>
      <c r="U26" s="65">
        <f>IFERROR(IF(AND(S26&lt;&gt;"",T26&lt;&gt;""),ABS(S26-T26)/ABS(S26)*100,""),"")</f>
        <v/>
      </c>
      <c r="V26" s="62" t="inlineStr">
        <is>
          <t>Claude</t>
        </is>
      </c>
      <c r="W26" s="67" t="n"/>
      <c r="X26" s="67" t="n"/>
      <c r="Y26" s="65">
        <f>IFERROR(IF(AND(W26&lt;&gt;"",X26&lt;&gt;""),ABS(W26-X26)/ABS(W26)*100,""),"")</f>
        <v/>
      </c>
      <c r="Z26" s="62" t="inlineStr">
        <is>
          <t>ND</t>
        </is>
      </c>
      <c r="AA26" s="67" t="n">
        <v>55.56</v>
      </c>
      <c r="AB26" s="67" t="n"/>
      <c r="AC26" s="65">
        <f>IFERROR(IF(AND(AA26&lt;&gt;"",AB26&lt;&gt;""),ABS(AA26-AB26)/ABS(AA26)*100,""),"")</f>
        <v/>
      </c>
      <c r="AD26" s="62" t="inlineStr">
        <is>
          <t>Claude</t>
        </is>
      </c>
      <c r="AE26" s="67" t="n">
        <v>3.774</v>
      </c>
      <c r="AF26" s="67" t="n"/>
      <c r="AG26" s="65">
        <f>IFERROR(IF(AND(AE26&lt;&gt;"",AF26&lt;&gt;""),ABS(AE26-AF26)/ABS(AE26)*100,""),"")</f>
        <v/>
      </c>
      <c r="AH26" s="62" t="inlineStr">
        <is>
          <t>Claude</t>
        </is>
      </c>
      <c r="AI26" s="67" t="n"/>
      <c r="AJ26" s="67" t="n"/>
      <c r="AK26" s="65">
        <f>IFERROR(IF(AND(AI26&lt;&gt;"",AJ26&lt;&gt;""),ABS(AI26-AJ26)/ABS(AI26)*100,""),"")</f>
        <v/>
      </c>
      <c r="AL26" s="62" t="inlineStr">
        <is>
          <t>ND</t>
        </is>
      </c>
      <c r="AM26" s="67" t="n">
        <v>39</v>
      </c>
      <c r="AN26" s="67" t="n"/>
      <c r="AO26" s="65">
        <f>IFERROR(IF(AND(AM26&lt;&gt;"",AN26&lt;&gt;""),ABS(AM26-AN26)/ABS(AM26)*100,""),"")</f>
        <v/>
      </c>
      <c r="AP26" s="62" t="inlineStr">
        <is>
          <t>Claude</t>
        </is>
      </c>
      <c r="AQ26" s="67" t="n">
        <v>38</v>
      </c>
      <c r="AR26" s="67" t="n">
        <v>38</v>
      </c>
      <c r="AS26" s="65">
        <f>IFERROR(IF(AND(AQ26&lt;&gt;"",AR26&lt;&gt;""),ABS(AQ26-AR26)/ABS(AQ26)*100,""),"")</f>
        <v/>
      </c>
      <c r="AT26" s="62" t="inlineStr">
        <is>
          <t>Claude</t>
        </is>
      </c>
      <c r="AU26" s="67" t="n">
        <v>42.86</v>
      </c>
      <c r="AV26" s="67" t="n">
        <v>42.86</v>
      </c>
      <c r="AW26" s="65">
        <f>IFERROR(IF(AND(AU26&lt;&gt;"",AV26&lt;&gt;""),ABS(AU26-AV26)/ABS(AU26)*100,""),"")</f>
        <v/>
      </c>
      <c r="AX26" s="62" t="inlineStr">
        <is>
          <t>Claude</t>
        </is>
      </c>
      <c r="AY26" s="67" t="n"/>
      <c r="AZ26" s="67" t="n">
        <v>109000000</v>
      </c>
      <c r="BA26" s="65">
        <f>IFERROR(IF(AND(AY26&lt;&gt;"",AZ26&lt;&gt;""),ABS(AY26-AZ26)/ABS(AY26)*100,""),"")</f>
        <v/>
      </c>
      <c r="BB26" s="62" t="inlineStr">
        <is>
          <t>DeepSeek</t>
        </is>
      </c>
      <c r="BC26" s="67" t="n"/>
      <c r="BD26" s="67" t="n">
        <v>52</v>
      </c>
      <c r="BE26" s="65">
        <f>IFERROR(IF(AND(BC26&lt;&gt;"",BD26&lt;&gt;""),ABS(BC26-BD26)/ABS(BC26)*100,""),"")</f>
        <v/>
      </c>
      <c r="BF26" s="62" t="inlineStr">
        <is>
          <t>DeepSeek</t>
        </is>
      </c>
      <c r="BG26" s="67" t="n">
        <v>6500000</v>
      </c>
      <c r="BH26" s="67" t="n">
        <v>6500000</v>
      </c>
      <c r="BI26" s="65">
        <f>IFERROR(IF(AND(BG26&lt;&gt;"",BH26&lt;&gt;""),ABS(BG26-BH26)/ABS(BG26)*100,""),"")</f>
        <v/>
      </c>
      <c r="BJ26" s="62" t="inlineStr">
        <is>
          <t>Claude</t>
        </is>
      </c>
      <c r="BK26" s="67" t="n">
        <v>36.1</v>
      </c>
      <c r="BL26" s="67" t="n">
        <v>36.1</v>
      </c>
      <c r="BM26" s="65">
        <f>IFERROR(IF(AND(BK26&lt;&gt;"",BL26&lt;&gt;""),ABS(BK26-BL26)/ABS(BK26)*100,""),"")</f>
        <v/>
      </c>
      <c r="BN26" s="62" t="inlineStr">
        <is>
          <t>Claude</t>
        </is>
      </c>
      <c r="BO26" s="64" t="n">
        <v>7</v>
      </c>
      <c r="BP26" s="64" t="n">
        <v>1</v>
      </c>
      <c r="BQ26" s="65">
        <f>IFERROR(IF(AND(BO26&lt;&gt;"",BP26&lt;&gt;""),ABS(BO26-BP26)/ABS(BO26)*100,""),"")</f>
        <v/>
      </c>
      <c r="BR26" s="66" t="inlineStr">
        <is>
          <t>MANUAL FLAG</t>
        </is>
      </c>
      <c r="BS26" s="67" t="n">
        <v>2</v>
      </c>
      <c r="BT26" s="67" t="n"/>
      <c r="BU26" s="65">
        <f>IFERROR(IF(AND(BS26&lt;&gt;"",BT26&lt;&gt;""),ABS(BS26-BT26)/ABS(BS26)*100,""),"")</f>
        <v/>
      </c>
      <c r="BV26" s="62" t="inlineStr">
        <is>
          <t>Claude</t>
        </is>
      </c>
      <c r="BW26" s="67" t="n"/>
      <c r="BX26" s="67" t="n">
        <v>100</v>
      </c>
      <c r="BY26" s="65">
        <f>IFERROR(IF(AND(BW26&lt;&gt;"",BX26&lt;&gt;""),ABS(BW26-BX26)/ABS(BW26)*100,""),"")</f>
        <v/>
      </c>
      <c r="BZ26" s="62" t="inlineStr">
        <is>
          <t>DeepSeek</t>
        </is>
      </c>
      <c r="CA26" s="67" t="n"/>
      <c r="CB26" s="67" t="n"/>
      <c r="CC26" s="65">
        <f>IFERROR(IF(AND(CA26&lt;&gt;"",CB26&lt;&gt;""),ABS(CA26-CB26)/ABS(CA26)*100,""),"")</f>
        <v/>
      </c>
      <c r="CD26" s="62" t="inlineStr">
        <is>
          <t>ND</t>
        </is>
      </c>
      <c r="CE26" s="67" t="n">
        <v>9.1</v>
      </c>
      <c r="CF26" s="67" t="n">
        <v>9.1</v>
      </c>
      <c r="CG26" s="65">
        <f>IFERROR(IF(AND(CE26&lt;&gt;"",CF26&lt;&gt;""),ABS(CE26-CF26)/ABS(CE26)*100,""),"")</f>
        <v/>
      </c>
      <c r="CH26" s="62" t="inlineStr">
        <is>
          <t>Claude</t>
        </is>
      </c>
      <c r="CI26" s="67" t="n">
        <v>0.38</v>
      </c>
      <c r="CJ26" s="67" t="n">
        <v>0.38</v>
      </c>
      <c r="CK26" s="65">
        <f>IFERROR(IF(AND(CI26&lt;&gt;"",CJ26&lt;&gt;""),ABS(CI26-CJ26)/ABS(CI26)*100,""),"")</f>
        <v/>
      </c>
      <c r="CL26" s="62" t="inlineStr">
        <is>
          <t>Claude</t>
        </is>
      </c>
      <c r="CM26" s="67" t="n"/>
      <c r="CN26" s="67" t="n"/>
      <c r="CO26" s="65">
        <f>IFERROR(IF(AND(CM26&lt;&gt;"",CN26&lt;&gt;""),ABS(CM26-CN26)/ABS(CM26)*100,""),"")</f>
        <v/>
      </c>
      <c r="CP26" s="62" t="inlineStr">
        <is>
          <t>ND</t>
        </is>
      </c>
      <c r="CQ26" s="67" t="n">
        <v>0</v>
      </c>
      <c r="CR26" s="67" t="n">
        <v>0</v>
      </c>
      <c r="CS26" s="65">
        <f>IFERROR(IF(AND(CQ26&lt;&gt;"",CR26&lt;&gt;""),ABS(CQ26-CR26)/ABS(CQ26)*100,""),"")</f>
        <v/>
      </c>
      <c r="CT26" s="62" t="inlineStr">
        <is>
          <t>Claude</t>
        </is>
      </c>
      <c r="CU26" s="67" t="n">
        <v>0</v>
      </c>
      <c r="CV26" s="67" t="n">
        <v>0</v>
      </c>
      <c r="CW26" s="65">
        <f>IFERROR(IF(AND(CU26&lt;&gt;"",CV26&lt;&gt;""),ABS(CU26-CV26)/ABS(CU26)*100,""),"")</f>
        <v/>
      </c>
      <c r="CX26" s="62" t="inlineStr">
        <is>
          <t>Claude</t>
        </is>
      </c>
      <c r="CY26" s="68" t="n"/>
      <c r="CZ26" s="68" t="n"/>
      <c r="DA26" s="65">
        <f>IFERROR(IF(AND(CY26&lt;&gt;"",CZ26&lt;&gt;""),ABS(CY26-CZ26)/ABS(CY26)*100,""),"")</f>
        <v/>
      </c>
      <c r="DB26" s="62" t="inlineStr">
        <is>
          <t>ND</t>
        </is>
      </c>
      <c r="DC26" s="68" t="n"/>
      <c r="DD26" s="68" t="n"/>
      <c r="DE26" s="65">
        <f>IFERROR(IF(AND(DC26&lt;&gt;"",DD26&lt;&gt;""),ABS(DC26-DD26)/ABS(DC26)*100,""),"")</f>
        <v/>
      </c>
      <c r="DF26" s="62" t="inlineStr">
        <is>
          <t>ND</t>
        </is>
      </c>
      <c r="DG26" s="68" t="n">
        <v>75</v>
      </c>
      <c r="DH26" s="68" t="n"/>
      <c r="DI26" s="65">
        <f>IFERROR(IF(AND(DG26&lt;&gt;"",DH26&lt;&gt;""),ABS(DG26-DH26)/ABS(DG26)*100,""),"")</f>
        <v/>
      </c>
      <c r="DJ26" s="62" t="inlineStr">
        <is>
          <t>Claude</t>
        </is>
      </c>
      <c r="DK26" s="68" t="n"/>
      <c r="DL26" s="68" t="n"/>
      <c r="DM26" s="65">
        <f>IFERROR(IF(AND(DK26&lt;&gt;"",DL26&lt;&gt;""),ABS(DK26-DL26)/ABS(DK26)*100,""),"")</f>
        <v/>
      </c>
      <c r="DN26" s="62" t="inlineStr">
        <is>
          <t>ND</t>
        </is>
      </c>
      <c r="DO26" s="68" t="n"/>
      <c r="DP26" s="68" t="n"/>
      <c r="DQ26" s="65">
        <f>IFERROR(IF(AND(DO26&lt;&gt;"",DP26&lt;&gt;""),ABS(DO26-DP26)/ABS(DO26)*100,""),"")</f>
        <v/>
      </c>
      <c r="DR26" s="62" t="inlineStr">
        <is>
          <t>ND</t>
        </is>
      </c>
      <c r="DS26" s="68" t="inlineStr">
        <is>
          <t>A</t>
        </is>
      </c>
      <c r="DT26" s="68" t="n"/>
      <c r="DU26" s="65">
        <f>IFERROR(IF(AND(DS26&lt;&gt;"",DT26&lt;&gt;""),ABS(DS26-DT26)/ABS(DS26)*100,""),"")</f>
        <v/>
      </c>
      <c r="DV26" s="62" t="inlineStr">
        <is>
          <t>Claude</t>
        </is>
      </c>
      <c r="DW26" s="63" t="inlineStr">
        <is>
          <t>Claude only (DeepSeek pending). Source=SKBP_2025.pdf. Ind.7=3.774 from headcount 10 / total workforce 265. Ind.13=ND: breakdown only (Executive=49%, Manager=7%, Non-manager=12%) - recorded for reference. Ind.18=ND: breakdown only (Male=100%, Female=100%) - recorded for reference. Ind.21=0.38, PROXY. Ind.30=A, this year explicitly Direct (current-year figure), unlike 2022/2023's inferred proxy. || DEEPSEEK RECONCILIATION - MANUAL FLAGS: Ind.16 (Parental Leave F): Claude=7, DeepSeek=1, Diff=85.7%</t>
        </is>
      </c>
    </row>
    <row r="27" ht="4.5" customHeight="1" s="43">
      <c r="A27" s="72" t="n"/>
      <c r="B27" s="72" t="n"/>
      <c r="C27" s="72" t="n"/>
      <c r="D27" s="72" t="n"/>
      <c r="E27" s="72" t="n"/>
      <c r="F27" s="72" t="n"/>
      <c r="G27" s="72" t="n"/>
      <c r="H27" s="72" t="n"/>
      <c r="I27" s="72" t="n"/>
      <c r="J27" s="72" t="n"/>
      <c r="K27" s="72" t="n"/>
      <c r="L27" s="72" t="n"/>
      <c r="M27" s="72" t="n"/>
      <c r="N27" s="72" t="n"/>
      <c r="O27" s="72" t="n"/>
      <c r="P27" s="72" t="n"/>
      <c r="Q27" s="72" t="n"/>
      <c r="R27" s="72" t="n"/>
      <c r="S27" s="72" t="n"/>
      <c r="T27" s="72" t="n"/>
      <c r="U27" s="72" t="n"/>
      <c r="V27" s="72" t="n"/>
      <c r="W27" s="72" t="n"/>
      <c r="X27" s="72" t="n"/>
      <c r="Y27" s="72" t="n"/>
      <c r="Z27" s="72" t="n"/>
      <c r="AA27" s="72" t="n"/>
      <c r="AB27" s="72" t="n"/>
      <c r="AC27" s="72" t="n"/>
      <c r="AD27" s="72" t="n"/>
      <c r="AE27" s="72" t="n"/>
      <c r="AF27" s="72" t="n"/>
      <c r="AG27" s="72" t="n"/>
      <c r="AH27" s="72" t="n"/>
      <c r="AI27" s="72" t="n"/>
      <c r="AJ27" s="72" t="n"/>
      <c r="AK27" s="72" t="n"/>
      <c r="AL27" s="72" t="n"/>
      <c r="AM27" s="72" t="n"/>
      <c r="AN27" s="72" t="n"/>
      <c r="AO27" s="72" t="n"/>
      <c r="AP27" s="72" t="n"/>
      <c r="AQ27" s="72" t="n"/>
      <c r="AR27" s="72" t="n"/>
      <c r="AS27" s="72" t="n"/>
      <c r="AT27" s="72" t="n"/>
      <c r="AU27" s="72" t="n"/>
      <c r="AV27" s="72" t="n"/>
      <c r="AW27" s="72" t="n"/>
      <c r="AX27" s="72" t="n"/>
      <c r="AY27" s="72" t="n"/>
      <c r="AZ27" s="72" t="n"/>
      <c r="BA27" s="72" t="n"/>
      <c r="BB27" s="72" t="n"/>
      <c r="BC27" s="72" t="n"/>
      <c r="BD27" s="72" t="n"/>
      <c r="BE27" s="72" t="n"/>
      <c r="BF27" s="72" t="n"/>
      <c r="BG27" s="72" t="n"/>
      <c r="BH27" s="72" t="n"/>
      <c r="BI27" s="72" t="n"/>
      <c r="BJ27" s="72" t="n"/>
      <c r="BK27" s="72" t="n"/>
      <c r="BL27" s="72" t="n"/>
      <c r="BM27" s="72" t="n"/>
      <c r="BN27" s="72" t="n"/>
      <c r="BO27" s="72" t="n"/>
      <c r="BP27" s="72" t="n"/>
      <c r="BQ27" s="72" t="n"/>
      <c r="BR27" s="72" t="n"/>
      <c r="BS27" s="72" t="n"/>
      <c r="BT27" s="72" t="n"/>
      <c r="BU27" s="72" t="n"/>
      <c r="BV27" s="72" t="n"/>
      <c r="BW27" s="72" t="n"/>
      <c r="BX27" s="72" t="n"/>
      <c r="BY27" s="72" t="n"/>
      <c r="BZ27" s="72" t="n"/>
      <c r="CA27" s="72" t="n"/>
      <c r="CB27" s="72" t="n"/>
      <c r="CC27" s="72" t="n"/>
      <c r="CD27" s="72" t="n"/>
      <c r="CE27" s="72" t="n"/>
      <c r="CF27" s="72" t="n"/>
      <c r="CG27" s="72" t="n"/>
      <c r="CH27" s="72" t="n"/>
      <c r="CI27" s="72" t="n"/>
      <c r="CJ27" s="72" t="n"/>
      <c r="CK27" s="72" t="n"/>
      <c r="CL27" s="72" t="n"/>
      <c r="CM27" s="72" t="n"/>
      <c r="CN27" s="72" t="n"/>
      <c r="CO27" s="72" t="n"/>
      <c r="CP27" s="72" t="n"/>
      <c r="CQ27" s="72" t="n"/>
      <c r="CR27" s="72" t="n"/>
      <c r="CS27" s="72" t="n"/>
      <c r="CT27" s="72" t="n"/>
      <c r="CU27" s="72" t="n"/>
      <c r="CV27" s="72" t="n"/>
      <c r="CW27" s="72" t="n"/>
      <c r="CX27" s="72" t="n"/>
      <c r="CY27" s="72" t="n"/>
      <c r="CZ27" s="72" t="n"/>
      <c r="DA27" s="72" t="n"/>
      <c r="DB27" s="72" t="n"/>
      <c r="DC27" s="72" t="n"/>
      <c r="DD27" s="72" t="n"/>
      <c r="DE27" s="72" t="n"/>
      <c r="DF27" s="72" t="n"/>
      <c r="DG27" s="72" t="n"/>
      <c r="DH27" s="72" t="n"/>
      <c r="DI27" s="72" t="n"/>
      <c r="DJ27" s="72" t="n"/>
      <c r="DK27" s="72" t="n"/>
      <c r="DL27" s="72" t="n"/>
      <c r="DM27" s="72" t="n"/>
      <c r="DN27" s="72" t="n"/>
      <c r="DO27" s="72" t="n"/>
      <c r="DP27" s="72" t="n"/>
      <c r="DQ27" s="72" t="n"/>
      <c r="DR27" s="72" t="n"/>
      <c r="DS27" s="72" t="n"/>
      <c r="DT27" s="72" t="n"/>
      <c r="DU27" s="72" t="n"/>
      <c r="DV27" s="72" t="n"/>
      <c r="DW27" s="72" t="n"/>
    </row>
    <row r="28" ht="15.75" customHeight="1" s="43">
      <c r="A28" s="73" t="inlineStr">
        <is>
          <t>HANMI PHARM</t>
        </is>
      </c>
      <c r="B28" s="69" t="inlineStr">
        <is>
          <t>128940</t>
        </is>
      </c>
      <c r="C28" s="69" t="inlineStr">
        <is>
          <t>Health Care</t>
        </is>
      </c>
      <c r="D28" s="69" t="inlineStr">
        <is>
          <t>2018</t>
        </is>
      </c>
      <c r="E28" s="70" t="inlineStr">
        <is>
          <t>hanmipharm 2020-2021 CSR report (only report covering 2018)</t>
        </is>
      </c>
      <c r="F28" s="69" t="n"/>
      <c r="G28" s="67" t="n">
        <v>5.17</v>
      </c>
      <c r="H28" s="67" t="n">
        <v>5.17</v>
      </c>
      <c r="I28" s="71">
        <f>IFERROR(IF(AND(G28&lt;&gt;"",H28&lt;&gt;""),ABS(G28-H28)/ABS(G28)*100,""),"")</f>
        <v/>
      </c>
      <c r="J28" s="69" t="inlineStr">
        <is>
          <t>Claude</t>
        </is>
      </c>
      <c r="K28" s="67" t="n">
        <v>28.3</v>
      </c>
      <c r="L28" s="67" t="n">
        <v>26.9</v>
      </c>
      <c r="M28" s="71">
        <f>IFERROR(IF(AND(K28&lt;&gt;"",L28&lt;&gt;""),ABS(K28-L28)/ABS(K28)*100,""),"")</f>
        <v/>
      </c>
      <c r="N28" s="69" t="inlineStr">
        <is>
          <t>Claude</t>
        </is>
      </c>
      <c r="O28" s="67" t="n"/>
      <c r="P28" s="67" t="n">
        <v>54.84</v>
      </c>
      <c r="Q28" s="71">
        <f>IFERROR(IF(AND(O28&lt;&gt;"",P28&lt;&gt;""),ABS(O28-P28)/ABS(O28)*100,""),"")</f>
        <v/>
      </c>
      <c r="R28" s="69" t="inlineStr">
        <is>
          <t>DeepSeek</t>
        </is>
      </c>
      <c r="S28" s="67" t="n">
        <v>16.3</v>
      </c>
      <c r="T28" s="67" t="n">
        <v>16.26</v>
      </c>
      <c r="U28" s="71">
        <f>IFERROR(IF(AND(S28&lt;&gt;"",T28&lt;&gt;""),ABS(S28-T28)/ABS(S28)*100,""),"")</f>
        <v/>
      </c>
      <c r="V28" s="69" t="inlineStr">
        <is>
          <t>Claude</t>
        </is>
      </c>
      <c r="W28" s="67" t="n"/>
      <c r="X28" s="67" t="n"/>
      <c r="Y28" s="71">
        <f>IFERROR(IF(AND(W28&lt;&gt;"",X28&lt;&gt;""),ABS(W28-X28)/ABS(W28)*100,""),"")</f>
        <v/>
      </c>
      <c r="Z28" s="69" t="inlineStr">
        <is>
          <t>ND</t>
        </is>
      </c>
      <c r="AA28" s="67" t="n"/>
      <c r="AB28" s="67" t="n"/>
      <c r="AC28" s="71">
        <f>IFERROR(IF(AND(AA28&lt;&gt;"",AB28&lt;&gt;""),ABS(AA28-AB28)/ABS(AA28)*100,""),"")</f>
        <v/>
      </c>
      <c r="AD28" s="69" t="inlineStr">
        <is>
          <t>ND</t>
        </is>
      </c>
      <c r="AE28" s="67" t="n"/>
      <c r="AF28" s="67" t="n"/>
      <c r="AG28" s="71">
        <f>IFERROR(IF(AND(AE28&lt;&gt;"",AF28&lt;&gt;""),ABS(AE28-AF28)/ABS(AE28)*100,""),"")</f>
        <v/>
      </c>
      <c r="AH28" s="69" t="inlineStr">
        <is>
          <t>ND</t>
        </is>
      </c>
      <c r="AI28" s="67" t="n"/>
      <c r="AJ28" s="67" t="n"/>
      <c r="AK28" s="71">
        <f>IFERROR(IF(AND(AI28&lt;&gt;"",AJ28&lt;&gt;""),ABS(AI28-AJ28)/ABS(AI28)*100,""),"")</f>
        <v/>
      </c>
      <c r="AL28" s="69" t="inlineStr">
        <is>
          <t>ND</t>
        </is>
      </c>
      <c r="AM28" s="67" t="n"/>
      <c r="AN28" s="67" t="n"/>
      <c r="AO28" s="71">
        <f>IFERROR(IF(AND(AM28&lt;&gt;"",AN28&lt;&gt;""),ABS(AM28-AN28)/ABS(AM28)*100,""),"")</f>
        <v/>
      </c>
      <c r="AP28" s="69" t="inlineStr">
        <is>
          <t>ND</t>
        </is>
      </c>
      <c r="AQ28" s="64" t="n">
        <v>24.5</v>
      </c>
      <c r="AR28" s="64" t="n">
        <v>23.26</v>
      </c>
      <c r="AS28" s="71">
        <f>IFERROR(IF(AND(AQ28&lt;&gt;"",AR28&lt;&gt;""),ABS(AQ28-AR28)/ABS(AQ28)*100,""),"")</f>
        <v/>
      </c>
      <c r="AT28" s="66" t="inlineStr">
        <is>
          <t>MANUAL FLAG</t>
        </is>
      </c>
      <c r="AU28" s="67" t="n"/>
      <c r="AV28" s="67" t="n"/>
      <c r="AW28" s="71">
        <f>IFERROR(IF(AND(AU28&lt;&gt;"",AV28&lt;&gt;""),ABS(AU28-AV28)/ABS(AU28)*100,""),"")</f>
        <v/>
      </c>
      <c r="AX28" s="69" t="inlineStr">
        <is>
          <t>ND</t>
        </is>
      </c>
      <c r="AY28" s="67" t="n">
        <v>66274637</v>
      </c>
      <c r="AZ28" s="67" t="n">
        <v>66274637</v>
      </c>
      <c r="BA28" s="71">
        <f>IFERROR(IF(AND(AY28&lt;&gt;"",AZ28&lt;&gt;""),ABS(AY28-AZ28)/ABS(AY28)*100,""),"")</f>
        <v/>
      </c>
      <c r="BB28" s="69" t="inlineStr">
        <is>
          <t>Claude</t>
        </is>
      </c>
      <c r="BC28" s="67" t="n">
        <v>18.51</v>
      </c>
      <c r="BD28" s="67" t="n">
        <v>18.51</v>
      </c>
      <c r="BE28" s="71">
        <f>IFERROR(IF(AND(BC28&lt;&gt;"",BD28&lt;&gt;""),ABS(BC28-BD28)/ABS(BC28)*100,""),"")</f>
        <v/>
      </c>
      <c r="BF28" s="69" t="inlineStr">
        <is>
          <t>Claude</t>
        </is>
      </c>
      <c r="BG28" s="64" t="n">
        <v>958733</v>
      </c>
      <c r="BH28" s="64" t="n">
        <v>9671</v>
      </c>
      <c r="BI28" s="71">
        <f>IFERROR(IF(AND(BG28&lt;&gt;"",BH28&lt;&gt;""),ABS(BG28-BH28)/ABS(BG28)*100,""),"")</f>
        <v/>
      </c>
      <c r="BJ28" s="66" t="inlineStr">
        <is>
          <t>MANUAL FLAG</t>
        </is>
      </c>
      <c r="BK28" s="67" t="n">
        <v>5</v>
      </c>
      <c r="BL28" s="67" t="n"/>
      <c r="BM28" s="71">
        <f>IFERROR(IF(AND(BK28&lt;&gt;"",BL28&lt;&gt;""),ABS(BK28-BL28)/ABS(BK28)*100,""),"")</f>
        <v/>
      </c>
      <c r="BN28" s="69" t="inlineStr">
        <is>
          <t>Claude</t>
        </is>
      </c>
      <c r="BO28" s="67" t="n">
        <v>42</v>
      </c>
      <c r="BP28" s="67" t="n"/>
      <c r="BQ28" s="71">
        <f>IFERROR(IF(AND(BO28&lt;&gt;"",BP28&lt;&gt;""),ABS(BO28-BP28)/ABS(BO28)*100,""),"")</f>
        <v/>
      </c>
      <c r="BR28" s="69" t="inlineStr">
        <is>
          <t>Claude</t>
        </is>
      </c>
      <c r="BS28" s="67" t="n"/>
      <c r="BT28" s="67" t="n"/>
      <c r="BU28" s="71">
        <f>IFERROR(IF(AND(BS28&lt;&gt;"",BT28&lt;&gt;""),ABS(BS28-BT28)/ABS(BS28)*100,""),"")</f>
        <v/>
      </c>
      <c r="BV28" s="69" t="inlineStr">
        <is>
          <t>ND</t>
        </is>
      </c>
      <c r="BW28" s="67" t="n">
        <v>69.05</v>
      </c>
      <c r="BX28" s="67" t="n">
        <v>69.05</v>
      </c>
      <c r="BY28" s="71">
        <f>IFERROR(IF(AND(BW28&lt;&gt;"",BX28&lt;&gt;""),ABS(BW28-BX28)/ABS(BW28)*100,""),"")</f>
        <v/>
      </c>
      <c r="BZ28" s="69" t="inlineStr">
        <is>
          <t>Claude</t>
        </is>
      </c>
      <c r="CA28" s="67" t="n">
        <v>5.9</v>
      </c>
      <c r="CB28" s="67" t="n">
        <v>5.9</v>
      </c>
      <c r="CC28" s="71">
        <f>IFERROR(IF(AND(CA28&lt;&gt;"",CB28&lt;&gt;""),ABS(CA28-CB28)/ABS(CA28)*100,""),"")</f>
        <v/>
      </c>
      <c r="CD28" s="69" t="inlineStr">
        <is>
          <t>Claude</t>
        </is>
      </c>
      <c r="CE28" s="67" t="n"/>
      <c r="CF28" s="67" t="n"/>
      <c r="CG28" s="71">
        <f>IFERROR(IF(AND(CE28&lt;&gt;"",CF28&lt;&gt;""),ABS(CE28-CF28)/ABS(CE28)*100,""),"")</f>
        <v/>
      </c>
      <c r="CH28" s="69" t="inlineStr">
        <is>
          <t>ND</t>
        </is>
      </c>
      <c r="CI28" s="67" t="n"/>
      <c r="CJ28" s="67" t="n"/>
      <c r="CK28" s="71">
        <f>IFERROR(IF(AND(CI28&lt;&gt;"",CJ28&lt;&gt;""),ABS(CI28-CJ28)/ABS(CI28)*100,""),"")</f>
        <v/>
      </c>
      <c r="CL28" s="69" t="inlineStr">
        <is>
          <t>ND</t>
        </is>
      </c>
      <c r="CM28" s="67" t="n"/>
      <c r="CN28" s="67" t="n"/>
      <c r="CO28" s="71">
        <f>IFERROR(IF(AND(CM28&lt;&gt;"",CN28&lt;&gt;""),ABS(CM28-CN28)/ABS(CM28)*100,""),"")</f>
        <v/>
      </c>
      <c r="CP28" s="69" t="inlineStr">
        <is>
          <t>ND</t>
        </is>
      </c>
      <c r="CQ28" s="67" t="n">
        <v>0</v>
      </c>
      <c r="CR28" s="67" t="n">
        <v>0</v>
      </c>
      <c r="CS28" s="71">
        <f>IFERROR(IF(AND(CQ28&lt;&gt;"",CR28&lt;&gt;""),ABS(CQ28-CR28)/ABS(CQ28)*100,""),"")</f>
        <v/>
      </c>
      <c r="CT28" s="69" t="inlineStr">
        <is>
          <t>Claude</t>
        </is>
      </c>
      <c r="CU28" s="67" t="n"/>
      <c r="CV28" s="67" t="n"/>
      <c r="CW28" s="71">
        <f>IFERROR(IF(AND(CU28&lt;&gt;"",CV28&lt;&gt;""),ABS(CU28-CV28)/ABS(CU28)*100,""),"")</f>
        <v/>
      </c>
      <c r="CX28" s="69" t="inlineStr">
        <is>
          <t>ND</t>
        </is>
      </c>
      <c r="CY28" s="68" t="n"/>
      <c r="CZ28" s="68" t="n"/>
      <c r="DA28" s="71">
        <f>IFERROR(IF(AND(CY28&lt;&gt;"",CZ28&lt;&gt;""),ABS(CY28-CZ28)/ABS(CY28)*100,""),"")</f>
        <v/>
      </c>
      <c r="DB28" s="69" t="inlineStr">
        <is>
          <t>ND</t>
        </is>
      </c>
      <c r="DC28" s="68" t="n"/>
      <c r="DD28" s="68" t="n">
        <v>2</v>
      </c>
      <c r="DE28" s="71">
        <f>IFERROR(IF(AND(DC28&lt;&gt;"",DD28&lt;&gt;""),ABS(DC28-DD28)/ABS(DC28)*100,""),"")</f>
        <v/>
      </c>
      <c r="DF28" s="69" t="inlineStr">
        <is>
          <t>DeepSeek</t>
        </is>
      </c>
      <c r="DG28" s="68" t="n"/>
      <c r="DH28" s="68" t="n"/>
      <c r="DI28" s="71">
        <f>IFERROR(IF(AND(DG28&lt;&gt;"",DH28&lt;&gt;""),ABS(DG28-DH28)/ABS(DG28)*100,""),"")</f>
        <v/>
      </c>
      <c r="DJ28" s="69" t="inlineStr">
        <is>
          <t>ND</t>
        </is>
      </c>
      <c r="DK28" s="68" t="n"/>
      <c r="DL28" s="68" t="n"/>
      <c r="DM28" s="71">
        <f>IFERROR(IF(AND(DK28&lt;&gt;"",DL28&lt;&gt;""),ABS(DK28-DL28)/ABS(DK28)*100,""),"")</f>
        <v/>
      </c>
      <c r="DN28" s="69" t="inlineStr">
        <is>
          <t>ND</t>
        </is>
      </c>
      <c r="DO28" s="68" t="n"/>
      <c r="DP28" s="68" t="n"/>
      <c r="DQ28" s="71">
        <f>IFERROR(IF(AND(DO28&lt;&gt;"",DP28&lt;&gt;""),ABS(DO28-DP28)/ABS(DO28)*100,""),"")</f>
        <v/>
      </c>
      <c r="DR28" s="69" t="inlineStr">
        <is>
          <t>ND</t>
        </is>
      </c>
      <c r="DS28" s="68" t="n"/>
      <c r="DT28" s="68" t="n"/>
      <c r="DU28" s="71">
        <f>IFERROR(IF(AND(DS28&lt;&gt;"",DT28&lt;&gt;""),ABS(DS28-DT28)/ABS(DS28)*100,""),"")</f>
        <v/>
      </c>
      <c r="DV28" s="69" t="inlineStr">
        <is>
          <t>ND</t>
        </is>
      </c>
      <c r="DW28" s="70" t="inlineStr">
        <is>
          <t>Claude only (DeepSeek pending). Source=2020-21 ed. (only report covering 2018). Ind.2=28.3, PROXY (all-staff female ratio, not permanent-only - no cross-tab exists). Ind.7/8=ND (no total workforce disclosed in this batch to compute %; disability headcount=4, foreign=na). Ind.15=5, PROXY (human-rights training hours only, not comprehensive). Ind.16=42 - LIKELY MISLABELED: the 2021-22 ed. later found that this same report's 2019/2020 'Female' parental-leave figures were actually combined M+F totals (real female counts much lower); 2018's 42 was never corrected since no later report covers 2018 - treat with same suspicion. Ind.18=69.05, PROXY (calculated ratio, cohort-mismatch caveat: leave duration ~1yr means same-year 'taking leave' and 'returned' cohorts may not match). Ind.23=0, SCOPE-LIMITED to Paltan Smart Plant only, not company-wide. || DEEPSEEK RECONCILIATION - MANUAL FLAGS: Ind.10 (Female Executives): Claude=24.5, DeepSeek=23.26, Diff=5.1%; Ind.14 (Training Budget/Employee): Claude=958733, DeepSeek=9671, Diff=99.0%</t>
        </is>
      </c>
    </row>
    <row r="29" ht="15.75" customHeight="1" s="43">
      <c r="A29" s="62" t="n"/>
      <c r="B29" s="62" t="n"/>
      <c r="C29" s="62" t="inlineStr">
        <is>
          <t>Health Care</t>
        </is>
      </c>
      <c r="D29" s="62" t="inlineStr">
        <is>
          <t>2019</t>
        </is>
      </c>
      <c r="E29" s="63" t="inlineStr">
        <is>
          <t>hanmipharm_2021-2022.pdf (most recent covering 2019)</t>
        </is>
      </c>
      <c r="F29" s="62" t="n"/>
      <c r="G29" s="67" t="n">
        <v>5.95</v>
      </c>
      <c r="H29" s="67" t="n"/>
      <c r="I29" s="65">
        <f>IFERROR(IF(AND(G29&lt;&gt;"",H29&lt;&gt;""),ABS(G29-H29)/ABS(G29)*100,""),"")</f>
        <v/>
      </c>
      <c r="J29" s="62" t="inlineStr">
        <is>
          <t>Claude</t>
        </is>
      </c>
      <c r="K29" s="67" t="n"/>
      <c r="L29" s="67" t="n">
        <v>44.48</v>
      </c>
      <c r="M29" s="65">
        <f>IFERROR(IF(AND(K29&lt;&gt;"",L29&lt;&gt;""),ABS(K29-L29)/ABS(K29)*100,""),"")</f>
        <v/>
      </c>
      <c r="N29" s="62" t="inlineStr">
        <is>
          <t>DeepSeek</t>
        </is>
      </c>
      <c r="O29" s="67" t="n"/>
      <c r="P29" s="67" t="n"/>
      <c r="Q29" s="65">
        <f>IFERROR(IF(AND(O29&lt;&gt;"",P29&lt;&gt;""),ABS(O29-P29)/ABS(O29)*100,""),"")</f>
        <v/>
      </c>
      <c r="R29" s="62" t="inlineStr">
        <is>
          <t>ND</t>
        </is>
      </c>
      <c r="S29" s="67" t="n">
        <v>11.1</v>
      </c>
      <c r="T29" s="67" t="n"/>
      <c r="U29" s="65">
        <f>IFERROR(IF(AND(S29&lt;&gt;"",T29&lt;&gt;""),ABS(S29-T29)/ABS(S29)*100,""),"")</f>
        <v/>
      </c>
      <c r="V29" s="62" t="inlineStr">
        <is>
          <t>Claude</t>
        </is>
      </c>
      <c r="W29" s="67" t="n"/>
      <c r="X29" s="67" t="n"/>
      <c r="Y29" s="65">
        <f>IFERROR(IF(AND(W29&lt;&gt;"",X29&lt;&gt;""),ABS(W29-X29)/ABS(W29)*100,""),"")</f>
        <v/>
      </c>
      <c r="Z29" s="62" t="inlineStr">
        <is>
          <t>ND</t>
        </is>
      </c>
      <c r="AA29" s="67" t="n"/>
      <c r="AB29" s="67" t="n"/>
      <c r="AC29" s="65">
        <f>IFERROR(IF(AND(AA29&lt;&gt;"",AB29&lt;&gt;""),ABS(AA29-AB29)/ABS(AA29)*100,""),"")</f>
        <v/>
      </c>
      <c r="AD29" s="62" t="inlineStr">
        <is>
          <t>ND</t>
        </is>
      </c>
      <c r="AE29" s="67" t="n"/>
      <c r="AF29" s="67" t="n"/>
      <c r="AG29" s="65">
        <f>IFERROR(IF(AND(AE29&lt;&gt;"",AF29&lt;&gt;""),ABS(AE29-AF29)/ABS(AE29)*100,""),"")</f>
        <v/>
      </c>
      <c r="AH29" s="62" t="inlineStr">
        <is>
          <t>ND</t>
        </is>
      </c>
      <c r="AI29" s="67" t="n"/>
      <c r="AJ29" s="67" t="n"/>
      <c r="AK29" s="65">
        <f>IFERROR(IF(AND(AI29&lt;&gt;"",AJ29&lt;&gt;""),ABS(AI29-AJ29)/ABS(AI29)*100,""),"")</f>
        <v/>
      </c>
      <c r="AL29" s="62" t="inlineStr">
        <is>
          <t>ND</t>
        </is>
      </c>
      <c r="AM29" s="67" t="n"/>
      <c r="AN29" s="67" t="n"/>
      <c r="AO29" s="65">
        <f>IFERROR(IF(AND(AM29&lt;&gt;"",AN29&lt;&gt;""),ABS(AM29-AN29)/ABS(AM29)*100,""),"")</f>
        <v/>
      </c>
      <c r="AP29" s="62" t="inlineStr">
        <is>
          <t>ND</t>
        </is>
      </c>
      <c r="AQ29" s="67" t="n">
        <v>25</v>
      </c>
      <c r="AR29" s="67" t="n"/>
      <c r="AS29" s="65">
        <f>IFERROR(IF(AND(AQ29&lt;&gt;"",AR29&lt;&gt;""),ABS(AQ29-AR29)/ABS(AQ29)*100,""),"")</f>
        <v/>
      </c>
      <c r="AT29" s="62" t="inlineStr">
        <is>
          <t>Claude</t>
        </is>
      </c>
      <c r="AU29" s="67" t="n"/>
      <c r="AV29" s="67" t="n"/>
      <c r="AW29" s="65">
        <f>IFERROR(IF(AND(AU29&lt;&gt;"",AV29&lt;&gt;""),ABS(AU29-AV29)/ABS(AU29)*100,""),"")</f>
        <v/>
      </c>
      <c r="AX29" s="62" t="inlineStr">
        <is>
          <t>ND</t>
        </is>
      </c>
      <c r="AY29" s="67" t="n">
        <v>69869791</v>
      </c>
      <c r="AZ29" s="67" t="n"/>
      <c r="BA29" s="65">
        <f>IFERROR(IF(AND(AY29&lt;&gt;"",AZ29&lt;&gt;""),ABS(AY29-AZ29)/ABS(AY29)*100,""),"")</f>
        <v/>
      </c>
      <c r="BB29" s="62" t="inlineStr">
        <is>
          <t>Claude</t>
        </is>
      </c>
      <c r="BC29" s="67" t="n">
        <v>21.33</v>
      </c>
      <c r="BD29" s="67" t="n"/>
      <c r="BE29" s="65">
        <f>IFERROR(IF(AND(BC29&lt;&gt;"",BD29&lt;&gt;""),ABS(BC29-BD29)/ABS(BC29)*100,""),"")</f>
        <v/>
      </c>
      <c r="BF29" s="62" t="inlineStr">
        <is>
          <t>Claude</t>
        </is>
      </c>
      <c r="BG29" s="67" t="n">
        <v>909466</v>
      </c>
      <c r="BH29" s="67" t="n">
        <v>909466</v>
      </c>
      <c r="BI29" s="65">
        <f>IFERROR(IF(AND(BG29&lt;&gt;"",BH29&lt;&gt;""),ABS(BG29-BH29)/ABS(BG29)*100,""),"")</f>
        <v/>
      </c>
      <c r="BJ29" s="62" t="inlineStr">
        <is>
          <t>Claude</t>
        </is>
      </c>
      <c r="BK29" s="67" t="n"/>
      <c r="BL29" s="67" t="n"/>
      <c r="BM29" s="65">
        <f>IFERROR(IF(AND(BK29&lt;&gt;"",BL29&lt;&gt;""),ABS(BK29-BL29)/ABS(BK29)*100,""),"")</f>
        <v/>
      </c>
      <c r="BN29" s="62" t="inlineStr">
        <is>
          <t>ND</t>
        </is>
      </c>
      <c r="BO29" s="67" t="n">
        <v>36</v>
      </c>
      <c r="BP29" s="67" t="n"/>
      <c r="BQ29" s="65">
        <f>IFERROR(IF(AND(BO29&lt;&gt;"",BP29&lt;&gt;""),ABS(BO29-BP29)/ABS(BO29)*100,""),"")</f>
        <v/>
      </c>
      <c r="BR29" s="62" t="inlineStr">
        <is>
          <t>Claude</t>
        </is>
      </c>
      <c r="BS29" s="67" t="n">
        <v>5</v>
      </c>
      <c r="BT29" s="67" t="n"/>
      <c r="BU29" s="65">
        <f>IFERROR(IF(AND(BS29&lt;&gt;"",BT29&lt;&gt;""),ABS(BS29-BT29)/ABS(BS29)*100,""),"")</f>
        <v/>
      </c>
      <c r="BV29" s="62" t="inlineStr">
        <is>
          <t>Claude</t>
        </is>
      </c>
      <c r="BW29" s="67" t="n">
        <v>90</v>
      </c>
      <c r="BX29" s="67" t="n"/>
      <c r="BY29" s="65">
        <f>IFERROR(IF(AND(BW29&lt;&gt;"",BX29&lt;&gt;""),ABS(BW29-BX29)/ABS(BW29)*100,""),"")</f>
        <v/>
      </c>
      <c r="BZ29" s="62" t="inlineStr">
        <is>
          <t>Claude</t>
        </is>
      </c>
      <c r="CA29" s="67" t="n">
        <v>6.3</v>
      </c>
      <c r="CB29" s="67" t="n"/>
      <c r="CC29" s="65">
        <f>IFERROR(IF(AND(CA29&lt;&gt;"",CB29&lt;&gt;""),ABS(CA29-CB29)/ABS(CA29)*100,""),"")</f>
        <v/>
      </c>
      <c r="CD29" s="62" t="inlineStr">
        <is>
          <t>Claude</t>
        </is>
      </c>
      <c r="CE29" s="67" t="n">
        <v>12.4</v>
      </c>
      <c r="CF29" s="67" t="n"/>
      <c r="CG29" s="65">
        <f>IFERROR(IF(AND(CE29&lt;&gt;"",CF29&lt;&gt;""),ABS(CE29-CF29)/ABS(CE29)*100,""),"")</f>
        <v/>
      </c>
      <c r="CH29" s="62" t="inlineStr">
        <is>
          <t>Claude</t>
        </is>
      </c>
      <c r="CI29" s="67" t="n"/>
      <c r="CJ29" s="67" t="n"/>
      <c r="CK29" s="65">
        <f>IFERROR(IF(AND(CI29&lt;&gt;"",CJ29&lt;&gt;""),ABS(CI29-CJ29)/ABS(CI29)*100,""),"")</f>
        <v/>
      </c>
      <c r="CL29" s="62" t="inlineStr">
        <is>
          <t>ND</t>
        </is>
      </c>
      <c r="CM29" s="67" t="n"/>
      <c r="CN29" s="67" t="n"/>
      <c r="CO29" s="65">
        <f>IFERROR(IF(AND(CM29&lt;&gt;"",CN29&lt;&gt;""),ABS(CM29-CN29)/ABS(CM29)*100,""),"")</f>
        <v/>
      </c>
      <c r="CP29" s="62" t="inlineStr">
        <is>
          <t>ND</t>
        </is>
      </c>
      <c r="CQ29" s="67" t="n">
        <v>0</v>
      </c>
      <c r="CR29" s="67" t="n"/>
      <c r="CS29" s="65">
        <f>IFERROR(IF(AND(CQ29&lt;&gt;"",CR29&lt;&gt;""),ABS(CQ29-CR29)/ABS(CQ29)*100,""),"")</f>
        <v/>
      </c>
      <c r="CT29" s="62" t="inlineStr">
        <is>
          <t>Claude</t>
        </is>
      </c>
      <c r="CU29" s="67" t="n"/>
      <c r="CV29" s="67" t="n"/>
      <c r="CW29" s="65">
        <f>IFERROR(IF(AND(CU29&lt;&gt;"",CV29&lt;&gt;""),ABS(CU29-CV29)/ABS(CU29)*100,""),"")</f>
        <v/>
      </c>
      <c r="CX29" s="62" t="inlineStr">
        <is>
          <t>ND</t>
        </is>
      </c>
      <c r="CY29" s="68" t="n"/>
      <c r="CZ29" s="68" t="n">
        <v>0</v>
      </c>
      <c r="DA29" s="65">
        <f>IFERROR(IF(AND(CY29&lt;&gt;"",CZ29&lt;&gt;""),ABS(CY29-CZ29)/ABS(CY29)*100,""),"")</f>
        <v/>
      </c>
      <c r="DB29" s="62" t="inlineStr">
        <is>
          <t>DeepSeek</t>
        </is>
      </c>
      <c r="DC29" s="68" t="n"/>
      <c r="DD29" s="68" t="n"/>
      <c r="DE29" s="65">
        <f>IFERROR(IF(AND(DC29&lt;&gt;"",DD29&lt;&gt;""),ABS(DC29-DD29)/ABS(DC29)*100,""),"")</f>
        <v/>
      </c>
      <c r="DF29" s="62" t="inlineStr">
        <is>
          <t>ND</t>
        </is>
      </c>
      <c r="DG29" s="68" t="n"/>
      <c r="DH29" s="68" t="n"/>
      <c r="DI29" s="65">
        <f>IFERROR(IF(AND(DG29&lt;&gt;"",DH29&lt;&gt;""),ABS(DG29-DH29)/ABS(DG29)*100,""),"")</f>
        <v/>
      </c>
      <c r="DJ29" s="62" t="inlineStr">
        <is>
          <t>ND</t>
        </is>
      </c>
      <c r="DK29" s="68" t="n"/>
      <c r="DL29" s="68" t="n"/>
      <c r="DM29" s="65">
        <f>IFERROR(IF(AND(DK29&lt;&gt;"",DL29&lt;&gt;""),ABS(DK29-DL29)/ABS(DK29)*100,""),"")</f>
        <v/>
      </c>
      <c r="DN29" s="62" t="inlineStr">
        <is>
          <t>ND</t>
        </is>
      </c>
      <c r="DO29" s="68" t="n"/>
      <c r="DP29" s="68" t="n"/>
      <c r="DQ29" s="65">
        <f>IFERROR(IF(AND(DO29&lt;&gt;"",DP29&lt;&gt;""),ABS(DO29-DP29)/ABS(DO29)*100,""),"")</f>
        <v/>
      </c>
      <c r="DR29" s="62" t="inlineStr">
        <is>
          <t>ND</t>
        </is>
      </c>
      <c r="DS29" s="68" t="n"/>
      <c r="DT29" s="68" t="n"/>
      <c r="DU29" s="65">
        <f>IFERROR(IF(AND(DS29&lt;&gt;"",DT29&lt;&gt;""),ABS(DS29-DT29)/ABS(DS29)*100,""),"")</f>
        <v/>
      </c>
      <c r="DV29" s="62" t="inlineStr">
        <is>
          <t>ND</t>
        </is>
      </c>
      <c r="DW29" s="63" t="inlineStr">
        <is>
          <t>Claude only (DeepSeek pending). Source=2021-22 ed. (more recent than 2020-21 ed., used per 'most recent' rule). Ind.2=ND: 2021-22 ed. retracted the 2020-21 ed.'s proxy value (27.9) as unconfirmable - no permanent-only cross-tab exists. Ind.4/7=ND: 2021-22 ed. could not confirm a 2019 disability headcount (2020-21 ed. had claimed 4, now unconfirmed) - flagging this retraction. Ind.15=ND: 2021-22 ed. retracted 2020-21 ed.'s proxy training-hours value (5) as non-equivalent/unconfirmed. Ind.16=36 (CORRECTED from 2020-21 ed.'s erroneous 41 - that figure was actually the combined M+F total, not female-only; cross-validated here against the report's own combined totals). Ind.18=90 (Direct, matches 2020-21 ed.'s calculated 90.24 closely - validates the earlier calc was reasonable even though downgraded to Direct here). Ind.23=0 (3-site aggregate scope, broader than 2020-21 ed.'s single-site Paltan-only scope).</t>
        </is>
      </c>
    </row>
    <row r="30" ht="15.75" customHeight="1" s="43">
      <c r="A30" s="69" t="n"/>
      <c r="B30" s="69" t="n"/>
      <c r="C30" s="69" t="inlineStr">
        <is>
          <t>Health Care</t>
        </is>
      </c>
      <c r="D30" s="69" t="inlineStr">
        <is>
          <t>2020</t>
        </is>
      </c>
      <c r="E30" s="70" t="inlineStr">
        <is>
          <t>hanmipharm_2021-2022.pdf (most recent covering 2020)</t>
        </is>
      </c>
      <c r="F30" s="69" t="n"/>
      <c r="G30" s="67" t="n">
        <v>5.16</v>
      </c>
      <c r="H30" s="67" t="n"/>
      <c r="I30" s="71">
        <f>IFERROR(IF(AND(G30&lt;&gt;"",H30&lt;&gt;""),ABS(G30-H30)/ABS(G30)*100,""),"")</f>
        <v/>
      </c>
      <c r="J30" s="69" t="inlineStr">
        <is>
          <t>Claude</t>
        </is>
      </c>
      <c r="K30" s="67" t="n"/>
      <c r="L30" s="67" t="n">
        <v>44.37</v>
      </c>
      <c r="M30" s="71">
        <f>IFERROR(IF(AND(K30&lt;&gt;"",L30&lt;&gt;""),ABS(K30-L30)/ABS(K30)*100,""),"")</f>
        <v/>
      </c>
      <c r="N30" s="69" t="inlineStr">
        <is>
          <t>DeepSeek</t>
        </is>
      </c>
      <c r="O30" s="67" t="n"/>
      <c r="P30" s="67" t="n"/>
      <c r="Q30" s="71">
        <f>IFERROR(IF(AND(O30&lt;&gt;"",P30&lt;&gt;""),ABS(O30-P30)/ABS(O30)*100,""),"")</f>
        <v/>
      </c>
      <c r="R30" s="69" t="inlineStr">
        <is>
          <t>ND</t>
        </is>
      </c>
      <c r="S30" s="67" t="n">
        <v>8.1</v>
      </c>
      <c r="T30" s="67" t="n"/>
      <c r="U30" s="71">
        <f>IFERROR(IF(AND(S30&lt;&gt;"",T30&lt;&gt;""),ABS(S30-T30)/ABS(S30)*100,""),"")</f>
        <v/>
      </c>
      <c r="V30" s="69" t="inlineStr">
        <is>
          <t>Claude</t>
        </is>
      </c>
      <c r="W30" s="67" t="n"/>
      <c r="X30" s="67" t="n"/>
      <c r="Y30" s="71">
        <f>IFERROR(IF(AND(W30&lt;&gt;"",X30&lt;&gt;""),ABS(W30-X30)/ABS(W30)*100,""),"")</f>
        <v/>
      </c>
      <c r="Z30" s="69" t="inlineStr">
        <is>
          <t>ND</t>
        </is>
      </c>
      <c r="AA30" s="67" t="n"/>
      <c r="AB30" s="67" t="n"/>
      <c r="AC30" s="71">
        <f>IFERROR(IF(AND(AA30&lt;&gt;"",AB30&lt;&gt;""),ABS(AA30-AB30)/ABS(AA30)*100,""),"")</f>
        <v/>
      </c>
      <c r="AD30" s="69" t="inlineStr">
        <is>
          <t>ND</t>
        </is>
      </c>
      <c r="AE30" s="67" t="n"/>
      <c r="AF30" s="67" t="n"/>
      <c r="AG30" s="71">
        <f>IFERROR(IF(AND(AE30&lt;&gt;"",AF30&lt;&gt;""),ABS(AE30-AF30)/ABS(AE30)*100,""),"")</f>
        <v/>
      </c>
      <c r="AH30" s="69" t="inlineStr">
        <is>
          <t>ND</t>
        </is>
      </c>
      <c r="AI30" s="67" t="n"/>
      <c r="AJ30" s="67" t="n"/>
      <c r="AK30" s="71">
        <f>IFERROR(IF(AND(AI30&lt;&gt;"",AJ30&lt;&gt;""),ABS(AI30-AJ30)/ABS(AI30)*100,""),"")</f>
        <v/>
      </c>
      <c r="AL30" s="69" t="inlineStr">
        <is>
          <t>ND</t>
        </is>
      </c>
      <c r="AM30" s="67" t="n"/>
      <c r="AN30" s="67" t="n"/>
      <c r="AO30" s="71">
        <f>IFERROR(IF(AND(AM30&lt;&gt;"",AN30&lt;&gt;""),ABS(AM30-AN30)/ABS(AM30)*100,""),"")</f>
        <v/>
      </c>
      <c r="AP30" s="69" t="inlineStr">
        <is>
          <t>ND</t>
        </is>
      </c>
      <c r="AQ30" s="67" t="n">
        <v>25.9</v>
      </c>
      <c r="AR30" s="67" t="n"/>
      <c r="AS30" s="71">
        <f>IFERROR(IF(AND(AQ30&lt;&gt;"",AR30&lt;&gt;""),ABS(AQ30-AR30)/ABS(AQ30)*100,""),"")</f>
        <v/>
      </c>
      <c r="AT30" s="69" t="inlineStr">
        <is>
          <t>Claude</t>
        </is>
      </c>
      <c r="AU30" s="67" t="n"/>
      <c r="AV30" s="67" t="n"/>
      <c r="AW30" s="71">
        <f>IFERROR(IF(AND(AU30&lt;&gt;"",AV30&lt;&gt;""),ABS(AU30-AV30)/ABS(AU30)*100,""),"")</f>
        <v/>
      </c>
      <c r="AX30" s="69" t="inlineStr">
        <is>
          <t>ND</t>
        </is>
      </c>
      <c r="AY30" s="67" t="n">
        <v>70263287</v>
      </c>
      <c r="AZ30" s="67" t="n"/>
      <c r="BA30" s="71">
        <f>IFERROR(IF(AND(AY30&lt;&gt;"",AZ30&lt;&gt;""),ABS(AY30-AZ30)/ABS(AY30)*100,""),"")</f>
        <v/>
      </c>
      <c r="BB30" s="69" t="inlineStr">
        <is>
          <t>Claude</t>
        </is>
      </c>
      <c r="BC30" s="67" t="n">
        <v>24.53</v>
      </c>
      <c r="BD30" s="67" t="n"/>
      <c r="BE30" s="71">
        <f>IFERROR(IF(AND(BC30&lt;&gt;"",BD30&lt;&gt;""),ABS(BC30-BD30)/ABS(BC30)*100,""),"")</f>
        <v/>
      </c>
      <c r="BF30" s="69" t="inlineStr">
        <is>
          <t>Claude</t>
        </is>
      </c>
      <c r="BG30" s="64" t="n">
        <v>469283</v>
      </c>
      <c r="BH30" s="64" t="n">
        <v>597269</v>
      </c>
      <c r="BI30" s="71">
        <f>IFERROR(IF(AND(BG30&lt;&gt;"",BH30&lt;&gt;""),ABS(BG30-BH30)/ABS(BG30)*100,""),"")</f>
        <v/>
      </c>
      <c r="BJ30" s="66" t="inlineStr">
        <is>
          <t>MANUAL FLAG</t>
        </is>
      </c>
      <c r="BK30" s="67" t="n"/>
      <c r="BL30" s="67" t="n"/>
      <c r="BM30" s="71">
        <f>IFERROR(IF(AND(BK30&lt;&gt;"",BL30&lt;&gt;""),ABS(BK30-BL30)/ABS(BK30)*100,""),"")</f>
        <v/>
      </c>
      <c r="BN30" s="69" t="inlineStr">
        <is>
          <t>ND</t>
        </is>
      </c>
      <c r="BO30" s="67" t="n">
        <v>35</v>
      </c>
      <c r="BP30" s="67" t="n"/>
      <c r="BQ30" s="71">
        <f>IFERROR(IF(AND(BO30&lt;&gt;"",BP30&lt;&gt;""),ABS(BO30-BP30)/ABS(BO30)*100,""),"")</f>
        <v/>
      </c>
      <c r="BR30" s="69" t="inlineStr">
        <is>
          <t>Claude</t>
        </is>
      </c>
      <c r="BS30" s="67" t="n">
        <v>10</v>
      </c>
      <c r="BT30" s="67" t="n"/>
      <c r="BU30" s="71">
        <f>IFERROR(IF(AND(BS30&lt;&gt;"",BT30&lt;&gt;""),ABS(BS30-BT30)/ABS(BS30)*100,""),"")</f>
        <v/>
      </c>
      <c r="BV30" s="69" t="inlineStr">
        <is>
          <t>Claude</t>
        </is>
      </c>
      <c r="BW30" s="67" t="n">
        <v>91</v>
      </c>
      <c r="BX30" s="67" t="n"/>
      <c r="BY30" s="71">
        <f>IFERROR(IF(AND(BW30&lt;&gt;"",BX30&lt;&gt;""),ABS(BW30-BX30)/ABS(BW30)*100,""),"")</f>
        <v/>
      </c>
      <c r="BZ30" s="69" t="inlineStr">
        <is>
          <t>Claude</t>
        </is>
      </c>
      <c r="CA30" s="67" t="n">
        <v>7</v>
      </c>
      <c r="CB30" s="67" t="n"/>
      <c r="CC30" s="71">
        <f>IFERROR(IF(AND(CA30&lt;&gt;"",CB30&lt;&gt;""),ABS(CA30-CB30)/ABS(CA30)*100,""),"")</f>
        <v/>
      </c>
      <c r="CD30" s="69" t="inlineStr">
        <is>
          <t>Claude</t>
        </is>
      </c>
      <c r="CE30" s="67" t="n">
        <v>11.3</v>
      </c>
      <c r="CF30" s="67" t="n"/>
      <c r="CG30" s="71">
        <f>IFERROR(IF(AND(CE30&lt;&gt;"",CF30&lt;&gt;""),ABS(CE30-CF30)/ABS(CE30)*100,""),"")</f>
        <v/>
      </c>
      <c r="CH30" s="69" t="inlineStr">
        <is>
          <t>Claude</t>
        </is>
      </c>
      <c r="CI30" s="67" t="n"/>
      <c r="CJ30" s="67" t="n"/>
      <c r="CK30" s="71">
        <f>IFERROR(IF(AND(CI30&lt;&gt;"",CJ30&lt;&gt;""),ABS(CI30-CJ30)/ABS(CI30)*100,""),"")</f>
        <v/>
      </c>
      <c r="CL30" s="69" t="inlineStr">
        <is>
          <t>ND</t>
        </is>
      </c>
      <c r="CM30" s="67" t="n"/>
      <c r="CN30" s="67" t="n"/>
      <c r="CO30" s="71">
        <f>IFERROR(IF(AND(CM30&lt;&gt;"",CN30&lt;&gt;""),ABS(CM30-CN30)/ABS(CM30)*100,""),"")</f>
        <v/>
      </c>
      <c r="CP30" s="69" t="inlineStr">
        <is>
          <t>ND</t>
        </is>
      </c>
      <c r="CQ30" s="67" t="n">
        <v>0.77</v>
      </c>
      <c r="CR30" s="67" t="n"/>
      <c r="CS30" s="71">
        <f>IFERROR(IF(AND(CQ30&lt;&gt;"",CR30&lt;&gt;""),ABS(CQ30-CR30)/ABS(CQ30)*100,""),"")</f>
        <v/>
      </c>
      <c r="CT30" s="69" t="inlineStr">
        <is>
          <t>Claude</t>
        </is>
      </c>
      <c r="CU30" s="67" t="n"/>
      <c r="CV30" s="67" t="n"/>
      <c r="CW30" s="71">
        <f>IFERROR(IF(AND(CU30&lt;&gt;"",CV30&lt;&gt;""),ABS(CU30-CV30)/ABS(CU30)*100,""),"")</f>
        <v/>
      </c>
      <c r="CX30" s="69" t="inlineStr">
        <is>
          <t>ND</t>
        </is>
      </c>
      <c r="CY30" s="68" t="n"/>
      <c r="CZ30" s="68" t="n">
        <v>8</v>
      </c>
      <c r="DA30" s="71">
        <f>IFERROR(IF(AND(CY30&lt;&gt;"",CZ30&lt;&gt;""),ABS(CY30-CZ30)/ABS(CY30)*100,""),"")</f>
        <v/>
      </c>
      <c r="DB30" s="69" t="inlineStr">
        <is>
          <t>DeepSeek</t>
        </is>
      </c>
      <c r="DC30" s="68" t="n"/>
      <c r="DD30" s="68" t="n"/>
      <c r="DE30" s="71">
        <f>IFERROR(IF(AND(DC30&lt;&gt;"",DD30&lt;&gt;""),ABS(DC30-DD30)/ABS(DC30)*100,""),"")</f>
        <v/>
      </c>
      <c r="DF30" s="69" t="inlineStr">
        <is>
          <t>ND</t>
        </is>
      </c>
      <c r="DG30" s="68" t="n"/>
      <c r="DH30" s="68" t="n"/>
      <c r="DI30" s="71">
        <f>IFERROR(IF(AND(DG30&lt;&gt;"",DH30&lt;&gt;""),ABS(DG30-DH30)/ABS(DG30)*100,""),"")</f>
        <v/>
      </c>
      <c r="DJ30" s="69" t="inlineStr">
        <is>
          <t>ND</t>
        </is>
      </c>
      <c r="DK30" s="68" t="n"/>
      <c r="DL30" s="68" t="n"/>
      <c r="DM30" s="71">
        <f>IFERROR(IF(AND(DK30&lt;&gt;"",DL30&lt;&gt;""),ABS(DK30-DL30)/ABS(DK30)*100,""),"")</f>
        <v/>
      </c>
      <c r="DN30" s="69" t="inlineStr">
        <is>
          <t>ND</t>
        </is>
      </c>
      <c r="DO30" s="68" t="n"/>
      <c r="DP30" s="68" t="n"/>
      <c r="DQ30" s="71">
        <f>IFERROR(IF(AND(DO30&lt;&gt;"",DP30&lt;&gt;""),ABS(DO30-DP30)/ABS(DO30)*100,""),"")</f>
        <v/>
      </c>
      <c r="DR30" s="69" t="inlineStr">
        <is>
          <t>ND</t>
        </is>
      </c>
      <c r="DS30" s="68" t="n"/>
      <c r="DT30" s="68" t="inlineStr">
        <is>
          <t>A</t>
        </is>
      </c>
      <c r="DU30" s="71">
        <f>IFERROR(IF(AND(DS30&lt;&gt;"",DT30&lt;&gt;""),ABS(DS30-DT30)/ABS(DS30)*100,""),"")</f>
        <v/>
      </c>
      <c r="DV30" s="69" t="inlineStr">
        <is>
          <t>DeepSeek</t>
        </is>
      </c>
      <c r="DW30" s="70" t="inlineStr">
        <is>
          <t>Claude only (DeepSeek pending). Source=2021-22 ed. Ind.4/7=ND: disability headcount not confirmed this year (2020-21 ed. had claimed 35, now retracted). Ind.16=35 (CORRECTED from 2020-21 ed.'s erroneous 45 - same mislabeling as 2019, see note above). Ind.18=91 (Direct). Ind.23=0.77 (3-site aggregate) vs 2020-21 ed.'s 1.6 (single-site Paltan only) - MAJOR SCOPE DIFFERENCE, not a data conflict but flagging the magnitude. Ind.25=ND: 2020-21 ed. asserted '24' COVID actions for this year; 2021-22 ed. downgrades to 'na' (couldn't confirm year-specific attribution, itemized count logged only as partial supporting figure) - data point lost per 'most recent' rule, flagging since the earlier number was concrete. Ind.30=ND: 2020-21 ed. asserted 'A' for this year; 2021-22 ed. explicitly declines to assert this ('two consecutive years' language doesn't confidently name 2020) - retracted assertion, flagging. || DEEPSEEK RECONCILIATION - MANUAL FLAGS: Ind.14 (Training Budget/Employee): Claude=469283, DeepSeek=597269, Diff=27.3%</t>
        </is>
      </c>
    </row>
    <row r="31" ht="15.75" customHeight="1" s="43">
      <c r="A31" s="62" t="n"/>
      <c r="B31" s="62" t="n"/>
      <c r="C31" s="62" t="inlineStr">
        <is>
          <t>Health Care</t>
        </is>
      </c>
      <c r="D31" s="62" t="inlineStr">
        <is>
          <t>2021</t>
        </is>
      </c>
      <c r="E31" s="63" t="inlineStr">
        <is>
          <t>hanmipharm_2021-2022.pdf (only report covering 2021)</t>
        </is>
      </c>
      <c r="F31" s="62" t="n"/>
      <c r="G31" s="67" t="n">
        <v>5.58</v>
      </c>
      <c r="H31" s="67" t="n"/>
      <c r="I31" s="65">
        <f>IFERROR(IF(AND(G31&lt;&gt;"",H31&lt;&gt;""),ABS(G31-H31)/ABS(G31)*100,""),"")</f>
        <v/>
      </c>
      <c r="J31" s="62" t="inlineStr">
        <is>
          <t>Claude</t>
        </is>
      </c>
      <c r="K31" s="67" t="n"/>
      <c r="L31" s="67" t="n">
        <v>44.36</v>
      </c>
      <c r="M31" s="65">
        <f>IFERROR(IF(AND(K31&lt;&gt;"",L31&lt;&gt;""),ABS(K31-L31)/ABS(K31)*100,""),"")</f>
        <v/>
      </c>
      <c r="N31" s="62" t="inlineStr">
        <is>
          <t>DeepSeek</t>
        </is>
      </c>
      <c r="O31" s="67" t="n"/>
      <c r="P31" s="67" t="n"/>
      <c r="Q31" s="65">
        <f>IFERROR(IF(AND(O31&lt;&gt;"",P31&lt;&gt;""),ABS(O31-P31)/ABS(O31)*100,""),"")</f>
        <v/>
      </c>
      <c r="R31" s="62" t="inlineStr">
        <is>
          <t>ND</t>
        </is>
      </c>
      <c r="S31" s="67" t="n">
        <v>8.699999999999999</v>
      </c>
      <c r="T31" s="67" t="n"/>
      <c r="U31" s="65">
        <f>IFERROR(IF(AND(S31&lt;&gt;"",T31&lt;&gt;""),ABS(S31-T31)/ABS(S31)*100,""),"")</f>
        <v/>
      </c>
      <c r="V31" s="62" t="inlineStr">
        <is>
          <t>Claude</t>
        </is>
      </c>
      <c r="W31" s="67" t="n"/>
      <c r="X31" s="67" t="n"/>
      <c r="Y31" s="65">
        <f>IFERROR(IF(AND(W31&lt;&gt;"",X31&lt;&gt;""),ABS(W31-X31)/ABS(W31)*100,""),"")</f>
        <v/>
      </c>
      <c r="Z31" s="62" t="inlineStr">
        <is>
          <t>ND</t>
        </is>
      </c>
      <c r="AA31" s="67" t="n"/>
      <c r="AB31" s="67" t="n"/>
      <c r="AC31" s="65">
        <f>IFERROR(IF(AND(AA31&lt;&gt;"",AB31&lt;&gt;""),ABS(AA31-AB31)/ABS(AA31)*100,""),"")</f>
        <v/>
      </c>
      <c r="AD31" s="62" t="inlineStr">
        <is>
          <t>ND</t>
        </is>
      </c>
      <c r="AE31" s="67" t="n">
        <v>2.547</v>
      </c>
      <c r="AF31" s="67" t="n"/>
      <c r="AG31" s="65">
        <f>IFERROR(IF(AND(AE31&lt;&gt;"",AF31&lt;&gt;""),ABS(AE31-AF31)/ABS(AE31)*100,""),"")</f>
        <v/>
      </c>
      <c r="AH31" s="62" t="inlineStr">
        <is>
          <t>Claude</t>
        </is>
      </c>
      <c r="AI31" s="67" t="n"/>
      <c r="AJ31" s="67" t="n"/>
      <c r="AK31" s="65">
        <f>IFERROR(IF(AND(AI31&lt;&gt;"",AJ31&lt;&gt;""),ABS(AI31-AJ31)/ABS(AI31)*100,""),"")</f>
        <v/>
      </c>
      <c r="AL31" s="62" t="inlineStr">
        <is>
          <t>ND</t>
        </is>
      </c>
      <c r="AM31" s="67" t="n"/>
      <c r="AN31" s="67" t="n"/>
      <c r="AO31" s="65">
        <f>IFERROR(IF(AND(AM31&lt;&gt;"",AN31&lt;&gt;""),ABS(AM31-AN31)/ABS(AM31)*100,""),"")</f>
        <v/>
      </c>
      <c r="AP31" s="62" t="inlineStr">
        <is>
          <t>ND</t>
        </is>
      </c>
      <c r="AQ31" s="67" t="n">
        <v>27.9</v>
      </c>
      <c r="AR31" s="67" t="n">
        <v>27.87</v>
      </c>
      <c r="AS31" s="65">
        <f>IFERROR(IF(AND(AQ31&lt;&gt;"",AR31&lt;&gt;""),ABS(AQ31-AR31)/ABS(AQ31)*100,""),"")</f>
        <v/>
      </c>
      <c r="AT31" s="62" t="inlineStr">
        <is>
          <t>Claude</t>
        </is>
      </c>
      <c r="AU31" s="67" t="n"/>
      <c r="AV31" s="67" t="n">
        <v>0</v>
      </c>
      <c r="AW31" s="65">
        <f>IFERROR(IF(AND(AU31&lt;&gt;"",AV31&lt;&gt;""),ABS(AU31-AV31)/ABS(AU31)*100,""),"")</f>
        <v/>
      </c>
      <c r="AX31" s="62" t="inlineStr">
        <is>
          <t>DeepSeek</t>
        </is>
      </c>
      <c r="AY31" s="67" t="n">
        <v>70877175</v>
      </c>
      <c r="AZ31" s="67" t="n"/>
      <c r="BA31" s="65">
        <f>IFERROR(IF(AND(AY31&lt;&gt;"",AZ31&lt;&gt;""),ABS(AY31-AZ31)/ABS(AY31)*100,""),"")</f>
        <v/>
      </c>
      <c r="BB31" s="62" t="inlineStr">
        <is>
          <t>Claude</t>
        </is>
      </c>
      <c r="BC31" s="67" t="n">
        <v>27.54</v>
      </c>
      <c r="BD31" s="67" t="n"/>
      <c r="BE31" s="65">
        <f>IFERROR(IF(AND(BC31&lt;&gt;"",BD31&lt;&gt;""),ABS(BC31-BD31)/ABS(BC31)*100,""),"")</f>
        <v/>
      </c>
      <c r="BF31" s="62" t="inlineStr">
        <is>
          <t>Claude</t>
        </is>
      </c>
      <c r="BG31" s="64" t="n">
        <v>614844</v>
      </c>
      <c r="BH31" s="64" t="n">
        <v>483091</v>
      </c>
      <c r="BI31" s="65">
        <f>IFERROR(IF(AND(BG31&lt;&gt;"",BH31&lt;&gt;""),ABS(BG31-BH31)/ABS(BG31)*100,""),"")</f>
        <v/>
      </c>
      <c r="BJ31" s="66" t="inlineStr">
        <is>
          <t>MANUAL FLAG</t>
        </is>
      </c>
      <c r="BK31" s="67" t="n"/>
      <c r="BL31" s="67" t="n"/>
      <c r="BM31" s="65">
        <f>IFERROR(IF(AND(BK31&lt;&gt;"",BL31&lt;&gt;""),ABS(BK31-BL31)/ABS(BK31)*100,""),"")</f>
        <v/>
      </c>
      <c r="BN31" s="62" t="inlineStr">
        <is>
          <t>ND</t>
        </is>
      </c>
      <c r="BO31" s="67" t="n">
        <v>35</v>
      </c>
      <c r="BP31" s="67" t="n"/>
      <c r="BQ31" s="65">
        <f>IFERROR(IF(AND(BO31&lt;&gt;"",BP31&lt;&gt;""),ABS(BO31-BP31)/ABS(BO31)*100,""),"")</f>
        <v/>
      </c>
      <c r="BR31" s="62" t="inlineStr">
        <is>
          <t>Claude</t>
        </is>
      </c>
      <c r="BS31" s="67" t="n">
        <v>5</v>
      </c>
      <c r="BT31" s="67" t="n"/>
      <c r="BU31" s="65">
        <f>IFERROR(IF(AND(BS31&lt;&gt;"",BT31&lt;&gt;""),ABS(BS31-BT31)/ABS(BS31)*100,""),"")</f>
        <v/>
      </c>
      <c r="BV31" s="62" t="inlineStr">
        <is>
          <t>Claude</t>
        </is>
      </c>
      <c r="BW31" s="67" t="n">
        <v>97</v>
      </c>
      <c r="BX31" s="67" t="n"/>
      <c r="BY31" s="65">
        <f>IFERROR(IF(AND(BW31&lt;&gt;"",BX31&lt;&gt;""),ABS(BW31-BX31)/ABS(BW31)*100,""),"")</f>
        <v/>
      </c>
      <c r="BZ31" s="62" t="inlineStr">
        <is>
          <t>Claude</t>
        </is>
      </c>
      <c r="CA31" s="67" t="n">
        <v>7.7</v>
      </c>
      <c r="CB31" s="67" t="n"/>
      <c r="CC31" s="65">
        <f>IFERROR(IF(AND(CA31&lt;&gt;"",CB31&lt;&gt;""),ABS(CA31-CB31)/ABS(CA31)*100,""),"")</f>
        <v/>
      </c>
      <c r="CD31" s="62" t="inlineStr">
        <is>
          <t>Claude</t>
        </is>
      </c>
      <c r="CE31" s="67" t="n">
        <v>12.7</v>
      </c>
      <c r="CF31" s="67" t="n"/>
      <c r="CG31" s="65">
        <f>IFERROR(IF(AND(CE31&lt;&gt;"",CF31&lt;&gt;""),ABS(CE31-CF31)/ABS(CE31)*100,""),"")</f>
        <v/>
      </c>
      <c r="CH31" s="62" t="inlineStr">
        <is>
          <t>Claude</t>
        </is>
      </c>
      <c r="CI31" s="67" t="n"/>
      <c r="CJ31" s="67" t="n"/>
      <c r="CK31" s="65">
        <f>IFERROR(IF(AND(CI31&lt;&gt;"",CJ31&lt;&gt;""),ABS(CI31-CJ31)/ABS(CI31)*100,""),"")</f>
        <v/>
      </c>
      <c r="CL31" s="62" t="inlineStr">
        <is>
          <t>ND</t>
        </is>
      </c>
      <c r="CM31" s="67" t="n"/>
      <c r="CN31" s="67" t="n"/>
      <c r="CO31" s="65">
        <f>IFERROR(IF(AND(CM31&lt;&gt;"",CN31&lt;&gt;""),ABS(CM31-CN31)/ABS(CM31)*100,""),"")</f>
        <v/>
      </c>
      <c r="CP31" s="62" t="inlineStr">
        <is>
          <t>ND</t>
        </is>
      </c>
      <c r="CQ31" s="67" t="n">
        <v>0.41</v>
      </c>
      <c r="CR31" s="67" t="n"/>
      <c r="CS31" s="65">
        <f>IFERROR(IF(AND(CQ31&lt;&gt;"",CR31&lt;&gt;""),ABS(CQ31-CR31)/ABS(CQ31)*100,""),"")</f>
        <v/>
      </c>
      <c r="CT31" s="62" t="inlineStr">
        <is>
          <t>Claude</t>
        </is>
      </c>
      <c r="CU31" s="67" t="n"/>
      <c r="CV31" s="67" t="n"/>
      <c r="CW31" s="65">
        <f>IFERROR(IF(AND(CU31&lt;&gt;"",CV31&lt;&gt;""),ABS(CU31-CV31)/ABS(CU31)*100,""),"")</f>
        <v/>
      </c>
      <c r="CX31" s="62" t="inlineStr">
        <is>
          <t>ND</t>
        </is>
      </c>
      <c r="CY31" s="68" t="n"/>
      <c r="CZ31" s="68" t="n">
        <v>4</v>
      </c>
      <c r="DA31" s="65">
        <f>IFERROR(IF(AND(CY31&lt;&gt;"",CZ31&lt;&gt;""),ABS(CY31-CZ31)/ABS(CY31)*100,""),"")</f>
        <v/>
      </c>
      <c r="DB31" s="62" t="inlineStr">
        <is>
          <t>DeepSeek</t>
        </is>
      </c>
      <c r="DC31" s="68" t="n"/>
      <c r="DD31" s="68" t="n"/>
      <c r="DE31" s="65">
        <f>IFERROR(IF(AND(DC31&lt;&gt;"",DD31&lt;&gt;""),ABS(DC31-DD31)/ABS(DC31)*100,""),"")</f>
        <v/>
      </c>
      <c r="DF31" s="62" t="inlineStr">
        <is>
          <t>ND</t>
        </is>
      </c>
      <c r="DG31" s="68" t="n"/>
      <c r="DH31" s="68" t="n"/>
      <c r="DI31" s="65">
        <f>IFERROR(IF(AND(DG31&lt;&gt;"",DH31&lt;&gt;""),ABS(DG31-DH31)/ABS(DG31)*100,""),"")</f>
        <v/>
      </c>
      <c r="DJ31" s="62" t="inlineStr">
        <is>
          <t>ND</t>
        </is>
      </c>
      <c r="DK31" s="68" t="n"/>
      <c r="DL31" s="68" t="n"/>
      <c r="DM31" s="65">
        <f>IFERROR(IF(AND(DK31&lt;&gt;"",DL31&lt;&gt;""),ABS(DK31-DL31)/ABS(DK31)*100,""),"")</f>
        <v/>
      </c>
      <c r="DN31" s="62" t="inlineStr">
        <is>
          <t>ND</t>
        </is>
      </c>
      <c r="DO31" s="68" t="n"/>
      <c r="DP31" s="68" t="n"/>
      <c r="DQ31" s="65">
        <f>IFERROR(IF(AND(DO31&lt;&gt;"",DP31&lt;&gt;""),ABS(DO31-DP31)/ABS(DO31)*100,""),"")</f>
        <v/>
      </c>
      <c r="DR31" s="62" t="inlineStr">
        <is>
          <t>ND</t>
        </is>
      </c>
      <c r="DS31" s="68" t="inlineStr">
        <is>
          <t>A</t>
        </is>
      </c>
      <c r="DT31" s="68" t="inlineStr">
        <is>
          <t>A</t>
        </is>
      </c>
      <c r="DU31" s="65">
        <f>IFERROR(IF(AND(DS31&lt;&gt;"",DT31&lt;&gt;""),ABS(DS31-DT31)/ABS(DS31)*100,""),"")</f>
        <v/>
      </c>
      <c r="DV31" s="62" t="inlineStr">
        <is>
          <t>Claude</t>
        </is>
      </c>
      <c r="DW31" s="63" t="inlineStr">
        <is>
          <t>Claude only (DeepSeek pending). Source=2021-22 ed., only report covering 2021 (2024-25 ed. shows na for 2021, no conflict). Ind.7=2.547 computed from disability headcount 58 (caption-date-conflict resolved to 2021 per source's own verification) / total workforce 2,277. Ind.9=na: no defined middle-manager tier with gender split this edition. Ind.23=0.41 (3-site aggregate). Ind.30=A, Direct (report's primary/most recent year at time of publication). || DEEPSEEK RECONCILIATION - MANUAL FLAGS: Ind.14 (Training Budget/Employee): Claude=614844, DeepSeek=483091, Diff=21.4%</t>
        </is>
      </c>
    </row>
    <row r="32" ht="15.75" customHeight="1" s="43">
      <c r="A32" s="69" t="n"/>
      <c r="B32" s="69" t="n"/>
      <c r="C32" s="69" t="inlineStr">
        <is>
          <t>Health Care</t>
        </is>
      </c>
      <c r="D32" s="69" t="inlineStr">
        <is>
          <t>2022</t>
        </is>
      </c>
      <c r="E32" s="70" t="inlineStr">
        <is>
          <t>hanmipharm_2024-2025.pdf (only report covering 2022)</t>
        </is>
      </c>
      <c r="F32" s="69" t="n"/>
      <c r="G32" s="67" t="n">
        <v>4</v>
      </c>
      <c r="H32" s="67" t="n"/>
      <c r="I32" s="71">
        <f>IFERROR(IF(AND(G32&lt;&gt;"",H32&lt;&gt;""),ABS(G32-H32)/ABS(G32)*100,""),"")</f>
        <v/>
      </c>
      <c r="J32" s="69" t="inlineStr">
        <is>
          <t>Claude</t>
        </is>
      </c>
      <c r="K32" s="67" t="n">
        <v>28.9</v>
      </c>
      <c r="L32" s="67" t="n">
        <v>28.96</v>
      </c>
      <c r="M32" s="71">
        <f>IFERROR(IF(AND(K32&lt;&gt;"",L32&lt;&gt;""),ABS(K32-L32)/ABS(K32)*100,""),"")</f>
        <v/>
      </c>
      <c r="N32" s="69" t="inlineStr">
        <is>
          <t>Claude</t>
        </is>
      </c>
      <c r="O32" s="67" t="n">
        <v>30.4</v>
      </c>
      <c r="P32" s="67" t="n"/>
      <c r="Q32" s="71">
        <f>IFERROR(IF(AND(O32&lt;&gt;"",P32&lt;&gt;""),ABS(O32-P32)/ABS(O32)*100,""),"")</f>
        <v/>
      </c>
      <c r="R32" s="69" t="inlineStr">
        <is>
          <t>Claude</t>
        </is>
      </c>
      <c r="S32" s="67" t="n">
        <v>13.3</v>
      </c>
      <c r="T32" s="67" t="n">
        <v>13.3</v>
      </c>
      <c r="U32" s="71">
        <f>IFERROR(IF(AND(S32&lt;&gt;"",T32&lt;&gt;""),ABS(S32-T32)/ABS(S32)*100,""),"")</f>
        <v/>
      </c>
      <c r="V32" s="69" t="inlineStr">
        <is>
          <t>Claude</t>
        </is>
      </c>
      <c r="W32" s="67" t="n">
        <v>35.62</v>
      </c>
      <c r="X32" s="67" t="n"/>
      <c r="Y32" s="71">
        <f>IFERROR(IF(AND(W32&lt;&gt;"",X32&lt;&gt;""),ABS(W32-X32)/ABS(W32)*100,""),"")</f>
        <v/>
      </c>
      <c r="Z32" s="69" t="inlineStr">
        <is>
          <t>Claude</t>
        </is>
      </c>
      <c r="AA32" s="67" t="n">
        <v>32.03</v>
      </c>
      <c r="AB32" s="67" t="n">
        <v>32</v>
      </c>
      <c r="AC32" s="71">
        <f>IFERROR(IF(AND(AA32&lt;&gt;"",AB32&lt;&gt;""),ABS(AA32-AB32)/ABS(AA32)*100,""),"")</f>
        <v/>
      </c>
      <c r="AD32" s="69" t="inlineStr">
        <is>
          <t>Claude</t>
        </is>
      </c>
      <c r="AE32" s="67" t="n">
        <v>1.26</v>
      </c>
      <c r="AF32" s="67" t="n"/>
      <c r="AG32" s="71">
        <f>IFERROR(IF(AND(AE32&lt;&gt;"",AF32&lt;&gt;""),ABS(AE32-AF32)/ABS(AE32)*100,""),"")</f>
        <v/>
      </c>
      <c r="AH32" s="69" t="inlineStr">
        <is>
          <t>Claude</t>
        </is>
      </c>
      <c r="AI32" s="67" t="n"/>
      <c r="AJ32" s="67" t="n"/>
      <c r="AK32" s="71">
        <f>IFERROR(IF(AND(AI32&lt;&gt;"",AJ32&lt;&gt;""),ABS(AI32-AJ32)/ABS(AI32)*100,""),"")</f>
        <v/>
      </c>
      <c r="AL32" s="69" t="inlineStr">
        <is>
          <t>ND</t>
        </is>
      </c>
      <c r="AM32" s="67" t="n">
        <v>15.9</v>
      </c>
      <c r="AN32" s="67" t="n"/>
      <c r="AO32" s="71">
        <f>IFERROR(IF(AND(AM32&lt;&gt;"",AN32&lt;&gt;""),ABS(AM32-AN32)/ABS(AM32)*100,""),"")</f>
        <v/>
      </c>
      <c r="AP32" s="69" t="inlineStr">
        <is>
          <t>Claude</t>
        </is>
      </c>
      <c r="AQ32" s="67" t="n">
        <v>22.22</v>
      </c>
      <c r="AR32" s="67" t="n">
        <v>22.2</v>
      </c>
      <c r="AS32" s="71">
        <f>IFERROR(IF(AND(AQ32&lt;&gt;"",AR32&lt;&gt;""),ABS(AQ32-AR32)/ABS(AQ32)*100,""),"")</f>
        <v/>
      </c>
      <c r="AT32" s="69" t="inlineStr">
        <is>
          <t>Claude</t>
        </is>
      </c>
      <c r="AU32" s="67" t="n">
        <v>20</v>
      </c>
      <c r="AV32" s="67" t="n">
        <v>20</v>
      </c>
      <c r="AW32" s="71">
        <f>IFERROR(IF(AND(AU32&lt;&gt;"",AV32&lt;&gt;""),ABS(AU32-AV32)/ABS(AU32)*100,""),"")</f>
        <v/>
      </c>
      <c r="AX32" s="69" t="inlineStr">
        <is>
          <t>Claude</t>
        </is>
      </c>
      <c r="AY32" s="67" t="n">
        <v>71936586</v>
      </c>
      <c r="AZ32" s="67" t="n"/>
      <c r="BA32" s="71">
        <f>IFERROR(IF(AND(AY32&lt;&gt;"",AZ32&lt;&gt;""),ABS(AY32-AZ32)/ABS(AY32)*100,""),"")</f>
        <v/>
      </c>
      <c r="BB32" s="69" t="inlineStr">
        <is>
          <t>Claude</t>
        </is>
      </c>
      <c r="BC32" s="67" t="n">
        <v>25.38</v>
      </c>
      <c r="BD32" s="67" t="n"/>
      <c r="BE32" s="71">
        <f>IFERROR(IF(AND(BC32&lt;&gt;"",BD32&lt;&gt;""),ABS(BC32-BD32)/ABS(BC32)*100,""),"")</f>
        <v/>
      </c>
      <c r="BF32" s="69" t="inlineStr">
        <is>
          <t>Claude</t>
        </is>
      </c>
      <c r="BG32" s="67" t="n">
        <v>74234</v>
      </c>
      <c r="BH32" s="67" t="n">
        <v>74234</v>
      </c>
      <c r="BI32" s="71">
        <f>IFERROR(IF(AND(BG32&lt;&gt;"",BH32&lt;&gt;""),ABS(BG32-BH32)/ABS(BG32)*100,""),"")</f>
        <v/>
      </c>
      <c r="BJ32" s="69" t="inlineStr">
        <is>
          <t>Claude</t>
        </is>
      </c>
      <c r="BK32" s="67" t="n"/>
      <c r="BL32" s="67" t="n"/>
      <c r="BM32" s="71">
        <f>IFERROR(IF(AND(BK32&lt;&gt;"",BL32&lt;&gt;""),ABS(BK32-BL32)/ABS(BK32)*100,""),"")</f>
        <v/>
      </c>
      <c r="BN32" s="69" t="inlineStr">
        <is>
          <t>ND</t>
        </is>
      </c>
      <c r="BO32" s="67" t="n">
        <v>57</v>
      </c>
      <c r="BP32" s="67" t="n">
        <v>57</v>
      </c>
      <c r="BQ32" s="71">
        <f>IFERROR(IF(AND(BO32&lt;&gt;"",BP32&lt;&gt;""),ABS(BO32-BP32)/ABS(BO32)*100,""),"")</f>
        <v/>
      </c>
      <c r="BR32" s="69" t="inlineStr">
        <is>
          <t>Claude</t>
        </is>
      </c>
      <c r="BS32" s="67" t="n">
        <v>24</v>
      </c>
      <c r="BT32" s="67" t="n">
        <v>24</v>
      </c>
      <c r="BU32" s="71">
        <f>IFERROR(IF(AND(BS32&lt;&gt;"",BT32&lt;&gt;""),ABS(BS32-BT32)/ABS(BS32)*100,""),"")</f>
        <v/>
      </c>
      <c r="BV32" s="69" t="inlineStr">
        <is>
          <t>Claude</t>
        </is>
      </c>
      <c r="BW32" s="67" t="n"/>
      <c r="BX32" s="67" t="n"/>
      <c r="BY32" s="71">
        <f>IFERROR(IF(AND(BW32&lt;&gt;"",BX32&lt;&gt;""),ABS(BW32-BX32)/ABS(BW32)*100,""),"")</f>
        <v/>
      </c>
      <c r="BZ32" s="69" t="inlineStr">
        <is>
          <t>ND</t>
        </is>
      </c>
      <c r="CA32" s="67" t="n">
        <v>7.9</v>
      </c>
      <c r="CB32" s="67" t="n">
        <v>7.9</v>
      </c>
      <c r="CC32" s="71">
        <f>IFERROR(IF(AND(CA32&lt;&gt;"",CB32&lt;&gt;""),ABS(CA32-CB32)/ABS(CA32)*100,""),"")</f>
        <v/>
      </c>
      <c r="CD32" s="69" t="inlineStr">
        <is>
          <t>Claude</t>
        </is>
      </c>
      <c r="CE32" s="67" t="n">
        <v>14.6</v>
      </c>
      <c r="CF32" s="67" t="n">
        <v>14.6</v>
      </c>
      <c r="CG32" s="71">
        <f>IFERROR(IF(AND(CE32&lt;&gt;"",CF32&lt;&gt;""),ABS(CE32-CF32)/ABS(CE32)*100,""),"")</f>
        <v/>
      </c>
      <c r="CH32" s="69" t="inlineStr">
        <is>
          <t>Claude</t>
        </is>
      </c>
      <c r="CI32" s="67" t="n">
        <v>0.13</v>
      </c>
      <c r="CJ32" s="67" t="n">
        <v>0.13</v>
      </c>
      <c r="CK32" s="71">
        <f>IFERROR(IF(AND(CI32&lt;&gt;"",CJ32&lt;&gt;""),ABS(CI32-CJ32)/ABS(CI32)*100,""),"")</f>
        <v/>
      </c>
      <c r="CL32" s="69" t="inlineStr">
        <is>
          <t>Claude</t>
        </is>
      </c>
      <c r="CM32" s="67" t="n"/>
      <c r="CN32" s="67" t="n"/>
      <c r="CO32" s="71">
        <f>IFERROR(IF(AND(CM32&lt;&gt;"",CN32&lt;&gt;""),ABS(CM32-CN32)/ABS(CM32)*100,""),"")</f>
        <v/>
      </c>
      <c r="CP32" s="69" t="inlineStr">
        <is>
          <t>ND</t>
        </is>
      </c>
      <c r="CQ32" s="67" t="n">
        <v>0</v>
      </c>
      <c r="CR32" s="67" t="n">
        <v>0</v>
      </c>
      <c r="CS32" s="71">
        <f>IFERROR(IF(AND(CQ32&lt;&gt;"",CR32&lt;&gt;""),ABS(CQ32-CR32)/ABS(CQ32)*100,""),"")</f>
        <v/>
      </c>
      <c r="CT32" s="69" t="inlineStr">
        <is>
          <t>Claude</t>
        </is>
      </c>
      <c r="CU32" s="67" t="n">
        <v>0</v>
      </c>
      <c r="CV32" s="67" t="n"/>
      <c r="CW32" s="71">
        <f>IFERROR(IF(AND(CU32&lt;&gt;"",CV32&lt;&gt;""),ABS(CU32-CV32)/ABS(CU32)*100,""),"")</f>
        <v/>
      </c>
      <c r="CX32" s="69" t="inlineStr">
        <is>
          <t>Claude</t>
        </is>
      </c>
      <c r="CY32" s="68" t="n"/>
      <c r="CZ32" s="68" t="n"/>
      <c r="DA32" s="71">
        <f>IFERROR(IF(AND(CY32&lt;&gt;"",CZ32&lt;&gt;""),ABS(CY32-CZ32)/ABS(CY32)*100,""),"")</f>
        <v/>
      </c>
      <c r="DB32" s="69" t="inlineStr">
        <is>
          <t>ND</t>
        </is>
      </c>
      <c r="DC32" s="68" t="n"/>
      <c r="DD32" s="68" t="n"/>
      <c r="DE32" s="71">
        <f>IFERROR(IF(AND(DC32&lt;&gt;"",DD32&lt;&gt;""),ABS(DC32-DD32)/ABS(DC32)*100,""),"")</f>
        <v/>
      </c>
      <c r="DF32" s="69" t="inlineStr">
        <is>
          <t>ND</t>
        </is>
      </c>
      <c r="DG32" s="68" t="n"/>
      <c r="DH32" s="68" t="n"/>
      <c r="DI32" s="71">
        <f>IFERROR(IF(AND(DG32&lt;&gt;"",DH32&lt;&gt;""),ABS(DG32-DH32)/ABS(DG32)*100,""),"")</f>
        <v/>
      </c>
      <c r="DJ32" s="69" t="inlineStr">
        <is>
          <t>ND</t>
        </is>
      </c>
      <c r="DK32" s="68" t="n"/>
      <c r="DL32" s="68" t="n"/>
      <c r="DM32" s="71">
        <f>IFERROR(IF(AND(DK32&lt;&gt;"",DL32&lt;&gt;""),ABS(DK32-DL32)/ABS(DK32)*100,""),"")</f>
        <v/>
      </c>
      <c r="DN32" s="69" t="inlineStr">
        <is>
          <t>ND</t>
        </is>
      </c>
      <c r="DO32" s="68" t="n"/>
      <c r="DP32" s="68" t="n"/>
      <c r="DQ32" s="71">
        <f>IFERROR(IF(AND(DO32&lt;&gt;"",DP32&lt;&gt;""),ABS(DO32-DP32)/ABS(DO32)*100,""),"")</f>
        <v/>
      </c>
      <c r="DR32" s="69" t="inlineStr">
        <is>
          <t>ND</t>
        </is>
      </c>
      <c r="DS32" s="68" t="n"/>
      <c r="DT32" s="68" t="n"/>
      <c r="DU32" s="71">
        <f>IFERROR(IF(AND(DS32&lt;&gt;"",DT32&lt;&gt;""),ABS(DS32-DT32)/ABS(DS32)*100,""),"")</f>
        <v/>
      </c>
      <c r="DV32" s="69" t="inlineStr">
        <is>
          <t>ND</t>
        </is>
      </c>
      <c r="DW32" s="70" t="inlineStr">
        <is>
          <t>Claude only (DeepSeek pending). Source=2024-25 ed., only report covering 2022. Ind.7=1.260 computed from disability headcount 29 / total workforce 2,302 (cross-validated total, not the sub-table's own mislabeled 'Total no. of employees' row which equals permanent-only). Ind.9=15.9%, uses 'Manager'='Group leader or higher' tier - FLAG: underlying headcount for this tier drops unexplainedly from 258 (2022) to 123 (2023) to 126 (2024), no footnote given - verify if possible, may indicate a definitional or scope change mid-series. Ind.14=74,234 KRW - MAJOR SCOPE NARROWING vs 2021's 614,844: this edition's training-budget figure explicitly excludes legally-mandated training/orientation ('individual job training only'), not a real spend decline. Ind.20/21 Direct and cross-validated this edition (improvement over earlier 'na' status). Ind.23=0.0, SCOPE=company-wide (broadest scope yet, vs 3-site in 2021 and single-site in 2018-2020) - LTIFR trend not comparable across scope changes.</t>
        </is>
      </c>
    </row>
    <row r="33" ht="15.75" customHeight="1" s="43">
      <c r="A33" s="62" t="n"/>
      <c r="B33" s="62" t="n"/>
      <c r="C33" s="62" t="inlineStr">
        <is>
          <t>Health Care</t>
        </is>
      </c>
      <c r="D33" s="62" t="inlineStr">
        <is>
          <t>2023</t>
        </is>
      </c>
      <c r="E33" s="63" t="inlineStr">
        <is>
          <t>hanmipharm_2024-2025.pdf</t>
        </is>
      </c>
      <c r="F33" s="62" t="n"/>
      <c r="G33" s="67" t="n">
        <v>2.65</v>
      </c>
      <c r="H33" s="67" t="n"/>
      <c r="I33" s="65">
        <f>IFERROR(IF(AND(G33&lt;&gt;"",H33&lt;&gt;""),ABS(G33-H33)/ABS(G33)*100,""),"")</f>
        <v/>
      </c>
      <c r="J33" s="62" t="inlineStr">
        <is>
          <t>Claude</t>
        </is>
      </c>
      <c r="K33" s="67" t="n">
        <v>29</v>
      </c>
      <c r="L33" s="67" t="n">
        <v>29.64</v>
      </c>
      <c r="M33" s="65">
        <f>IFERROR(IF(AND(K33&lt;&gt;"",L33&lt;&gt;""),ABS(K33-L33)/ABS(K33)*100,""),"")</f>
        <v/>
      </c>
      <c r="N33" s="62" t="inlineStr">
        <is>
          <t>Claude</t>
        </is>
      </c>
      <c r="O33" s="67" t="n">
        <v>53.2</v>
      </c>
      <c r="P33" s="67" t="n"/>
      <c r="Q33" s="65">
        <f>IFERROR(IF(AND(O33&lt;&gt;"",P33&lt;&gt;""),ABS(O33-P33)/ABS(O33)*100,""),"")</f>
        <v/>
      </c>
      <c r="R33" s="62" t="inlineStr">
        <is>
          <t>Claude</t>
        </is>
      </c>
      <c r="S33" s="67" t="n">
        <v>13.3</v>
      </c>
      <c r="T33" s="67" t="n">
        <v>13.3</v>
      </c>
      <c r="U33" s="65">
        <f>IFERROR(IF(AND(S33&lt;&gt;"",T33&lt;&gt;""),ABS(S33-T33)/ABS(S33)*100,""),"")</f>
        <v/>
      </c>
      <c r="V33" s="62" t="inlineStr">
        <is>
          <t>Claude</t>
        </is>
      </c>
      <c r="W33" s="67" t="n">
        <v>10.26</v>
      </c>
      <c r="X33" s="67" t="n"/>
      <c r="Y33" s="65">
        <f>IFERROR(IF(AND(W33&lt;&gt;"",X33&lt;&gt;""),ABS(W33-X33)/ABS(W33)*100,""),"")</f>
        <v/>
      </c>
      <c r="Z33" s="62" t="inlineStr">
        <is>
          <t>Claude</t>
        </is>
      </c>
      <c r="AA33" s="67" t="n">
        <v>38.78</v>
      </c>
      <c r="AB33" s="67" t="n">
        <v>38.8</v>
      </c>
      <c r="AC33" s="65">
        <f>IFERROR(IF(AND(AA33&lt;&gt;"",AB33&lt;&gt;""),ABS(AA33-AB33)/ABS(AA33)*100,""),"")</f>
        <v/>
      </c>
      <c r="AD33" s="62" t="inlineStr">
        <is>
          <t>Claude</t>
        </is>
      </c>
      <c r="AE33" s="67" t="n">
        <v>1.195</v>
      </c>
      <c r="AF33" s="67" t="n"/>
      <c r="AG33" s="65">
        <f>IFERROR(IF(AND(AE33&lt;&gt;"",AF33&lt;&gt;""),ABS(AE33-AF33)/ABS(AE33)*100,""),"")</f>
        <v/>
      </c>
      <c r="AH33" s="62" t="inlineStr">
        <is>
          <t>Claude</t>
        </is>
      </c>
      <c r="AI33" s="67" t="n"/>
      <c r="AJ33" s="67" t="n"/>
      <c r="AK33" s="65">
        <f>IFERROR(IF(AND(AI33&lt;&gt;"",AJ33&lt;&gt;""),ABS(AI33-AJ33)/ABS(AI33)*100,""),"")</f>
        <v/>
      </c>
      <c r="AL33" s="62" t="inlineStr">
        <is>
          <t>ND</t>
        </is>
      </c>
      <c r="AM33" s="67" t="n">
        <v>29.3</v>
      </c>
      <c r="AN33" s="67" t="n"/>
      <c r="AO33" s="65">
        <f>IFERROR(IF(AND(AM33&lt;&gt;"",AN33&lt;&gt;""),ABS(AM33-AN33)/ABS(AM33)*100,""),"")</f>
        <v/>
      </c>
      <c r="AP33" s="62" t="inlineStr">
        <is>
          <t>Claude</t>
        </is>
      </c>
      <c r="AQ33" s="67" t="n">
        <v>22.5</v>
      </c>
      <c r="AR33" s="67" t="n">
        <v>22.5</v>
      </c>
      <c r="AS33" s="65">
        <f>IFERROR(IF(AND(AQ33&lt;&gt;"",AR33&lt;&gt;""),ABS(AQ33-AR33)/ABS(AQ33)*100,""),"")</f>
        <v/>
      </c>
      <c r="AT33" s="62" t="inlineStr">
        <is>
          <t>Claude</t>
        </is>
      </c>
      <c r="AU33" s="67" t="n">
        <v>28.57</v>
      </c>
      <c r="AV33" s="67" t="n">
        <v>28.6</v>
      </c>
      <c r="AW33" s="65">
        <f>IFERROR(IF(AND(AU33&lt;&gt;"",AV33&lt;&gt;""),ABS(AU33-AV33)/ABS(AU33)*100,""),"")</f>
        <v/>
      </c>
      <c r="AX33" s="62" t="inlineStr">
        <is>
          <t>Claude</t>
        </is>
      </c>
      <c r="AY33" s="67" t="n">
        <v>76709171</v>
      </c>
      <c r="AZ33" s="67" t="n"/>
      <c r="BA33" s="65">
        <f>IFERROR(IF(AND(AY33&lt;&gt;"",AZ33&lt;&gt;""),ABS(AY33-AZ33)/ABS(AY33)*100,""),"")</f>
        <v/>
      </c>
      <c r="BB33" s="62" t="inlineStr">
        <is>
          <t>Claude</t>
        </is>
      </c>
      <c r="BC33" s="67" t="n">
        <v>26.44</v>
      </c>
      <c r="BD33" s="67" t="n"/>
      <c r="BE33" s="65">
        <f>IFERROR(IF(AND(BC33&lt;&gt;"",BD33&lt;&gt;""),ABS(BC33-BD33)/ABS(BC33)*100,""),"")</f>
        <v/>
      </c>
      <c r="BF33" s="62" t="inlineStr">
        <is>
          <t>Claude</t>
        </is>
      </c>
      <c r="BG33" s="67" t="n">
        <v>103714</v>
      </c>
      <c r="BH33" s="67" t="n">
        <v>103714</v>
      </c>
      <c r="BI33" s="65">
        <f>IFERROR(IF(AND(BG33&lt;&gt;"",BH33&lt;&gt;""),ABS(BG33-BH33)/ABS(BG33)*100,""),"")</f>
        <v/>
      </c>
      <c r="BJ33" s="62" t="inlineStr">
        <is>
          <t>Claude</t>
        </is>
      </c>
      <c r="BK33" s="67" t="n"/>
      <c r="BL33" s="67" t="n"/>
      <c r="BM33" s="65">
        <f>IFERROR(IF(AND(BK33&lt;&gt;"",BL33&lt;&gt;""),ABS(BK33-BL33)/ABS(BK33)*100,""),"")</f>
        <v/>
      </c>
      <c r="BN33" s="62" t="inlineStr">
        <is>
          <t>ND</t>
        </is>
      </c>
      <c r="BO33" s="67" t="n">
        <v>52</v>
      </c>
      <c r="BP33" s="67" t="n">
        <v>52</v>
      </c>
      <c r="BQ33" s="65">
        <f>IFERROR(IF(AND(BO33&lt;&gt;"",BP33&lt;&gt;""),ABS(BO33-BP33)/ABS(BO33)*100,""),"")</f>
        <v/>
      </c>
      <c r="BR33" s="62" t="inlineStr">
        <is>
          <t>Claude</t>
        </is>
      </c>
      <c r="BS33" s="67" t="n">
        <v>27</v>
      </c>
      <c r="BT33" s="67" t="n">
        <v>27</v>
      </c>
      <c r="BU33" s="65">
        <f>IFERROR(IF(AND(BS33&lt;&gt;"",BT33&lt;&gt;""),ABS(BS33-BT33)/ABS(BS33)*100,""),"")</f>
        <v/>
      </c>
      <c r="BV33" s="62" t="inlineStr">
        <is>
          <t>Claude</t>
        </is>
      </c>
      <c r="BW33" s="67" t="n"/>
      <c r="BX33" s="67" t="n"/>
      <c r="BY33" s="65">
        <f>IFERROR(IF(AND(BW33&lt;&gt;"",BX33&lt;&gt;""),ABS(BW33-BX33)/ABS(BW33)*100,""),"")</f>
        <v/>
      </c>
      <c r="BZ33" s="62" t="inlineStr">
        <is>
          <t>ND</t>
        </is>
      </c>
      <c r="CA33" s="67" t="n">
        <v>8.300000000000001</v>
      </c>
      <c r="CB33" s="67" t="n">
        <v>8.300000000000001</v>
      </c>
      <c r="CC33" s="65">
        <f>IFERROR(IF(AND(CA33&lt;&gt;"",CB33&lt;&gt;""),ABS(CA33-CB33)/ABS(CA33)*100,""),"")</f>
        <v/>
      </c>
      <c r="CD33" s="62" t="inlineStr">
        <is>
          <t>Claude</t>
        </is>
      </c>
      <c r="CE33" s="67" t="n">
        <v>13.3</v>
      </c>
      <c r="CF33" s="67" t="n">
        <v>13.3</v>
      </c>
      <c r="CG33" s="65">
        <f>IFERROR(IF(AND(CE33&lt;&gt;"",CF33&lt;&gt;""),ABS(CE33-CF33)/ABS(CE33)*100,""),"")</f>
        <v/>
      </c>
      <c r="CH33" s="62" t="inlineStr">
        <is>
          <t>Claude</t>
        </is>
      </c>
      <c r="CI33" s="67" t="n">
        <v>0.13</v>
      </c>
      <c r="CJ33" s="67" t="n">
        <v>0.13</v>
      </c>
      <c r="CK33" s="65">
        <f>IFERROR(IF(AND(CI33&lt;&gt;"",CJ33&lt;&gt;""),ABS(CI33-CJ33)/ABS(CI33)*100,""),"")</f>
        <v/>
      </c>
      <c r="CL33" s="62" t="inlineStr">
        <is>
          <t>Claude</t>
        </is>
      </c>
      <c r="CM33" s="67" t="n"/>
      <c r="CN33" s="67" t="n"/>
      <c r="CO33" s="65">
        <f>IFERROR(IF(AND(CM33&lt;&gt;"",CN33&lt;&gt;""),ABS(CM33-CN33)/ABS(CM33)*100,""),"")</f>
        <v/>
      </c>
      <c r="CP33" s="62" t="inlineStr">
        <is>
          <t>ND</t>
        </is>
      </c>
      <c r="CQ33" s="67" t="n">
        <v>0.2</v>
      </c>
      <c r="CR33" s="67" t="n">
        <v>0.2</v>
      </c>
      <c r="CS33" s="65">
        <f>IFERROR(IF(AND(CQ33&lt;&gt;"",CR33&lt;&gt;""),ABS(CQ33-CR33)/ABS(CQ33)*100,""),"")</f>
        <v/>
      </c>
      <c r="CT33" s="62" t="inlineStr">
        <is>
          <t>Claude</t>
        </is>
      </c>
      <c r="CU33" s="67" t="n">
        <v>0</v>
      </c>
      <c r="CV33" s="67" t="n"/>
      <c r="CW33" s="65">
        <f>IFERROR(IF(AND(CU33&lt;&gt;"",CV33&lt;&gt;""),ABS(CU33-CV33)/ABS(CU33)*100,""),"")</f>
        <v/>
      </c>
      <c r="CX33" s="62" t="inlineStr">
        <is>
          <t>Claude</t>
        </is>
      </c>
      <c r="CY33" s="68" t="n"/>
      <c r="CZ33" s="68" t="n"/>
      <c r="DA33" s="65">
        <f>IFERROR(IF(AND(CY33&lt;&gt;"",CZ33&lt;&gt;""),ABS(CY33-CZ33)/ABS(CY33)*100,""),"")</f>
        <v/>
      </c>
      <c r="DB33" s="62" t="inlineStr">
        <is>
          <t>ND</t>
        </is>
      </c>
      <c r="DC33" s="68" t="n"/>
      <c r="DD33" s="68" t="n"/>
      <c r="DE33" s="65">
        <f>IFERROR(IF(AND(DC33&lt;&gt;"",DD33&lt;&gt;""),ABS(DC33-DD33)/ABS(DC33)*100,""),"")</f>
        <v/>
      </c>
      <c r="DF33" s="62" t="inlineStr">
        <is>
          <t>ND</t>
        </is>
      </c>
      <c r="DG33" s="68" t="n"/>
      <c r="DH33" s="68" t="n"/>
      <c r="DI33" s="65">
        <f>IFERROR(IF(AND(DG33&lt;&gt;"",DH33&lt;&gt;""),ABS(DG33-DH33)/ABS(DG33)*100,""),"")</f>
        <v/>
      </c>
      <c r="DJ33" s="62" t="inlineStr">
        <is>
          <t>ND</t>
        </is>
      </c>
      <c r="DK33" s="68" t="n"/>
      <c r="DL33" s="68" t="n"/>
      <c r="DM33" s="65">
        <f>IFERROR(IF(AND(DK33&lt;&gt;"",DL33&lt;&gt;""),ABS(DK33-DL33)/ABS(DK33)*100,""),"")</f>
        <v/>
      </c>
      <c r="DN33" s="62" t="inlineStr">
        <is>
          <t>ND</t>
        </is>
      </c>
      <c r="DO33" s="68" t="n"/>
      <c r="DP33" s="68" t="n"/>
      <c r="DQ33" s="65">
        <f>IFERROR(IF(AND(DO33&lt;&gt;"",DP33&lt;&gt;""),ABS(DO33-DP33)/ABS(DO33)*100,""),"")</f>
        <v/>
      </c>
      <c r="DR33" s="62" t="inlineStr">
        <is>
          <t>ND</t>
        </is>
      </c>
      <c r="DS33" s="68" t="n"/>
      <c r="DT33" s="68" t="n"/>
      <c r="DU33" s="65">
        <f>IFERROR(IF(AND(DS33&lt;&gt;"",DT33&lt;&gt;""),ABS(DS33-DT33)/ABS(DS33)*100,""),"")</f>
        <v/>
      </c>
      <c r="DV33" s="62" t="inlineStr">
        <is>
          <t>ND</t>
        </is>
      </c>
      <c r="DW33" s="63" t="inlineStr">
        <is>
          <t>Claude only (DeepSeek pending). Source=2024-25 ed. Ind.7=1.195 from headcount 28 / total workforce 2,344. Ind.9=29.3% ('Manager' tier headcount=123, see 2022 note on unexplained tier-size volatility). Ind.14=103,714 KRW, same narrower scope as 2022 (job training only).</t>
        </is>
      </c>
    </row>
    <row r="34" ht="15.75" customHeight="1" s="43">
      <c r="A34" s="69" t="n"/>
      <c r="B34" s="69" t="n"/>
      <c r="C34" s="69" t="inlineStr">
        <is>
          <t>Health Care</t>
        </is>
      </c>
      <c r="D34" s="69" t="inlineStr">
        <is>
          <t>2024</t>
        </is>
      </c>
      <c r="E34" s="70" t="inlineStr">
        <is>
          <t>hanmipharm_2024-2025.pdf</t>
        </is>
      </c>
      <c r="F34" s="69" t="n"/>
      <c r="G34" s="67" t="n">
        <v>2.79</v>
      </c>
      <c r="H34" s="67" t="n"/>
      <c r="I34" s="71">
        <f>IFERROR(IF(AND(G34&lt;&gt;"",H34&lt;&gt;""),ABS(G34-H34)/ABS(G34)*100,""),"")</f>
        <v/>
      </c>
      <c r="J34" s="69" t="inlineStr">
        <is>
          <t>Claude</t>
        </is>
      </c>
      <c r="K34" s="67" t="n">
        <v>29.6</v>
      </c>
      <c r="L34" s="67" t="n">
        <v>30.19</v>
      </c>
      <c r="M34" s="71">
        <f>IFERROR(IF(AND(K34&lt;&gt;"",L34&lt;&gt;""),ABS(K34-L34)/ABS(K34)*100,""),"")</f>
        <v/>
      </c>
      <c r="N34" s="69" t="inlineStr">
        <is>
          <t>Claude</t>
        </is>
      </c>
      <c r="O34" s="67" t="n">
        <v>49.3</v>
      </c>
      <c r="P34" s="67" t="n"/>
      <c r="Q34" s="71">
        <f>IFERROR(IF(AND(O34&lt;&gt;"",P34&lt;&gt;""),ABS(O34-P34)/ABS(O34)*100,""),"")</f>
        <v/>
      </c>
      <c r="R34" s="69" t="inlineStr">
        <is>
          <t>Claude</t>
        </is>
      </c>
      <c r="S34" s="67" t="n">
        <v>12.3</v>
      </c>
      <c r="T34" s="67" t="n">
        <v>12.3</v>
      </c>
      <c r="U34" s="71">
        <f>IFERROR(IF(AND(S34&lt;&gt;"",T34&lt;&gt;""),ABS(S34-T34)/ABS(S34)*100,""),"")</f>
        <v/>
      </c>
      <c r="V34" s="69" t="inlineStr">
        <is>
          <t>Claude</t>
        </is>
      </c>
      <c r="W34" s="67" t="n">
        <v>10.17</v>
      </c>
      <c r="X34" s="67" t="n"/>
      <c r="Y34" s="71">
        <f>IFERROR(IF(AND(W34&lt;&gt;"",X34&lt;&gt;""),ABS(W34-X34)/ABS(W34)*100,""),"")</f>
        <v/>
      </c>
      <c r="Z34" s="69" t="inlineStr">
        <is>
          <t>Claude</t>
        </is>
      </c>
      <c r="AA34" s="67" t="n">
        <v>43.39</v>
      </c>
      <c r="AB34" s="67" t="n">
        <v>43.4</v>
      </c>
      <c r="AC34" s="71">
        <f>IFERROR(IF(AND(AA34&lt;&gt;"",AB34&lt;&gt;""),ABS(AA34-AB34)/ABS(AA34)*100,""),"")</f>
        <v/>
      </c>
      <c r="AD34" s="69" t="inlineStr">
        <is>
          <t>Claude</t>
        </is>
      </c>
      <c r="AE34" s="67" t="n">
        <v>1.209</v>
      </c>
      <c r="AF34" s="67" t="n"/>
      <c r="AG34" s="71">
        <f>IFERROR(IF(AND(AE34&lt;&gt;"",AF34&lt;&gt;""),ABS(AE34-AF34)/ABS(AE34)*100,""),"")</f>
        <v/>
      </c>
      <c r="AH34" s="69" t="inlineStr">
        <is>
          <t>Claude</t>
        </is>
      </c>
      <c r="AI34" s="67" t="n"/>
      <c r="AJ34" s="67" t="n"/>
      <c r="AK34" s="71">
        <f>IFERROR(IF(AND(AI34&lt;&gt;"",AJ34&lt;&gt;""),ABS(AI34-AJ34)/ABS(AI34)*100,""),"")</f>
        <v/>
      </c>
      <c r="AL34" s="69" t="inlineStr">
        <is>
          <t>ND</t>
        </is>
      </c>
      <c r="AM34" s="67" t="n">
        <v>30.2</v>
      </c>
      <c r="AN34" s="67" t="n"/>
      <c r="AO34" s="71">
        <f>IFERROR(IF(AND(AM34&lt;&gt;"",AN34&lt;&gt;""),ABS(AM34-AN34)/ABS(AM34)*100,""),"")</f>
        <v/>
      </c>
      <c r="AP34" s="69" t="inlineStr">
        <is>
          <t>Claude</t>
        </is>
      </c>
      <c r="AQ34" s="67" t="n">
        <v>23.81</v>
      </c>
      <c r="AR34" s="67" t="n">
        <v>23.8</v>
      </c>
      <c r="AS34" s="71">
        <f>IFERROR(IF(AND(AQ34&lt;&gt;"",AR34&lt;&gt;""),ABS(AQ34-AR34)/ABS(AQ34)*100,""),"")</f>
        <v/>
      </c>
      <c r="AT34" s="69" t="inlineStr">
        <is>
          <t>Claude</t>
        </is>
      </c>
      <c r="AU34" s="67" t="n">
        <v>20</v>
      </c>
      <c r="AV34" s="67" t="n">
        <v>20</v>
      </c>
      <c r="AW34" s="71">
        <f>IFERROR(IF(AND(AU34&lt;&gt;"",AV34&lt;&gt;""),ABS(AU34-AV34)/ABS(AU34)*100,""),"")</f>
        <v/>
      </c>
      <c r="AX34" s="69" t="inlineStr">
        <is>
          <t>Claude</t>
        </is>
      </c>
      <c r="AY34" s="67" t="n">
        <v>77210833</v>
      </c>
      <c r="AZ34" s="67" t="n"/>
      <c r="BA34" s="71">
        <f>IFERROR(IF(AND(AY34&lt;&gt;"",AZ34&lt;&gt;""),ABS(AY34-AZ34)/ABS(AY34)*100,""),"")</f>
        <v/>
      </c>
      <c r="BB34" s="69" t="inlineStr">
        <is>
          <t>Claude</t>
        </is>
      </c>
      <c r="BC34" s="67" t="n">
        <v>26.74</v>
      </c>
      <c r="BD34" s="67" t="n"/>
      <c r="BE34" s="71">
        <f>IFERROR(IF(AND(BC34&lt;&gt;"",BD34&lt;&gt;""),ABS(BC34-BD34)/ABS(BC34)*100,""),"")</f>
        <v/>
      </c>
      <c r="BF34" s="69" t="inlineStr">
        <is>
          <t>Claude</t>
        </is>
      </c>
      <c r="BG34" s="67" t="n">
        <v>148635</v>
      </c>
      <c r="BH34" s="67" t="n">
        <v>148635</v>
      </c>
      <c r="BI34" s="71">
        <f>IFERROR(IF(AND(BG34&lt;&gt;"",BH34&lt;&gt;""),ABS(BG34-BH34)/ABS(BG34)*100,""),"")</f>
        <v/>
      </c>
      <c r="BJ34" s="69" t="inlineStr">
        <is>
          <t>Claude</t>
        </is>
      </c>
      <c r="BK34" s="67" t="n"/>
      <c r="BL34" s="67" t="n"/>
      <c r="BM34" s="71">
        <f>IFERROR(IF(AND(BK34&lt;&gt;"",BL34&lt;&gt;""),ABS(BK34-BL34)/ABS(BK34)*100,""),"")</f>
        <v/>
      </c>
      <c r="BN34" s="69" t="inlineStr">
        <is>
          <t>ND</t>
        </is>
      </c>
      <c r="BO34" s="67" t="n">
        <v>36</v>
      </c>
      <c r="BP34" s="67" t="n">
        <v>36</v>
      </c>
      <c r="BQ34" s="71">
        <f>IFERROR(IF(AND(BO34&lt;&gt;"",BP34&lt;&gt;""),ABS(BO34-BP34)/ABS(BO34)*100,""),"")</f>
        <v/>
      </c>
      <c r="BR34" s="69" t="inlineStr">
        <is>
          <t>Claude</t>
        </is>
      </c>
      <c r="BS34" s="67" t="n">
        <v>16</v>
      </c>
      <c r="BT34" s="67" t="n">
        <v>16</v>
      </c>
      <c r="BU34" s="71">
        <f>IFERROR(IF(AND(BS34&lt;&gt;"",BT34&lt;&gt;""),ABS(BS34-BT34)/ABS(BS34)*100,""),"")</f>
        <v/>
      </c>
      <c r="BV34" s="69" t="inlineStr">
        <is>
          <t>Claude</t>
        </is>
      </c>
      <c r="BW34" s="67" t="n"/>
      <c r="BX34" s="67" t="n"/>
      <c r="BY34" s="71">
        <f>IFERROR(IF(AND(BW34&lt;&gt;"",BX34&lt;&gt;""),ABS(BW34-BX34)/ABS(BW34)*100,""),"")</f>
        <v/>
      </c>
      <c r="BZ34" s="69" t="inlineStr">
        <is>
          <t>ND</t>
        </is>
      </c>
      <c r="CA34" s="67" t="n">
        <v>8.5</v>
      </c>
      <c r="CB34" s="67" t="n">
        <v>8.5</v>
      </c>
      <c r="CC34" s="71">
        <f>IFERROR(IF(AND(CA34&lt;&gt;"",CB34&lt;&gt;""),ABS(CA34-CB34)/ABS(CA34)*100,""),"")</f>
        <v/>
      </c>
      <c r="CD34" s="69" t="inlineStr">
        <is>
          <t>Claude</t>
        </is>
      </c>
      <c r="CE34" s="67" t="n">
        <v>10.5</v>
      </c>
      <c r="CF34" s="67" t="n">
        <v>10.5</v>
      </c>
      <c r="CG34" s="71">
        <f>IFERROR(IF(AND(CE34&lt;&gt;"",CF34&lt;&gt;""),ABS(CE34-CF34)/ABS(CE34)*100,""),"")</f>
        <v/>
      </c>
      <c r="CH34" s="69" t="inlineStr">
        <is>
          <t>Claude</t>
        </is>
      </c>
      <c r="CI34" s="67" t="n">
        <v>0.17</v>
      </c>
      <c r="CJ34" s="67" t="n">
        <v>0.17</v>
      </c>
      <c r="CK34" s="71">
        <f>IFERROR(IF(AND(CI34&lt;&gt;"",CJ34&lt;&gt;""),ABS(CI34-CJ34)/ABS(CI34)*100,""),"")</f>
        <v/>
      </c>
      <c r="CL34" s="69" t="inlineStr">
        <is>
          <t>Claude</t>
        </is>
      </c>
      <c r="CM34" s="67" t="n">
        <v>7.9</v>
      </c>
      <c r="CN34" s="67" t="n">
        <v>7.9</v>
      </c>
      <c r="CO34" s="71">
        <f>IFERROR(IF(AND(CM34&lt;&gt;"",CN34&lt;&gt;""),ABS(CM34-CN34)/ABS(CM34)*100,""),"")</f>
        <v/>
      </c>
      <c r="CP34" s="69" t="inlineStr">
        <is>
          <t>Claude</t>
        </is>
      </c>
      <c r="CQ34" s="67" t="n">
        <v>0.8</v>
      </c>
      <c r="CR34" s="67" t="n">
        <v>0.8</v>
      </c>
      <c r="CS34" s="71">
        <f>IFERROR(IF(AND(CQ34&lt;&gt;"",CR34&lt;&gt;""),ABS(CQ34-CR34)/ABS(CQ34)*100,""),"")</f>
        <v/>
      </c>
      <c r="CT34" s="69" t="inlineStr">
        <is>
          <t>Claude</t>
        </is>
      </c>
      <c r="CU34" s="67" t="n">
        <v>0</v>
      </c>
      <c r="CV34" s="67" t="n"/>
      <c r="CW34" s="71">
        <f>IFERROR(IF(AND(CU34&lt;&gt;"",CV34&lt;&gt;""),ABS(CU34-CV34)/ABS(CU34)*100,""),"")</f>
        <v/>
      </c>
      <c r="CX34" s="69" t="inlineStr">
        <is>
          <t>Claude</t>
        </is>
      </c>
      <c r="CY34" s="68" t="n"/>
      <c r="CZ34" s="68" t="n"/>
      <c r="DA34" s="71">
        <f>IFERROR(IF(AND(CY34&lt;&gt;"",CZ34&lt;&gt;""),ABS(CY34-CZ34)/ABS(CY34)*100,""),"")</f>
        <v/>
      </c>
      <c r="DB34" s="69" t="inlineStr">
        <is>
          <t>ND</t>
        </is>
      </c>
      <c r="DC34" s="68" t="n"/>
      <c r="DD34" s="68" t="n"/>
      <c r="DE34" s="71">
        <f>IFERROR(IF(AND(DC34&lt;&gt;"",DD34&lt;&gt;""),ABS(DC34-DD34)/ABS(DC34)*100,""),"")</f>
        <v/>
      </c>
      <c r="DF34" s="69" t="inlineStr">
        <is>
          <t>ND</t>
        </is>
      </c>
      <c r="DG34" s="68" t="n"/>
      <c r="DH34" s="68" t="n"/>
      <c r="DI34" s="71">
        <f>IFERROR(IF(AND(DG34&lt;&gt;"",DH34&lt;&gt;""),ABS(DG34-DH34)/ABS(DG34)*100,""),"")</f>
        <v/>
      </c>
      <c r="DJ34" s="69" t="inlineStr">
        <is>
          <t>ND</t>
        </is>
      </c>
      <c r="DK34" s="68" t="n"/>
      <c r="DL34" s="68" t="n"/>
      <c r="DM34" s="71">
        <f>IFERROR(IF(AND(DK34&lt;&gt;"",DL34&lt;&gt;""),ABS(DK34-DL34)/ABS(DK34)*100,""),"")</f>
        <v/>
      </c>
      <c r="DN34" s="69" t="inlineStr">
        <is>
          <t>ND</t>
        </is>
      </c>
      <c r="DO34" s="68" t="n"/>
      <c r="DP34" s="68" t="n"/>
      <c r="DQ34" s="71">
        <f>IFERROR(IF(AND(DO34&lt;&gt;"",DP34&lt;&gt;""),ABS(DO34-DP34)/ABS(DO34)*100,""),"")</f>
        <v/>
      </c>
      <c r="DR34" s="69" t="inlineStr">
        <is>
          <t>ND</t>
        </is>
      </c>
      <c r="DS34" s="64" t="inlineStr">
        <is>
          <t>Grade B</t>
        </is>
      </c>
      <c r="DT34" s="64" t="inlineStr">
        <is>
          <t>A</t>
        </is>
      </c>
      <c r="DU34" s="71">
        <f>IFERROR(IF(AND(DS34&lt;&gt;"",DT34&lt;&gt;""),ABS(DS34-DT34)/ABS(DS34)*100,""),"")</f>
        <v/>
      </c>
      <c r="DV34" s="66" t="inlineStr">
        <is>
          <t>MANUAL FLAG</t>
        </is>
      </c>
      <c r="DW34" s="70" t="inlineStr">
        <is>
          <t>Claude only (DeepSeek pending). Source=2024-25 ed. Ind.7=1.209 from headcount 29 / total workforce 2,398. Ind.9=30.2% ('Manager' tier headcount=126). Ind.14=148,635 KRW, same narrower scope. Ind.22=7.9%, single data point, no multi-year trend exists. Ind.30='Grade B' - REAL RATING DECLINE from 'A' (2021) - not a data error, worth noting for your ESG-trend analysis. || DEEPSEEK RECONCILIATION - MANUAL FLAGS: Ind.30 (KCGS Rating): Claude=Grade B, DeepSeek=A (non-numeric mismatch)</t>
        </is>
      </c>
    </row>
    <row r="35" ht="4.5" customHeight="1" s="43">
      <c r="A35" s="72" t="n"/>
      <c r="B35" s="72" t="n"/>
      <c r="C35" s="72" t="n"/>
      <c r="D35" s="72" t="n"/>
      <c r="E35" s="72" t="n"/>
      <c r="F35" s="72" t="n"/>
      <c r="G35" s="72" t="n"/>
      <c r="H35" s="72" t="n"/>
      <c r="I35" s="72" t="n"/>
      <c r="J35" s="72" t="n"/>
      <c r="K35" s="72" t="n"/>
      <c r="L35" s="72" t="n"/>
      <c r="M35" s="72" t="n"/>
      <c r="N35" s="72" t="n"/>
      <c r="O35" s="72" t="n"/>
      <c r="P35" s="72" t="n"/>
      <c r="Q35" s="72" t="n"/>
      <c r="R35" s="72" t="n"/>
      <c r="S35" s="72" t="n"/>
      <c r="T35" s="72" t="n"/>
      <c r="U35" s="72" t="n"/>
      <c r="V35" s="72" t="n"/>
      <c r="W35" s="72" t="n"/>
      <c r="X35" s="72" t="n"/>
      <c r="Y35" s="72" t="n"/>
      <c r="Z35" s="72" t="n"/>
      <c r="AA35" s="72" t="n"/>
      <c r="AB35" s="72" t="n"/>
      <c r="AC35" s="72" t="n"/>
      <c r="AD35" s="72" t="n"/>
      <c r="AE35" s="72" t="n"/>
      <c r="AF35" s="72" t="n"/>
      <c r="AG35" s="72" t="n"/>
      <c r="AH35" s="72" t="n"/>
      <c r="AI35" s="72" t="n"/>
      <c r="AJ35" s="72" t="n"/>
      <c r="AK35" s="72" t="n"/>
      <c r="AL35" s="72" t="n"/>
      <c r="AM35" s="72" t="n"/>
      <c r="AN35" s="72" t="n"/>
      <c r="AO35" s="72" t="n"/>
      <c r="AP35" s="72" t="n"/>
      <c r="AQ35" s="72" t="n"/>
      <c r="AR35" s="72" t="n"/>
      <c r="AS35" s="72" t="n"/>
      <c r="AT35" s="72" t="n"/>
      <c r="AU35" s="72" t="n"/>
      <c r="AV35" s="72" t="n"/>
      <c r="AW35" s="72" t="n"/>
      <c r="AX35" s="72" t="n"/>
      <c r="AY35" s="72" t="n"/>
      <c r="AZ35" s="72" t="n"/>
      <c r="BA35" s="72" t="n"/>
      <c r="BB35" s="72" t="n"/>
      <c r="BC35" s="72" t="n"/>
      <c r="BD35" s="72" t="n"/>
      <c r="BE35" s="72" t="n"/>
      <c r="BF35" s="72" t="n"/>
      <c r="BG35" s="72" t="n"/>
      <c r="BH35" s="72" t="n"/>
      <c r="BI35" s="72" t="n"/>
      <c r="BJ35" s="72" t="n"/>
      <c r="BK35" s="72" t="n"/>
      <c r="BL35" s="72" t="n"/>
      <c r="BM35" s="72" t="n"/>
      <c r="BN35" s="72" t="n"/>
      <c r="BO35" s="72" t="n"/>
      <c r="BP35" s="72" t="n"/>
      <c r="BQ35" s="72" t="n"/>
      <c r="BR35" s="72" t="n"/>
      <c r="BS35" s="72" t="n"/>
      <c r="BT35" s="72" t="n"/>
      <c r="BU35" s="72" t="n"/>
      <c r="BV35" s="72" t="n"/>
      <c r="BW35" s="72" t="n"/>
      <c r="BX35" s="72" t="n"/>
      <c r="BY35" s="72" t="n"/>
      <c r="BZ35" s="72" t="n"/>
      <c r="CA35" s="72" t="n"/>
      <c r="CB35" s="72" t="n"/>
      <c r="CC35" s="72" t="n"/>
      <c r="CD35" s="72" t="n"/>
      <c r="CE35" s="72" t="n"/>
      <c r="CF35" s="72" t="n"/>
      <c r="CG35" s="72" t="n"/>
      <c r="CH35" s="72" t="n"/>
      <c r="CI35" s="72" t="n"/>
      <c r="CJ35" s="72" t="n"/>
      <c r="CK35" s="72" t="n"/>
      <c r="CL35" s="72" t="n"/>
      <c r="CM35" s="72" t="n"/>
      <c r="CN35" s="72" t="n"/>
      <c r="CO35" s="72" t="n"/>
      <c r="CP35" s="72" t="n"/>
      <c r="CQ35" s="72" t="n"/>
      <c r="CR35" s="72" t="n"/>
      <c r="CS35" s="72" t="n"/>
      <c r="CT35" s="72" t="n"/>
      <c r="CU35" s="72" t="n"/>
      <c r="CV35" s="72" t="n"/>
      <c r="CW35" s="72" t="n"/>
      <c r="CX35" s="72" t="n"/>
      <c r="CY35" s="72" t="n"/>
      <c r="CZ35" s="72" t="n"/>
      <c r="DA35" s="72" t="n"/>
      <c r="DB35" s="72" t="n"/>
      <c r="DC35" s="72" t="n"/>
      <c r="DD35" s="72" t="n"/>
      <c r="DE35" s="72" t="n"/>
      <c r="DF35" s="72" t="n"/>
      <c r="DG35" s="72" t="n"/>
      <c r="DH35" s="72" t="n"/>
      <c r="DI35" s="72" t="n"/>
      <c r="DJ35" s="72" t="n"/>
      <c r="DK35" s="72" t="n"/>
      <c r="DL35" s="72" t="n"/>
      <c r="DM35" s="72" t="n"/>
      <c r="DN35" s="72" t="n"/>
      <c r="DO35" s="72" t="n"/>
      <c r="DP35" s="72" t="n"/>
      <c r="DQ35" s="72" t="n"/>
      <c r="DR35" s="72" t="n"/>
      <c r="DS35" s="72" t="n"/>
      <c r="DT35" s="72" t="n"/>
      <c r="DU35" s="72" t="n"/>
      <c r="DV35" s="72" t="n"/>
      <c r="DW35" s="72" t="n"/>
    </row>
    <row r="36" ht="15.75" customHeight="1" s="43">
      <c r="A36" s="61" t="inlineStr">
        <is>
          <t>APR</t>
        </is>
      </c>
      <c r="B36" s="62" t="inlineStr">
        <is>
          <t>278470</t>
        </is>
      </c>
      <c r="C36" s="62" t="inlineStr">
        <is>
          <t>Consumer Staples</t>
        </is>
      </c>
      <c r="D36" s="62" t="inlineStr">
        <is>
          <t>2018</t>
        </is>
      </c>
      <c r="E36" s="63" t="inlineStr">
        <is>
          <t>No data - predates APR's first sustainability report (2025 ed., window 2023-2025)</t>
        </is>
      </c>
      <c r="F36" s="62" t="n"/>
      <c r="G36" s="67" t="n"/>
      <c r="H36" s="67" t="n"/>
      <c r="I36" s="65">
        <f>IFERROR(IF(AND(G36&lt;&gt;"",H36&lt;&gt;""),ABS(G36-H36)/ABS(G36)*100,""),"")</f>
        <v/>
      </c>
      <c r="J36" s="62" t="inlineStr">
        <is>
          <t>ND</t>
        </is>
      </c>
      <c r="K36" s="67" t="n"/>
      <c r="L36" s="67" t="n"/>
      <c r="M36" s="65">
        <f>IFERROR(IF(AND(K36&lt;&gt;"",L36&lt;&gt;""),ABS(K36-L36)/ABS(K36)*100,""),"")</f>
        <v/>
      </c>
      <c r="N36" s="62" t="inlineStr">
        <is>
          <t>ND</t>
        </is>
      </c>
      <c r="O36" s="67" t="n"/>
      <c r="P36" s="67" t="n"/>
      <c r="Q36" s="65">
        <f>IFERROR(IF(AND(O36&lt;&gt;"",P36&lt;&gt;""),ABS(O36-P36)/ABS(O36)*100,""),"")</f>
        <v/>
      </c>
      <c r="R36" s="62" t="inlineStr">
        <is>
          <t>ND</t>
        </is>
      </c>
      <c r="S36" s="67" t="n"/>
      <c r="T36" s="67" t="n"/>
      <c r="U36" s="65">
        <f>IFERROR(IF(AND(S36&lt;&gt;"",T36&lt;&gt;""),ABS(S36-T36)/ABS(S36)*100,""),"")</f>
        <v/>
      </c>
      <c r="V36" s="62" t="inlineStr">
        <is>
          <t>ND</t>
        </is>
      </c>
      <c r="W36" s="67" t="n"/>
      <c r="X36" s="67" t="n"/>
      <c r="Y36" s="65">
        <f>IFERROR(IF(AND(W36&lt;&gt;"",X36&lt;&gt;""),ABS(W36-X36)/ABS(W36)*100,""),"")</f>
        <v/>
      </c>
      <c r="Z36" s="62" t="inlineStr">
        <is>
          <t>ND</t>
        </is>
      </c>
      <c r="AA36" s="67" t="n"/>
      <c r="AB36" s="67" t="n"/>
      <c r="AC36" s="65">
        <f>IFERROR(IF(AND(AA36&lt;&gt;"",AB36&lt;&gt;""),ABS(AA36-AB36)/ABS(AA36)*100,""),"")</f>
        <v/>
      </c>
      <c r="AD36" s="62" t="inlineStr">
        <is>
          <t>ND</t>
        </is>
      </c>
      <c r="AE36" s="67" t="n"/>
      <c r="AF36" s="67" t="n"/>
      <c r="AG36" s="65">
        <f>IFERROR(IF(AND(AE36&lt;&gt;"",AF36&lt;&gt;""),ABS(AE36-AF36)/ABS(AE36)*100,""),"")</f>
        <v/>
      </c>
      <c r="AH36" s="62" t="inlineStr">
        <is>
          <t>ND</t>
        </is>
      </c>
      <c r="AI36" s="67" t="n"/>
      <c r="AJ36" s="67" t="n"/>
      <c r="AK36" s="65">
        <f>IFERROR(IF(AND(AI36&lt;&gt;"",AJ36&lt;&gt;""),ABS(AI36-AJ36)/ABS(AI36)*100,""),"")</f>
        <v/>
      </c>
      <c r="AL36" s="62" t="inlineStr">
        <is>
          <t>ND</t>
        </is>
      </c>
      <c r="AM36" s="67" t="n"/>
      <c r="AN36" s="67" t="n"/>
      <c r="AO36" s="65">
        <f>IFERROR(IF(AND(AM36&lt;&gt;"",AN36&lt;&gt;""),ABS(AM36-AN36)/ABS(AM36)*100,""),"")</f>
        <v/>
      </c>
      <c r="AP36" s="62" t="inlineStr">
        <is>
          <t>ND</t>
        </is>
      </c>
      <c r="AQ36" s="67" t="n"/>
      <c r="AR36" s="67" t="n"/>
      <c r="AS36" s="65">
        <f>IFERROR(IF(AND(AQ36&lt;&gt;"",AR36&lt;&gt;""),ABS(AQ36-AR36)/ABS(AQ36)*100,""),"")</f>
        <v/>
      </c>
      <c r="AT36" s="62" t="inlineStr">
        <is>
          <t>ND</t>
        </is>
      </c>
      <c r="AU36" s="67" t="n"/>
      <c r="AV36" s="67" t="n"/>
      <c r="AW36" s="65">
        <f>IFERROR(IF(AND(AU36&lt;&gt;"",AV36&lt;&gt;""),ABS(AU36-AV36)/ABS(AU36)*100,""),"")</f>
        <v/>
      </c>
      <c r="AX36" s="62" t="inlineStr">
        <is>
          <t>ND</t>
        </is>
      </c>
      <c r="AY36" s="67" t="n"/>
      <c r="AZ36" s="67" t="n"/>
      <c r="BA36" s="65">
        <f>IFERROR(IF(AND(AY36&lt;&gt;"",AZ36&lt;&gt;""),ABS(AY36-AZ36)/ABS(AY36)*100,""),"")</f>
        <v/>
      </c>
      <c r="BB36" s="62" t="inlineStr">
        <is>
          <t>ND</t>
        </is>
      </c>
      <c r="BC36" s="67" t="n"/>
      <c r="BD36" s="67" t="n"/>
      <c r="BE36" s="65">
        <f>IFERROR(IF(AND(BC36&lt;&gt;"",BD36&lt;&gt;""),ABS(BC36-BD36)/ABS(BC36)*100,""),"")</f>
        <v/>
      </c>
      <c r="BF36" s="62" t="inlineStr">
        <is>
          <t>ND</t>
        </is>
      </c>
      <c r="BG36" s="67" t="n"/>
      <c r="BH36" s="67" t="n"/>
      <c r="BI36" s="65">
        <f>IFERROR(IF(AND(BG36&lt;&gt;"",BH36&lt;&gt;""),ABS(BG36-BH36)/ABS(BG36)*100,""),"")</f>
        <v/>
      </c>
      <c r="BJ36" s="62" t="inlineStr">
        <is>
          <t>ND</t>
        </is>
      </c>
      <c r="BK36" s="67" t="n"/>
      <c r="BL36" s="67" t="n"/>
      <c r="BM36" s="65">
        <f>IFERROR(IF(AND(BK36&lt;&gt;"",BL36&lt;&gt;""),ABS(BK36-BL36)/ABS(BK36)*100,""),"")</f>
        <v/>
      </c>
      <c r="BN36" s="62" t="inlineStr">
        <is>
          <t>ND</t>
        </is>
      </c>
      <c r="BO36" s="67" t="n"/>
      <c r="BP36" s="67" t="n"/>
      <c r="BQ36" s="65">
        <f>IFERROR(IF(AND(BO36&lt;&gt;"",BP36&lt;&gt;""),ABS(BO36-BP36)/ABS(BO36)*100,""),"")</f>
        <v/>
      </c>
      <c r="BR36" s="62" t="inlineStr">
        <is>
          <t>ND</t>
        </is>
      </c>
      <c r="BS36" s="67" t="n"/>
      <c r="BT36" s="67" t="n"/>
      <c r="BU36" s="65">
        <f>IFERROR(IF(AND(BS36&lt;&gt;"",BT36&lt;&gt;""),ABS(BS36-BT36)/ABS(BS36)*100,""),"")</f>
        <v/>
      </c>
      <c r="BV36" s="62" t="inlineStr">
        <is>
          <t>ND</t>
        </is>
      </c>
      <c r="BW36" s="67" t="n"/>
      <c r="BX36" s="67" t="n"/>
      <c r="BY36" s="65">
        <f>IFERROR(IF(AND(BW36&lt;&gt;"",BX36&lt;&gt;""),ABS(BW36-BX36)/ABS(BW36)*100,""),"")</f>
        <v/>
      </c>
      <c r="BZ36" s="62" t="inlineStr">
        <is>
          <t>ND</t>
        </is>
      </c>
      <c r="CA36" s="67" t="n"/>
      <c r="CB36" s="67" t="n"/>
      <c r="CC36" s="65">
        <f>IFERROR(IF(AND(CA36&lt;&gt;"",CB36&lt;&gt;""),ABS(CA36-CB36)/ABS(CA36)*100,""),"")</f>
        <v/>
      </c>
      <c r="CD36" s="62" t="inlineStr">
        <is>
          <t>ND</t>
        </is>
      </c>
      <c r="CE36" s="67" t="n"/>
      <c r="CF36" s="67" t="n"/>
      <c r="CG36" s="65">
        <f>IFERROR(IF(AND(CE36&lt;&gt;"",CF36&lt;&gt;""),ABS(CE36-CF36)/ABS(CE36)*100,""),"")</f>
        <v/>
      </c>
      <c r="CH36" s="62" t="inlineStr">
        <is>
          <t>ND</t>
        </is>
      </c>
      <c r="CI36" s="67" t="n"/>
      <c r="CJ36" s="67" t="n"/>
      <c r="CK36" s="65">
        <f>IFERROR(IF(AND(CI36&lt;&gt;"",CJ36&lt;&gt;""),ABS(CI36-CJ36)/ABS(CI36)*100,""),"")</f>
        <v/>
      </c>
      <c r="CL36" s="62" t="inlineStr">
        <is>
          <t>ND</t>
        </is>
      </c>
      <c r="CM36" s="67" t="n"/>
      <c r="CN36" s="67" t="n"/>
      <c r="CO36" s="65">
        <f>IFERROR(IF(AND(CM36&lt;&gt;"",CN36&lt;&gt;""),ABS(CM36-CN36)/ABS(CM36)*100,""),"")</f>
        <v/>
      </c>
      <c r="CP36" s="62" t="inlineStr">
        <is>
          <t>ND</t>
        </is>
      </c>
      <c r="CQ36" s="67" t="n"/>
      <c r="CR36" s="67" t="n"/>
      <c r="CS36" s="65">
        <f>IFERROR(IF(AND(CQ36&lt;&gt;"",CR36&lt;&gt;""),ABS(CQ36-CR36)/ABS(CQ36)*100,""),"")</f>
        <v/>
      </c>
      <c r="CT36" s="62" t="inlineStr">
        <is>
          <t>ND</t>
        </is>
      </c>
      <c r="CU36" s="67" t="n"/>
      <c r="CV36" s="67" t="n"/>
      <c r="CW36" s="65">
        <f>IFERROR(IF(AND(CU36&lt;&gt;"",CV36&lt;&gt;""),ABS(CU36-CV36)/ABS(CU36)*100,""),"")</f>
        <v/>
      </c>
      <c r="CX36" s="62" t="inlineStr">
        <is>
          <t>ND</t>
        </is>
      </c>
      <c r="CY36" s="68" t="n"/>
      <c r="CZ36" s="68" t="n"/>
      <c r="DA36" s="65">
        <f>IFERROR(IF(AND(CY36&lt;&gt;"",CZ36&lt;&gt;""),ABS(CY36-CZ36)/ABS(CY36)*100,""),"")</f>
        <v/>
      </c>
      <c r="DB36" s="62" t="inlineStr">
        <is>
          <t>ND</t>
        </is>
      </c>
      <c r="DC36" s="68" t="n"/>
      <c r="DD36" s="68" t="n"/>
      <c r="DE36" s="65">
        <f>IFERROR(IF(AND(DC36&lt;&gt;"",DD36&lt;&gt;""),ABS(DC36-DD36)/ABS(DC36)*100,""),"")</f>
        <v/>
      </c>
      <c r="DF36" s="62" t="inlineStr">
        <is>
          <t>ND</t>
        </is>
      </c>
      <c r="DG36" s="68" t="n"/>
      <c r="DH36" s="68" t="n"/>
      <c r="DI36" s="65">
        <f>IFERROR(IF(AND(DG36&lt;&gt;"",DH36&lt;&gt;""),ABS(DG36-DH36)/ABS(DG36)*100,""),"")</f>
        <v/>
      </c>
      <c r="DJ36" s="62" t="inlineStr">
        <is>
          <t>ND</t>
        </is>
      </c>
      <c r="DK36" s="68" t="n"/>
      <c r="DL36" s="68" t="n"/>
      <c r="DM36" s="65">
        <f>IFERROR(IF(AND(DK36&lt;&gt;"",DL36&lt;&gt;""),ABS(DK36-DL36)/ABS(DK36)*100,""),"")</f>
        <v/>
      </c>
      <c r="DN36" s="62" t="inlineStr">
        <is>
          <t>ND</t>
        </is>
      </c>
      <c r="DO36" s="68" t="n"/>
      <c r="DP36" s="68" t="n"/>
      <c r="DQ36" s="65">
        <f>IFERROR(IF(AND(DO36&lt;&gt;"",DP36&lt;&gt;""),ABS(DO36-DP36)/ABS(DO36)*100,""),"")</f>
        <v/>
      </c>
      <c r="DR36" s="62" t="inlineStr">
        <is>
          <t>ND</t>
        </is>
      </c>
      <c r="DS36" s="68" t="n"/>
      <c r="DT36" s="68" t="n"/>
      <c r="DU36" s="65">
        <f>IFERROR(IF(AND(DS36&lt;&gt;"",DT36&lt;&gt;""),ABS(DS36-DT36)/ABS(DS36)*100,""),"")</f>
        <v/>
      </c>
      <c r="DV36" s="62" t="inlineStr">
        <is>
          <t>ND</t>
        </is>
      </c>
      <c r="DW36" s="63" t="inlineStr">
        <is>
          <t>No data available - APR's first-ever sustainability report only discloses 2023-2025. All cells ND.</t>
        </is>
      </c>
    </row>
    <row r="37" ht="15.75" customHeight="1" s="43">
      <c r="A37" s="69" t="n"/>
      <c r="B37" s="69" t="n"/>
      <c r="C37" s="69" t="inlineStr">
        <is>
          <t>Consumer Staples</t>
        </is>
      </c>
      <c r="D37" s="69" t="inlineStr">
        <is>
          <t>2019</t>
        </is>
      </c>
      <c r="E37" s="70" t="inlineStr">
        <is>
          <t>No data - predates APR's first sustainability report</t>
        </is>
      </c>
      <c r="F37" s="69" t="n"/>
      <c r="G37" s="67" t="n"/>
      <c r="H37" s="67" t="n"/>
      <c r="I37" s="71">
        <f>IFERROR(IF(AND(G37&lt;&gt;"",H37&lt;&gt;""),ABS(G37-H37)/ABS(G37)*100,""),"")</f>
        <v/>
      </c>
      <c r="J37" s="69" t="inlineStr">
        <is>
          <t>ND</t>
        </is>
      </c>
      <c r="K37" s="67" t="n"/>
      <c r="L37" s="67" t="n"/>
      <c r="M37" s="71">
        <f>IFERROR(IF(AND(K37&lt;&gt;"",L37&lt;&gt;""),ABS(K37-L37)/ABS(K37)*100,""),"")</f>
        <v/>
      </c>
      <c r="N37" s="69" t="inlineStr">
        <is>
          <t>ND</t>
        </is>
      </c>
      <c r="O37" s="67" t="n"/>
      <c r="P37" s="67" t="n"/>
      <c r="Q37" s="71">
        <f>IFERROR(IF(AND(O37&lt;&gt;"",P37&lt;&gt;""),ABS(O37-P37)/ABS(O37)*100,""),"")</f>
        <v/>
      </c>
      <c r="R37" s="69" t="inlineStr">
        <is>
          <t>ND</t>
        </is>
      </c>
      <c r="S37" s="67" t="n"/>
      <c r="T37" s="67" t="n"/>
      <c r="U37" s="71">
        <f>IFERROR(IF(AND(S37&lt;&gt;"",T37&lt;&gt;""),ABS(S37-T37)/ABS(S37)*100,""),"")</f>
        <v/>
      </c>
      <c r="V37" s="69" t="inlineStr">
        <is>
          <t>ND</t>
        </is>
      </c>
      <c r="W37" s="67" t="n"/>
      <c r="X37" s="67" t="n"/>
      <c r="Y37" s="71">
        <f>IFERROR(IF(AND(W37&lt;&gt;"",X37&lt;&gt;""),ABS(W37-X37)/ABS(W37)*100,""),"")</f>
        <v/>
      </c>
      <c r="Z37" s="69" t="inlineStr">
        <is>
          <t>ND</t>
        </is>
      </c>
      <c r="AA37" s="67" t="n"/>
      <c r="AB37" s="67" t="n"/>
      <c r="AC37" s="71">
        <f>IFERROR(IF(AND(AA37&lt;&gt;"",AB37&lt;&gt;""),ABS(AA37-AB37)/ABS(AA37)*100,""),"")</f>
        <v/>
      </c>
      <c r="AD37" s="69" t="inlineStr">
        <is>
          <t>ND</t>
        </is>
      </c>
      <c r="AE37" s="67" t="n"/>
      <c r="AF37" s="67" t="n"/>
      <c r="AG37" s="71">
        <f>IFERROR(IF(AND(AE37&lt;&gt;"",AF37&lt;&gt;""),ABS(AE37-AF37)/ABS(AE37)*100,""),"")</f>
        <v/>
      </c>
      <c r="AH37" s="69" t="inlineStr">
        <is>
          <t>ND</t>
        </is>
      </c>
      <c r="AI37" s="67" t="n"/>
      <c r="AJ37" s="67" t="n"/>
      <c r="AK37" s="71">
        <f>IFERROR(IF(AND(AI37&lt;&gt;"",AJ37&lt;&gt;""),ABS(AI37-AJ37)/ABS(AI37)*100,""),"")</f>
        <v/>
      </c>
      <c r="AL37" s="69" t="inlineStr">
        <is>
          <t>ND</t>
        </is>
      </c>
      <c r="AM37" s="67" t="n"/>
      <c r="AN37" s="67" t="n"/>
      <c r="AO37" s="71">
        <f>IFERROR(IF(AND(AM37&lt;&gt;"",AN37&lt;&gt;""),ABS(AM37-AN37)/ABS(AM37)*100,""),"")</f>
        <v/>
      </c>
      <c r="AP37" s="69" t="inlineStr">
        <is>
          <t>ND</t>
        </is>
      </c>
      <c r="AQ37" s="67" t="n"/>
      <c r="AR37" s="67" t="n"/>
      <c r="AS37" s="71">
        <f>IFERROR(IF(AND(AQ37&lt;&gt;"",AR37&lt;&gt;""),ABS(AQ37-AR37)/ABS(AQ37)*100,""),"")</f>
        <v/>
      </c>
      <c r="AT37" s="69" t="inlineStr">
        <is>
          <t>ND</t>
        </is>
      </c>
      <c r="AU37" s="67" t="n"/>
      <c r="AV37" s="67" t="n"/>
      <c r="AW37" s="71">
        <f>IFERROR(IF(AND(AU37&lt;&gt;"",AV37&lt;&gt;""),ABS(AU37-AV37)/ABS(AU37)*100,""),"")</f>
        <v/>
      </c>
      <c r="AX37" s="69" t="inlineStr">
        <is>
          <t>ND</t>
        </is>
      </c>
      <c r="AY37" s="67" t="n"/>
      <c r="AZ37" s="67" t="n"/>
      <c r="BA37" s="71">
        <f>IFERROR(IF(AND(AY37&lt;&gt;"",AZ37&lt;&gt;""),ABS(AY37-AZ37)/ABS(AY37)*100,""),"")</f>
        <v/>
      </c>
      <c r="BB37" s="69" t="inlineStr">
        <is>
          <t>ND</t>
        </is>
      </c>
      <c r="BC37" s="67" t="n"/>
      <c r="BD37" s="67" t="n"/>
      <c r="BE37" s="71">
        <f>IFERROR(IF(AND(BC37&lt;&gt;"",BD37&lt;&gt;""),ABS(BC37-BD37)/ABS(BC37)*100,""),"")</f>
        <v/>
      </c>
      <c r="BF37" s="69" t="inlineStr">
        <is>
          <t>ND</t>
        </is>
      </c>
      <c r="BG37" s="67" t="n"/>
      <c r="BH37" s="67" t="n"/>
      <c r="BI37" s="71">
        <f>IFERROR(IF(AND(BG37&lt;&gt;"",BH37&lt;&gt;""),ABS(BG37-BH37)/ABS(BG37)*100,""),"")</f>
        <v/>
      </c>
      <c r="BJ37" s="69" t="inlineStr">
        <is>
          <t>ND</t>
        </is>
      </c>
      <c r="BK37" s="67" t="n"/>
      <c r="BL37" s="67" t="n"/>
      <c r="BM37" s="71">
        <f>IFERROR(IF(AND(BK37&lt;&gt;"",BL37&lt;&gt;""),ABS(BK37-BL37)/ABS(BK37)*100,""),"")</f>
        <v/>
      </c>
      <c r="BN37" s="69" t="inlineStr">
        <is>
          <t>ND</t>
        </is>
      </c>
      <c r="BO37" s="67" t="n"/>
      <c r="BP37" s="67" t="n"/>
      <c r="BQ37" s="71">
        <f>IFERROR(IF(AND(BO37&lt;&gt;"",BP37&lt;&gt;""),ABS(BO37-BP37)/ABS(BO37)*100,""),"")</f>
        <v/>
      </c>
      <c r="BR37" s="69" t="inlineStr">
        <is>
          <t>ND</t>
        </is>
      </c>
      <c r="BS37" s="67" t="n"/>
      <c r="BT37" s="67" t="n"/>
      <c r="BU37" s="71">
        <f>IFERROR(IF(AND(BS37&lt;&gt;"",BT37&lt;&gt;""),ABS(BS37-BT37)/ABS(BS37)*100,""),"")</f>
        <v/>
      </c>
      <c r="BV37" s="69" t="inlineStr">
        <is>
          <t>ND</t>
        </is>
      </c>
      <c r="BW37" s="67" t="n"/>
      <c r="BX37" s="67" t="n"/>
      <c r="BY37" s="71">
        <f>IFERROR(IF(AND(BW37&lt;&gt;"",BX37&lt;&gt;""),ABS(BW37-BX37)/ABS(BW37)*100,""),"")</f>
        <v/>
      </c>
      <c r="BZ37" s="69" t="inlineStr">
        <is>
          <t>ND</t>
        </is>
      </c>
      <c r="CA37" s="67" t="n"/>
      <c r="CB37" s="67" t="n"/>
      <c r="CC37" s="71">
        <f>IFERROR(IF(AND(CA37&lt;&gt;"",CB37&lt;&gt;""),ABS(CA37-CB37)/ABS(CA37)*100,""),"")</f>
        <v/>
      </c>
      <c r="CD37" s="69" t="inlineStr">
        <is>
          <t>ND</t>
        </is>
      </c>
      <c r="CE37" s="67" t="n"/>
      <c r="CF37" s="67" t="n"/>
      <c r="CG37" s="71">
        <f>IFERROR(IF(AND(CE37&lt;&gt;"",CF37&lt;&gt;""),ABS(CE37-CF37)/ABS(CE37)*100,""),"")</f>
        <v/>
      </c>
      <c r="CH37" s="69" t="inlineStr">
        <is>
          <t>ND</t>
        </is>
      </c>
      <c r="CI37" s="67" t="n"/>
      <c r="CJ37" s="67" t="n"/>
      <c r="CK37" s="71">
        <f>IFERROR(IF(AND(CI37&lt;&gt;"",CJ37&lt;&gt;""),ABS(CI37-CJ37)/ABS(CI37)*100,""),"")</f>
        <v/>
      </c>
      <c r="CL37" s="69" t="inlineStr">
        <is>
          <t>ND</t>
        </is>
      </c>
      <c r="CM37" s="67" t="n"/>
      <c r="CN37" s="67" t="n"/>
      <c r="CO37" s="71">
        <f>IFERROR(IF(AND(CM37&lt;&gt;"",CN37&lt;&gt;""),ABS(CM37-CN37)/ABS(CM37)*100,""),"")</f>
        <v/>
      </c>
      <c r="CP37" s="69" t="inlineStr">
        <is>
          <t>ND</t>
        </is>
      </c>
      <c r="CQ37" s="67" t="n"/>
      <c r="CR37" s="67" t="n"/>
      <c r="CS37" s="71">
        <f>IFERROR(IF(AND(CQ37&lt;&gt;"",CR37&lt;&gt;""),ABS(CQ37-CR37)/ABS(CQ37)*100,""),"")</f>
        <v/>
      </c>
      <c r="CT37" s="69" t="inlineStr">
        <is>
          <t>ND</t>
        </is>
      </c>
      <c r="CU37" s="67" t="n"/>
      <c r="CV37" s="67" t="n"/>
      <c r="CW37" s="71">
        <f>IFERROR(IF(AND(CU37&lt;&gt;"",CV37&lt;&gt;""),ABS(CU37-CV37)/ABS(CU37)*100,""),"")</f>
        <v/>
      </c>
      <c r="CX37" s="69" t="inlineStr">
        <is>
          <t>ND</t>
        </is>
      </c>
      <c r="CY37" s="68" t="n"/>
      <c r="CZ37" s="68" t="n"/>
      <c r="DA37" s="71">
        <f>IFERROR(IF(AND(CY37&lt;&gt;"",CZ37&lt;&gt;""),ABS(CY37-CZ37)/ABS(CY37)*100,""),"")</f>
        <v/>
      </c>
      <c r="DB37" s="69" t="inlineStr">
        <is>
          <t>ND</t>
        </is>
      </c>
      <c r="DC37" s="68" t="n"/>
      <c r="DD37" s="68" t="n"/>
      <c r="DE37" s="71">
        <f>IFERROR(IF(AND(DC37&lt;&gt;"",DD37&lt;&gt;""),ABS(DC37-DD37)/ABS(DC37)*100,""),"")</f>
        <v/>
      </c>
      <c r="DF37" s="69" t="inlineStr">
        <is>
          <t>ND</t>
        </is>
      </c>
      <c r="DG37" s="68" t="n"/>
      <c r="DH37" s="68" t="n"/>
      <c r="DI37" s="71">
        <f>IFERROR(IF(AND(DG37&lt;&gt;"",DH37&lt;&gt;""),ABS(DG37-DH37)/ABS(DG37)*100,""),"")</f>
        <v/>
      </c>
      <c r="DJ37" s="69" t="inlineStr">
        <is>
          <t>ND</t>
        </is>
      </c>
      <c r="DK37" s="68" t="n"/>
      <c r="DL37" s="68" t="n"/>
      <c r="DM37" s="71">
        <f>IFERROR(IF(AND(DK37&lt;&gt;"",DL37&lt;&gt;""),ABS(DK37-DL37)/ABS(DK37)*100,""),"")</f>
        <v/>
      </c>
      <c r="DN37" s="69" t="inlineStr">
        <is>
          <t>ND</t>
        </is>
      </c>
      <c r="DO37" s="68" t="n"/>
      <c r="DP37" s="68" t="n"/>
      <c r="DQ37" s="71">
        <f>IFERROR(IF(AND(DO37&lt;&gt;"",DP37&lt;&gt;""),ABS(DO37-DP37)/ABS(DO37)*100,""),"")</f>
        <v/>
      </c>
      <c r="DR37" s="69" t="inlineStr">
        <is>
          <t>ND</t>
        </is>
      </c>
      <c r="DS37" s="68" t="n"/>
      <c r="DT37" s="68" t="n"/>
      <c r="DU37" s="71">
        <f>IFERROR(IF(AND(DS37&lt;&gt;"",DT37&lt;&gt;""),ABS(DS37-DT37)/ABS(DS37)*100,""),"")</f>
        <v/>
      </c>
      <c r="DV37" s="69" t="inlineStr">
        <is>
          <t>ND</t>
        </is>
      </c>
      <c r="DW37" s="70" t="inlineStr">
        <is>
          <t>No data available - see 2018 note.</t>
        </is>
      </c>
    </row>
    <row r="38" ht="15.75" customHeight="1" s="43">
      <c r="A38" s="62" t="n"/>
      <c r="B38" s="62" t="n"/>
      <c r="C38" s="62" t="inlineStr">
        <is>
          <t>Consumer Staples</t>
        </is>
      </c>
      <c r="D38" s="62" t="inlineStr">
        <is>
          <t>2020</t>
        </is>
      </c>
      <c r="E38" s="63" t="inlineStr">
        <is>
          <t>No data - predates APR's first sustainability report</t>
        </is>
      </c>
      <c r="F38" s="62" t="n"/>
      <c r="G38" s="67" t="n"/>
      <c r="H38" s="67" t="n"/>
      <c r="I38" s="65">
        <f>IFERROR(IF(AND(G38&lt;&gt;"",H38&lt;&gt;""),ABS(G38-H38)/ABS(G38)*100,""),"")</f>
        <v/>
      </c>
      <c r="J38" s="62" t="inlineStr">
        <is>
          <t>ND</t>
        </is>
      </c>
      <c r="K38" s="67" t="n"/>
      <c r="L38" s="67" t="n"/>
      <c r="M38" s="65">
        <f>IFERROR(IF(AND(K38&lt;&gt;"",L38&lt;&gt;""),ABS(K38-L38)/ABS(K38)*100,""),"")</f>
        <v/>
      </c>
      <c r="N38" s="62" t="inlineStr">
        <is>
          <t>ND</t>
        </is>
      </c>
      <c r="O38" s="67" t="n"/>
      <c r="P38" s="67" t="n"/>
      <c r="Q38" s="65">
        <f>IFERROR(IF(AND(O38&lt;&gt;"",P38&lt;&gt;""),ABS(O38-P38)/ABS(O38)*100,""),"")</f>
        <v/>
      </c>
      <c r="R38" s="62" t="inlineStr">
        <is>
          <t>ND</t>
        </is>
      </c>
      <c r="S38" s="67" t="n"/>
      <c r="T38" s="67" t="n"/>
      <c r="U38" s="65">
        <f>IFERROR(IF(AND(S38&lt;&gt;"",T38&lt;&gt;""),ABS(S38-T38)/ABS(S38)*100,""),"")</f>
        <v/>
      </c>
      <c r="V38" s="62" t="inlineStr">
        <is>
          <t>ND</t>
        </is>
      </c>
      <c r="W38" s="67" t="n"/>
      <c r="X38" s="67" t="n"/>
      <c r="Y38" s="65">
        <f>IFERROR(IF(AND(W38&lt;&gt;"",X38&lt;&gt;""),ABS(W38-X38)/ABS(W38)*100,""),"")</f>
        <v/>
      </c>
      <c r="Z38" s="62" t="inlineStr">
        <is>
          <t>ND</t>
        </is>
      </c>
      <c r="AA38" s="67" t="n"/>
      <c r="AB38" s="67" t="n"/>
      <c r="AC38" s="65">
        <f>IFERROR(IF(AND(AA38&lt;&gt;"",AB38&lt;&gt;""),ABS(AA38-AB38)/ABS(AA38)*100,""),"")</f>
        <v/>
      </c>
      <c r="AD38" s="62" t="inlineStr">
        <is>
          <t>ND</t>
        </is>
      </c>
      <c r="AE38" s="67" t="n"/>
      <c r="AF38" s="67" t="n"/>
      <c r="AG38" s="65">
        <f>IFERROR(IF(AND(AE38&lt;&gt;"",AF38&lt;&gt;""),ABS(AE38-AF38)/ABS(AE38)*100,""),"")</f>
        <v/>
      </c>
      <c r="AH38" s="62" t="inlineStr">
        <is>
          <t>ND</t>
        </is>
      </c>
      <c r="AI38" s="67" t="n"/>
      <c r="AJ38" s="67" t="n"/>
      <c r="AK38" s="65">
        <f>IFERROR(IF(AND(AI38&lt;&gt;"",AJ38&lt;&gt;""),ABS(AI38-AJ38)/ABS(AI38)*100,""),"")</f>
        <v/>
      </c>
      <c r="AL38" s="62" t="inlineStr">
        <is>
          <t>ND</t>
        </is>
      </c>
      <c r="AM38" s="67" t="n"/>
      <c r="AN38" s="67" t="n"/>
      <c r="AO38" s="65">
        <f>IFERROR(IF(AND(AM38&lt;&gt;"",AN38&lt;&gt;""),ABS(AM38-AN38)/ABS(AM38)*100,""),"")</f>
        <v/>
      </c>
      <c r="AP38" s="62" t="inlineStr">
        <is>
          <t>ND</t>
        </is>
      </c>
      <c r="AQ38" s="67" t="n"/>
      <c r="AR38" s="67" t="n"/>
      <c r="AS38" s="65">
        <f>IFERROR(IF(AND(AQ38&lt;&gt;"",AR38&lt;&gt;""),ABS(AQ38-AR38)/ABS(AQ38)*100,""),"")</f>
        <v/>
      </c>
      <c r="AT38" s="62" t="inlineStr">
        <is>
          <t>ND</t>
        </is>
      </c>
      <c r="AU38" s="67" t="n"/>
      <c r="AV38" s="67" t="n"/>
      <c r="AW38" s="65">
        <f>IFERROR(IF(AND(AU38&lt;&gt;"",AV38&lt;&gt;""),ABS(AU38-AV38)/ABS(AU38)*100,""),"")</f>
        <v/>
      </c>
      <c r="AX38" s="62" t="inlineStr">
        <is>
          <t>ND</t>
        </is>
      </c>
      <c r="AY38" s="67" t="n"/>
      <c r="AZ38" s="67" t="n"/>
      <c r="BA38" s="65">
        <f>IFERROR(IF(AND(AY38&lt;&gt;"",AZ38&lt;&gt;""),ABS(AY38-AZ38)/ABS(AY38)*100,""),"")</f>
        <v/>
      </c>
      <c r="BB38" s="62" t="inlineStr">
        <is>
          <t>ND</t>
        </is>
      </c>
      <c r="BC38" s="67" t="n"/>
      <c r="BD38" s="67" t="n"/>
      <c r="BE38" s="65">
        <f>IFERROR(IF(AND(BC38&lt;&gt;"",BD38&lt;&gt;""),ABS(BC38-BD38)/ABS(BC38)*100,""),"")</f>
        <v/>
      </c>
      <c r="BF38" s="62" t="inlineStr">
        <is>
          <t>ND</t>
        </is>
      </c>
      <c r="BG38" s="67" t="n"/>
      <c r="BH38" s="67" t="n"/>
      <c r="BI38" s="65">
        <f>IFERROR(IF(AND(BG38&lt;&gt;"",BH38&lt;&gt;""),ABS(BG38-BH38)/ABS(BG38)*100,""),"")</f>
        <v/>
      </c>
      <c r="BJ38" s="62" t="inlineStr">
        <is>
          <t>ND</t>
        </is>
      </c>
      <c r="BK38" s="67" t="n"/>
      <c r="BL38" s="67" t="n"/>
      <c r="BM38" s="65">
        <f>IFERROR(IF(AND(BK38&lt;&gt;"",BL38&lt;&gt;""),ABS(BK38-BL38)/ABS(BK38)*100,""),"")</f>
        <v/>
      </c>
      <c r="BN38" s="62" t="inlineStr">
        <is>
          <t>ND</t>
        </is>
      </c>
      <c r="BO38" s="67" t="n"/>
      <c r="BP38" s="67" t="n"/>
      <c r="BQ38" s="65">
        <f>IFERROR(IF(AND(BO38&lt;&gt;"",BP38&lt;&gt;""),ABS(BO38-BP38)/ABS(BO38)*100,""),"")</f>
        <v/>
      </c>
      <c r="BR38" s="62" t="inlineStr">
        <is>
          <t>ND</t>
        </is>
      </c>
      <c r="BS38" s="67" t="n"/>
      <c r="BT38" s="67" t="n"/>
      <c r="BU38" s="65">
        <f>IFERROR(IF(AND(BS38&lt;&gt;"",BT38&lt;&gt;""),ABS(BS38-BT38)/ABS(BS38)*100,""),"")</f>
        <v/>
      </c>
      <c r="BV38" s="62" t="inlineStr">
        <is>
          <t>ND</t>
        </is>
      </c>
      <c r="BW38" s="67" t="n"/>
      <c r="BX38" s="67" t="n"/>
      <c r="BY38" s="65">
        <f>IFERROR(IF(AND(BW38&lt;&gt;"",BX38&lt;&gt;""),ABS(BW38-BX38)/ABS(BW38)*100,""),"")</f>
        <v/>
      </c>
      <c r="BZ38" s="62" t="inlineStr">
        <is>
          <t>ND</t>
        </is>
      </c>
      <c r="CA38" s="67" t="n"/>
      <c r="CB38" s="67" t="n"/>
      <c r="CC38" s="65">
        <f>IFERROR(IF(AND(CA38&lt;&gt;"",CB38&lt;&gt;""),ABS(CA38-CB38)/ABS(CA38)*100,""),"")</f>
        <v/>
      </c>
      <c r="CD38" s="62" t="inlineStr">
        <is>
          <t>ND</t>
        </is>
      </c>
      <c r="CE38" s="67" t="n"/>
      <c r="CF38" s="67" t="n"/>
      <c r="CG38" s="65">
        <f>IFERROR(IF(AND(CE38&lt;&gt;"",CF38&lt;&gt;""),ABS(CE38-CF38)/ABS(CE38)*100,""),"")</f>
        <v/>
      </c>
      <c r="CH38" s="62" t="inlineStr">
        <is>
          <t>ND</t>
        </is>
      </c>
      <c r="CI38" s="67" t="n"/>
      <c r="CJ38" s="67" t="n"/>
      <c r="CK38" s="65">
        <f>IFERROR(IF(AND(CI38&lt;&gt;"",CJ38&lt;&gt;""),ABS(CI38-CJ38)/ABS(CI38)*100,""),"")</f>
        <v/>
      </c>
      <c r="CL38" s="62" t="inlineStr">
        <is>
          <t>ND</t>
        </is>
      </c>
      <c r="CM38" s="67" t="n"/>
      <c r="CN38" s="67" t="n"/>
      <c r="CO38" s="65">
        <f>IFERROR(IF(AND(CM38&lt;&gt;"",CN38&lt;&gt;""),ABS(CM38-CN38)/ABS(CM38)*100,""),"")</f>
        <v/>
      </c>
      <c r="CP38" s="62" t="inlineStr">
        <is>
          <t>ND</t>
        </is>
      </c>
      <c r="CQ38" s="67" t="n"/>
      <c r="CR38" s="67" t="n"/>
      <c r="CS38" s="65">
        <f>IFERROR(IF(AND(CQ38&lt;&gt;"",CR38&lt;&gt;""),ABS(CQ38-CR38)/ABS(CQ38)*100,""),"")</f>
        <v/>
      </c>
      <c r="CT38" s="62" t="inlineStr">
        <is>
          <t>ND</t>
        </is>
      </c>
      <c r="CU38" s="67" t="n"/>
      <c r="CV38" s="67" t="n"/>
      <c r="CW38" s="65">
        <f>IFERROR(IF(AND(CU38&lt;&gt;"",CV38&lt;&gt;""),ABS(CU38-CV38)/ABS(CU38)*100,""),"")</f>
        <v/>
      </c>
      <c r="CX38" s="62" t="inlineStr">
        <is>
          <t>ND</t>
        </is>
      </c>
      <c r="CY38" s="68" t="n"/>
      <c r="CZ38" s="68" t="n"/>
      <c r="DA38" s="65">
        <f>IFERROR(IF(AND(CY38&lt;&gt;"",CZ38&lt;&gt;""),ABS(CY38-CZ38)/ABS(CY38)*100,""),"")</f>
        <v/>
      </c>
      <c r="DB38" s="62" t="inlineStr">
        <is>
          <t>ND</t>
        </is>
      </c>
      <c r="DC38" s="68" t="n"/>
      <c r="DD38" s="68" t="n"/>
      <c r="DE38" s="65">
        <f>IFERROR(IF(AND(DC38&lt;&gt;"",DD38&lt;&gt;""),ABS(DC38-DD38)/ABS(DC38)*100,""),"")</f>
        <v/>
      </c>
      <c r="DF38" s="62" t="inlineStr">
        <is>
          <t>ND</t>
        </is>
      </c>
      <c r="DG38" s="68" t="n"/>
      <c r="DH38" s="68" t="n"/>
      <c r="DI38" s="65">
        <f>IFERROR(IF(AND(DG38&lt;&gt;"",DH38&lt;&gt;""),ABS(DG38-DH38)/ABS(DG38)*100,""),"")</f>
        <v/>
      </c>
      <c r="DJ38" s="62" t="inlineStr">
        <is>
          <t>ND</t>
        </is>
      </c>
      <c r="DK38" s="68" t="n"/>
      <c r="DL38" s="68" t="n"/>
      <c r="DM38" s="65">
        <f>IFERROR(IF(AND(DK38&lt;&gt;"",DL38&lt;&gt;""),ABS(DK38-DL38)/ABS(DK38)*100,""),"")</f>
        <v/>
      </c>
      <c r="DN38" s="62" t="inlineStr">
        <is>
          <t>ND</t>
        </is>
      </c>
      <c r="DO38" s="68" t="n"/>
      <c r="DP38" s="68" t="n"/>
      <c r="DQ38" s="65">
        <f>IFERROR(IF(AND(DO38&lt;&gt;"",DP38&lt;&gt;""),ABS(DO38-DP38)/ABS(DO38)*100,""),"")</f>
        <v/>
      </c>
      <c r="DR38" s="62" t="inlineStr">
        <is>
          <t>ND</t>
        </is>
      </c>
      <c r="DS38" s="68" t="n"/>
      <c r="DT38" s="68" t="n"/>
      <c r="DU38" s="65">
        <f>IFERROR(IF(AND(DS38&lt;&gt;"",DT38&lt;&gt;""),ABS(DS38-DT38)/ABS(DS38)*100,""),"")</f>
        <v/>
      </c>
      <c r="DV38" s="62" t="inlineStr">
        <is>
          <t>ND</t>
        </is>
      </c>
      <c r="DW38" s="63" t="inlineStr">
        <is>
          <t>No data available - see 2018 note.</t>
        </is>
      </c>
    </row>
    <row r="39" ht="15.75" customHeight="1" s="43">
      <c r="A39" s="69" t="n"/>
      <c r="B39" s="69" t="n"/>
      <c r="C39" s="69" t="inlineStr">
        <is>
          <t>Consumer Staples</t>
        </is>
      </c>
      <c r="D39" s="69" t="inlineStr">
        <is>
          <t>2021</t>
        </is>
      </c>
      <c r="E39" s="70" t="inlineStr">
        <is>
          <t>No data - predates APR's first sustainability report</t>
        </is>
      </c>
      <c r="F39" s="69" t="n"/>
      <c r="G39" s="67" t="n"/>
      <c r="H39" s="67" t="n"/>
      <c r="I39" s="71">
        <f>IFERROR(IF(AND(G39&lt;&gt;"",H39&lt;&gt;""),ABS(G39-H39)/ABS(G39)*100,""),"")</f>
        <v/>
      </c>
      <c r="J39" s="69" t="inlineStr">
        <is>
          <t>ND</t>
        </is>
      </c>
      <c r="K39" s="67" t="n"/>
      <c r="L39" s="67" t="n"/>
      <c r="M39" s="71">
        <f>IFERROR(IF(AND(K39&lt;&gt;"",L39&lt;&gt;""),ABS(K39-L39)/ABS(K39)*100,""),"")</f>
        <v/>
      </c>
      <c r="N39" s="69" t="inlineStr">
        <is>
          <t>ND</t>
        </is>
      </c>
      <c r="O39" s="67" t="n"/>
      <c r="P39" s="67" t="n"/>
      <c r="Q39" s="71">
        <f>IFERROR(IF(AND(O39&lt;&gt;"",P39&lt;&gt;""),ABS(O39-P39)/ABS(O39)*100,""),"")</f>
        <v/>
      </c>
      <c r="R39" s="69" t="inlineStr">
        <is>
          <t>ND</t>
        </is>
      </c>
      <c r="S39" s="67" t="n"/>
      <c r="T39" s="67" t="n"/>
      <c r="U39" s="71">
        <f>IFERROR(IF(AND(S39&lt;&gt;"",T39&lt;&gt;""),ABS(S39-T39)/ABS(S39)*100,""),"")</f>
        <v/>
      </c>
      <c r="V39" s="69" t="inlineStr">
        <is>
          <t>ND</t>
        </is>
      </c>
      <c r="W39" s="67" t="n"/>
      <c r="X39" s="67" t="n"/>
      <c r="Y39" s="71">
        <f>IFERROR(IF(AND(W39&lt;&gt;"",X39&lt;&gt;""),ABS(W39-X39)/ABS(W39)*100,""),"")</f>
        <v/>
      </c>
      <c r="Z39" s="69" t="inlineStr">
        <is>
          <t>ND</t>
        </is>
      </c>
      <c r="AA39" s="67" t="n"/>
      <c r="AB39" s="67" t="n"/>
      <c r="AC39" s="71">
        <f>IFERROR(IF(AND(AA39&lt;&gt;"",AB39&lt;&gt;""),ABS(AA39-AB39)/ABS(AA39)*100,""),"")</f>
        <v/>
      </c>
      <c r="AD39" s="69" t="inlineStr">
        <is>
          <t>ND</t>
        </is>
      </c>
      <c r="AE39" s="67" t="n"/>
      <c r="AF39" s="67" t="n"/>
      <c r="AG39" s="71">
        <f>IFERROR(IF(AND(AE39&lt;&gt;"",AF39&lt;&gt;""),ABS(AE39-AF39)/ABS(AE39)*100,""),"")</f>
        <v/>
      </c>
      <c r="AH39" s="69" t="inlineStr">
        <is>
          <t>ND</t>
        </is>
      </c>
      <c r="AI39" s="67" t="n"/>
      <c r="AJ39" s="67" t="n"/>
      <c r="AK39" s="71">
        <f>IFERROR(IF(AND(AI39&lt;&gt;"",AJ39&lt;&gt;""),ABS(AI39-AJ39)/ABS(AI39)*100,""),"")</f>
        <v/>
      </c>
      <c r="AL39" s="69" t="inlineStr">
        <is>
          <t>ND</t>
        </is>
      </c>
      <c r="AM39" s="67" t="n"/>
      <c r="AN39" s="67" t="n"/>
      <c r="AO39" s="71">
        <f>IFERROR(IF(AND(AM39&lt;&gt;"",AN39&lt;&gt;""),ABS(AM39-AN39)/ABS(AM39)*100,""),"")</f>
        <v/>
      </c>
      <c r="AP39" s="69" t="inlineStr">
        <is>
          <t>ND</t>
        </is>
      </c>
      <c r="AQ39" s="67" t="n"/>
      <c r="AR39" s="67" t="n"/>
      <c r="AS39" s="71">
        <f>IFERROR(IF(AND(AQ39&lt;&gt;"",AR39&lt;&gt;""),ABS(AQ39-AR39)/ABS(AQ39)*100,""),"")</f>
        <v/>
      </c>
      <c r="AT39" s="69" t="inlineStr">
        <is>
          <t>ND</t>
        </is>
      </c>
      <c r="AU39" s="67" t="n"/>
      <c r="AV39" s="67" t="n"/>
      <c r="AW39" s="71">
        <f>IFERROR(IF(AND(AU39&lt;&gt;"",AV39&lt;&gt;""),ABS(AU39-AV39)/ABS(AU39)*100,""),"")</f>
        <v/>
      </c>
      <c r="AX39" s="69" t="inlineStr">
        <is>
          <t>ND</t>
        </is>
      </c>
      <c r="AY39" s="67" t="n"/>
      <c r="AZ39" s="67" t="n"/>
      <c r="BA39" s="71">
        <f>IFERROR(IF(AND(AY39&lt;&gt;"",AZ39&lt;&gt;""),ABS(AY39-AZ39)/ABS(AY39)*100,""),"")</f>
        <v/>
      </c>
      <c r="BB39" s="69" t="inlineStr">
        <is>
          <t>ND</t>
        </is>
      </c>
      <c r="BC39" s="67" t="n"/>
      <c r="BD39" s="67" t="n"/>
      <c r="BE39" s="71">
        <f>IFERROR(IF(AND(BC39&lt;&gt;"",BD39&lt;&gt;""),ABS(BC39-BD39)/ABS(BC39)*100,""),"")</f>
        <v/>
      </c>
      <c r="BF39" s="69" t="inlineStr">
        <is>
          <t>ND</t>
        </is>
      </c>
      <c r="BG39" s="67" t="n"/>
      <c r="BH39" s="67" t="n"/>
      <c r="BI39" s="71">
        <f>IFERROR(IF(AND(BG39&lt;&gt;"",BH39&lt;&gt;""),ABS(BG39-BH39)/ABS(BG39)*100,""),"")</f>
        <v/>
      </c>
      <c r="BJ39" s="69" t="inlineStr">
        <is>
          <t>ND</t>
        </is>
      </c>
      <c r="BK39" s="67" t="n"/>
      <c r="BL39" s="67" t="n"/>
      <c r="BM39" s="71">
        <f>IFERROR(IF(AND(BK39&lt;&gt;"",BL39&lt;&gt;""),ABS(BK39-BL39)/ABS(BK39)*100,""),"")</f>
        <v/>
      </c>
      <c r="BN39" s="69" t="inlineStr">
        <is>
          <t>ND</t>
        </is>
      </c>
      <c r="BO39" s="67" t="n"/>
      <c r="BP39" s="67" t="n"/>
      <c r="BQ39" s="71">
        <f>IFERROR(IF(AND(BO39&lt;&gt;"",BP39&lt;&gt;""),ABS(BO39-BP39)/ABS(BO39)*100,""),"")</f>
        <v/>
      </c>
      <c r="BR39" s="69" t="inlineStr">
        <is>
          <t>ND</t>
        </is>
      </c>
      <c r="BS39" s="67" t="n"/>
      <c r="BT39" s="67" t="n"/>
      <c r="BU39" s="71">
        <f>IFERROR(IF(AND(BS39&lt;&gt;"",BT39&lt;&gt;""),ABS(BS39-BT39)/ABS(BS39)*100,""),"")</f>
        <v/>
      </c>
      <c r="BV39" s="69" t="inlineStr">
        <is>
          <t>ND</t>
        </is>
      </c>
      <c r="BW39" s="67" t="n"/>
      <c r="BX39" s="67" t="n"/>
      <c r="BY39" s="71">
        <f>IFERROR(IF(AND(BW39&lt;&gt;"",BX39&lt;&gt;""),ABS(BW39-BX39)/ABS(BW39)*100,""),"")</f>
        <v/>
      </c>
      <c r="BZ39" s="69" t="inlineStr">
        <is>
          <t>ND</t>
        </is>
      </c>
      <c r="CA39" s="67" t="n"/>
      <c r="CB39" s="67" t="n"/>
      <c r="CC39" s="71">
        <f>IFERROR(IF(AND(CA39&lt;&gt;"",CB39&lt;&gt;""),ABS(CA39-CB39)/ABS(CA39)*100,""),"")</f>
        <v/>
      </c>
      <c r="CD39" s="69" t="inlineStr">
        <is>
          <t>ND</t>
        </is>
      </c>
      <c r="CE39" s="67" t="n"/>
      <c r="CF39" s="67" t="n"/>
      <c r="CG39" s="71">
        <f>IFERROR(IF(AND(CE39&lt;&gt;"",CF39&lt;&gt;""),ABS(CE39-CF39)/ABS(CE39)*100,""),"")</f>
        <v/>
      </c>
      <c r="CH39" s="69" t="inlineStr">
        <is>
          <t>ND</t>
        </is>
      </c>
      <c r="CI39" s="67" t="n"/>
      <c r="CJ39" s="67" t="n"/>
      <c r="CK39" s="71">
        <f>IFERROR(IF(AND(CI39&lt;&gt;"",CJ39&lt;&gt;""),ABS(CI39-CJ39)/ABS(CI39)*100,""),"")</f>
        <v/>
      </c>
      <c r="CL39" s="69" t="inlineStr">
        <is>
          <t>ND</t>
        </is>
      </c>
      <c r="CM39" s="67" t="n"/>
      <c r="CN39" s="67" t="n"/>
      <c r="CO39" s="71">
        <f>IFERROR(IF(AND(CM39&lt;&gt;"",CN39&lt;&gt;""),ABS(CM39-CN39)/ABS(CM39)*100,""),"")</f>
        <v/>
      </c>
      <c r="CP39" s="69" t="inlineStr">
        <is>
          <t>ND</t>
        </is>
      </c>
      <c r="CQ39" s="67" t="n"/>
      <c r="CR39" s="67" t="n"/>
      <c r="CS39" s="71">
        <f>IFERROR(IF(AND(CQ39&lt;&gt;"",CR39&lt;&gt;""),ABS(CQ39-CR39)/ABS(CQ39)*100,""),"")</f>
        <v/>
      </c>
      <c r="CT39" s="69" t="inlineStr">
        <is>
          <t>ND</t>
        </is>
      </c>
      <c r="CU39" s="67" t="n"/>
      <c r="CV39" s="67" t="n"/>
      <c r="CW39" s="71">
        <f>IFERROR(IF(AND(CU39&lt;&gt;"",CV39&lt;&gt;""),ABS(CU39-CV39)/ABS(CU39)*100,""),"")</f>
        <v/>
      </c>
      <c r="CX39" s="69" t="inlineStr">
        <is>
          <t>ND</t>
        </is>
      </c>
      <c r="CY39" s="68" t="n"/>
      <c r="CZ39" s="68" t="n"/>
      <c r="DA39" s="71">
        <f>IFERROR(IF(AND(CY39&lt;&gt;"",CZ39&lt;&gt;""),ABS(CY39-CZ39)/ABS(CY39)*100,""),"")</f>
        <v/>
      </c>
      <c r="DB39" s="69" t="inlineStr">
        <is>
          <t>ND</t>
        </is>
      </c>
      <c r="DC39" s="68" t="n"/>
      <c r="DD39" s="68" t="n"/>
      <c r="DE39" s="71">
        <f>IFERROR(IF(AND(DC39&lt;&gt;"",DD39&lt;&gt;""),ABS(DC39-DD39)/ABS(DC39)*100,""),"")</f>
        <v/>
      </c>
      <c r="DF39" s="69" t="inlineStr">
        <is>
          <t>ND</t>
        </is>
      </c>
      <c r="DG39" s="68" t="n"/>
      <c r="DH39" s="68" t="n"/>
      <c r="DI39" s="71">
        <f>IFERROR(IF(AND(DG39&lt;&gt;"",DH39&lt;&gt;""),ABS(DG39-DH39)/ABS(DG39)*100,""),"")</f>
        <v/>
      </c>
      <c r="DJ39" s="69" t="inlineStr">
        <is>
          <t>ND</t>
        </is>
      </c>
      <c r="DK39" s="68" t="n"/>
      <c r="DL39" s="68" t="n"/>
      <c r="DM39" s="71">
        <f>IFERROR(IF(AND(DK39&lt;&gt;"",DL39&lt;&gt;""),ABS(DK39-DL39)/ABS(DK39)*100,""),"")</f>
        <v/>
      </c>
      <c r="DN39" s="69" t="inlineStr">
        <is>
          <t>ND</t>
        </is>
      </c>
      <c r="DO39" s="68" t="n"/>
      <c r="DP39" s="68" t="n"/>
      <c r="DQ39" s="71">
        <f>IFERROR(IF(AND(DO39&lt;&gt;"",DP39&lt;&gt;""),ABS(DO39-DP39)/ABS(DO39)*100,""),"")</f>
        <v/>
      </c>
      <c r="DR39" s="69" t="inlineStr">
        <is>
          <t>ND</t>
        </is>
      </c>
      <c r="DS39" s="68" t="n"/>
      <c r="DT39" s="68" t="n"/>
      <c r="DU39" s="71">
        <f>IFERROR(IF(AND(DS39&lt;&gt;"",DT39&lt;&gt;""),ABS(DS39-DT39)/ABS(DS39)*100,""),"")</f>
        <v/>
      </c>
      <c r="DV39" s="69" t="inlineStr">
        <is>
          <t>ND</t>
        </is>
      </c>
      <c r="DW39" s="70" t="inlineStr">
        <is>
          <t>No data available - see 2018 note.</t>
        </is>
      </c>
    </row>
    <row r="40" ht="15.75" customHeight="1" s="43">
      <c r="A40" s="62" t="n"/>
      <c r="B40" s="62" t="n"/>
      <c r="C40" s="62" t="inlineStr">
        <is>
          <t>Consumer Staples</t>
        </is>
      </c>
      <c r="D40" s="62" t="inlineStr">
        <is>
          <t>2022</t>
        </is>
      </c>
      <c r="E40" s="63" t="inlineStr">
        <is>
          <t>No data - predates APR's first sustainability report</t>
        </is>
      </c>
      <c r="F40" s="62" t="n"/>
      <c r="G40" s="67" t="n"/>
      <c r="H40" s="67" t="n"/>
      <c r="I40" s="65">
        <f>IFERROR(IF(AND(G40&lt;&gt;"",H40&lt;&gt;""),ABS(G40-H40)/ABS(G40)*100,""),"")</f>
        <v/>
      </c>
      <c r="J40" s="62" t="inlineStr">
        <is>
          <t>ND</t>
        </is>
      </c>
      <c r="K40" s="67" t="n"/>
      <c r="L40" s="67" t="n"/>
      <c r="M40" s="65">
        <f>IFERROR(IF(AND(K40&lt;&gt;"",L40&lt;&gt;""),ABS(K40-L40)/ABS(K40)*100,""),"")</f>
        <v/>
      </c>
      <c r="N40" s="62" t="inlineStr">
        <is>
          <t>ND</t>
        </is>
      </c>
      <c r="O40" s="67" t="n"/>
      <c r="P40" s="67" t="n"/>
      <c r="Q40" s="65">
        <f>IFERROR(IF(AND(O40&lt;&gt;"",P40&lt;&gt;""),ABS(O40-P40)/ABS(O40)*100,""),"")</f>
        <v/>
      </c>
      <c r="R40" s="62" t="inlineStr">
        <is>
          <t>ND</t>
        </is>
      </c>
      <c r="S40" s="67" t="n"/>
      <c r="T40" s="67" t="n"/>
      <c r="U40" s="65">
        <f>IFERROR(IF(AND(S40&lt;&gt;"",T40&lt;&gt;""),ABS(S40-T40)/ABS(S40)*100,""),"")</f>
        <v/>
      </c>
      <c r="V40" s="62" t="inlineStr">
        <is>
          <t>ND</t>
        </is>
      </c>
      <c r="W40" s="67" t="n"/>
      <c r="X40" s="67" t="n"/>
      <c r="Y40" s="65">
        <f>IFERROR(IF(AND(W40&lt;&gt;"",X40&lt;&gt;""),ABS(W40-X40)/ABS(W40)*100,""),"")</f>
        <v/>
      </c>
      <c r="Z40" s="62" t="inlineStr">
        <is>
          <t>ND</t>
        </is>
      </c>
      <c r="AA40" s="67" t="n"/>
      <c r="AB40" s="67" t="n"/>
      <c r="AC40" s="65">
        <f>IFERROR(IF(AND(AA40&lt;&gt;"",AB40&lt;&gt;""),ABS(AA40-AB40)/ABS(AA40)*100,""),"")</f>
        <v/>
      </c>
      <c r="AD40" s="62" t="inlineStr">
        <is>
          <t>ND</t>
        </is>
      </c>
      <c r="AE40" s="67" t="n"/>
      <c r="AF40" s="67" t="n"/>
      <c r="AG40" s="65">
        <f>IFERROR(IF(AND(AE40&lt;&gt;"",AF40&lt;&gt;""),ABS(AE40-AF40)/ABS(AE40)*100,""),"")</f>
        <v/>
      </c>
      <c r="AH40" s="62" t="inlineStr">
        <is>
          <t>ND</t>
        </is>
      </c>
      <c r="AI40" s="67" t="n"/>
      <c r="AJ40" s="67" t="n"/>
      <c r="AK40" s="65">
        <f>IFERROR(IF(AND(AI40&lt;&gt;"",AJ40&lt;&gt;""),ABS(AI40-AJ40)/ABS(AI40)*100,""),"")</f>
        <v/>
      </c>
      <c r="AL40" s="62" t="inlineStr">
        <is>
          <t>ND</t>
        </is>
      </c>
      <c r="AM40" s="67" t="n"/>
      <c r="AN40" s="67" t="n"/>
      <c r="AO40" s="65">
        <f>IFERROR(IF(AND(AM40&lt;&gt;"",AN40&lt;&gt;""),ABS(AM40-AN40)/ABS(AM40)*100,""),"")</f>
        <v/>
      </c>
      <c r="AP40" s="62" t="inlineStr">
        <is>
          <t>ND</t>
        </is>
      </c>
      <c r="AQ40" s="67" t="n"/>
      <c r="AR40" s="67" t="n"/>
      <c r="AS40" s="65">
        <f>IFERROR(IF(AND(AQ40&lt;&gt;"",AR40&lt;&gt;""),ABS(AQ40-AR40)/ABS(AQ40)*100,""),"")</f>
        <v/>
      </c>
      <c r="AT40" s="62" t="inlineStr">
        <is>
          <t>ND</t>
        </is>
      </c>
      <c r="AU40" s="67" t="n"/>
      <c r="AV40" s="67" t="n"/>
      <c r="AW40" s="65">
        <f>IFERROR(IF(AND(AU40&lt;&gt;"",AV40&lt;&gt;""),ABS(AU40-AV40)/ABS(AU40)*100,""),"")</f>
        <v/>
      </c>
      <c r="AX40" s="62" t="inlineStr">
        <is>
          <t>ND</t>
        </is>
      </c>
      <c r="AY40" s="67" t="n"/>
      <c r="AZ40" s="67" t="n"/>
      <c r="BA40" s="65">
        <f>IFERROR(IF(AND(AY40&lt;&gt;"",AZ40&lt;&gt;""),ABS(AY40-AZ40)/ABS(AY40)*100,""),"")</f>
        <v/>
      </c>
      <c r="BB40" s="62" t="inlineStr">
        <is>
          <t>ND</t>
        </is>
      </c>
      <c r="BC40" s="67" t="n"/>
      <c r="BD40" s="67" t="n"/>
      <c r="BE40" s="65">
        <f>IFERROR(IF(AND(BC40&lt;&gt;"",BD40&lt;&gt;""),ABS(BC40-BD40)/ABS(BC40)*100,""),"")</f>
        <v/>
      </c>
      <c r="BF40" s="62" t="inlineStr">
        <is>
          <t>ND</t>
        </is>
      </c>
      <c r="BG40" s="67" t="n"/>
      <c r="BH40" s="67" t="n"/>
      <c r="BI40" s="65">
        <f>IFERROR(IF(AND(BG40&lt;&gt;"",BH40&lt;&gt;""),ABS(BG40-BH40)/ABS(BG40)*100,""),"")</f>
        <v/>
      </c>
      <c r="BJ40" s="62" t="inlineStr">
        <is>
          <t>ND</t>
        </is>
      </c>
      <c r="BK40" s="67" t="n"/>
      <c r="BL40" s="67" t="n"/>
      <c r="BM40" s="65">
        <f>IFERROR(IF(AND(BK40&lt;&gt;"",BL40&lt;&gt;""),ABS(BK40-BL40)/ABS(BK40)*100,""),"")</f>
        <v/>
      </c>
      <c r="BN40" s="62" t="inlineStr">
        <is>
          <t>ND</t>
        </is>
      </c>
      <c r="BO40" s="67" t="n"/>
      <c r="BP40" s="67" t="n"/>
      <c r="BQ40" s="65">
        <f>IFERROR(IF(AND(BO40&lt;&gt;"",BP40&lt;&gt;""),ABS(BO40-BP40)/ABS(BO40)*100,""),"")</f>
        <v/>
      </c>
      <c r="BR40" s="62" t="inlineStr">
        <is>
          <t>ND</t>
        </is>
      </c>
      <c r="BS40" s="67" t="n"/>
      <c r="BT40" s="67" t="n"/>
      <c r="BU40" s="65">
        <f>IFERROR(IF(AND(BS40&lt;&gt;"",BT40&lt;&gt;""),ABS(BS40-BT40)/ABS(BS40)*100,""),"")</f>
        <v/>
      </c>
      <c r="BV40" s="62" t="inlineStr">
        <is>
          <t>ND</t>
        </is>
      </c>
      <c r="BW40" s="67" t="n"/>
      <c r="BX40" s="67" t="n"/>
      <c r="BY40" s="65">
        <f>IFERROR(IF(AND(BW40&lt;&gt;"",BX40&lt;&gt;""),ABS(BW40-BX40)/ABS(BW40)*100,""),"")</f>
        <v/>
      </c>
      <c r="BZ40" s="62" t="inlineStr">
        <is>
          <t>ND</t>
        </is>
      </c>
      <c r="CA40" s="67" t="n"/>
      <c r="CB40" s="67" t="n"/>
      <c r="CC40" s="65">
        <f>IFERROR(IF(AND(CA40&lt;&gt;"",CB40&lt;&gt;""),ABS(CA40-CB40)/ABS(CA40)*100,""),"")</f>
        <v/>
      </c>
      <c r="CD40" s="62" t="inlineStr">
        <is>
          <t>ND</t>
        </is>
      </c>
      <c r="CE40" s="67" t="n"/>
      <c r="CF40" s="67" t="n"/>
      <c r="CG40" s="65">
        <f>IFERROR(IF(AND(CE40&lt;&gt;"",CF40&lt;&gt;""),ABS(CE40-CF40)/ABS(CE40)*100,""),"")</f>
        <v/>
      </c>
      <c r="CH40" s="62" t="inlineStr">
        <is>
          <t>ND</t>
        </is>
      </c>
      <c r="CI40" s="67" t="n"/>
      <c r="CJ40" s="67" t="n"/>
      <c r="CK40" s="65">
        <f>IFERROR(IF(AND(CI40&lt;&gt;"",CJ40&lt;&gt;""),ABS(CI40-CJ40)/ABS(CI40)*100,""),"")</f>
        <v/>
      </c>
      <c r="CL40" s="62" t="inlineStr">
        <is>
          <t>ND</t>
        </is>
      </c>
      <c r="CM40" s="67" t="n"/>
      <c r="CN40" s="67" t="n"/>
      <c r="CO40" s="65">
        <f>IFERROR(IF(AND(CM40&lt;&gt;"",CN40&lt;&gt;""),ABS(CM40-CN40)/ABS(CM40)*100,""),"")</f>
        <v/>
      </c>
      <c r="CP40" s="62" t="inlineStr">
        <is>
          <t>ND</t>
        </is>
      </c>
      <c r="CQ40" s="67" t="n"/>
      <c r="CR40" s="67" t="n"/>
      <c r="CS40" s="65">
        <f>IFERROR(IF(AND(CQ40&lt;&gt;"",CR40&lt;&gt;""),ABS(CQ40-CR40)/ABS(CQ40)*100,""),"")</f>
        <v/>
      </c>
      <c r="CT40" s="62" t="inlineStr">
        <is>
          <t>ND</t>
        </is>
      </c>
      <c r="CU40" s="67" t="n"/>
      <c r="CV40" s="67" t="n"/>
      <c r="CW40" s="65">
        <f>IFERROR(IF(AND(CU40&lt;&gt;"",CV40&lt;&gt;""),ABS(CU40-CV40)/ABS(CU40)*100,""),"")</f>
        <v/>
      </c>
      <c r="CX40" s="62" t="inlineStr">
        <is>
          <t>ND</t>
        </is>
      </c>
      <c r="CY40" s="68" t="n"/>
      <c r="CZ40" s="68" t="n"/>
      <c r="DA40" s="65">
        <f>IFERROR(IF(AND(CY40&lt;&gt;"",CZ40&lt;&gt;""),ABS(CY40-CZ40)/ABS(CY40)*100,""),"")</f>
        <v/>
      </c>
      <c r="DB40" s="62" t="inlineStr">
        <is>
          <t>ND</t>
        </is>
      </c>
      <c r="DC40" s="68" t="n"/>
      <c r="DD40" s="68" t="n"/>
      <c r="DE40" s="65">
        <f>IFERROR(IF(AND(DC40&lt;&gt;"",DD40&lt;&gt;""),ABS(DC40-DD40)/ABS(DC40)*100,""),"")</f>
        <v/>
      </c>
      <c r="DF40" s="62" t="inlineStr">
        <is>
          <t>ND</t>
        </is>
      </c>
      <c r="DG40" s="68" t="n"/>
      <c r="DH40" s="68" t="n"/>
      <c r="DI40" s="65">
        <f>IFERROR(IF(AND(DG40&lt;&gt;"",DH40&lt;&gt;""),ABS(DG40-DH40)/ABS(DG40)*100,""),"")</f>
        <v/>
      </c>
      <c r="DJ40" s="62" t="inlineStr">
        <is>
          <t>ND</t>
        </is>
      </c>
      <c r="DK40" s="68" t="n"/>
      <c r="DL40" s="68" t="n"/>
      <c r="DM40" s="65">
        <f>IFERROR(IF(AND(DK40&lt;&gt;"",DL40&lt;&gt;""),ABS(DK40-DL40)/ABS(DK40)*100,""),"")</f>
        <v/>
      </c>
      <c r="DN40" s="62" t="inlineStr">
        <is>
          <t>ND</t>
        </is>
      </c>
      <c r="DO40" s="68" t="n"/>
      <c r="DP40" s="68" t="n"/>
      <c r="DQ40" s="65">
        <f>IFERROR(IF(AND(DO40&lt;&gt;"",DP40&lt;&gt;""),ABS(DO40-DP40)/ABS(DO40)*100,""),"")</f>
        <v/>
      </c>
      <c r="DR40" s="62" t="inlineStr">
        <is>
          <t>ND</t>
        </is>
      </c>
      <c r="DS40" s="68" t="n"/>
      <c r="DT40" s="68" t="n"/>
      <c r="DU40" s="65">
        <f>IFERROR(IF(AND(DS40&lt;&gt;"",DT40&lt;&gt;""),ABS(DS40-DT40)/ABS(DS40)*100,""),"")</f>
        <v/>
      </c>
      <c r="DV40" s="62" t="inlineStr">
        <is>
          <t>ND</t>
        </is>
      </c>
      <c r="DW40" s="63" t="inlineStr">
        <is>
          <t>No data available - see 2018 note.</t>
        </is>
      </c>
    </row>
    <row r="41" ht="15.75" customHeight="1" s="43">
      <c r="A41" s="69" t="n"/>
      <c r="B41" s="69" t="n"/>
      <c r="C41" s="69" t="inlineStr">
        <is>
          <t>Consumer Staples</t>
        </is>
      </c>
      <c r="D41" s="69" t="inlineStr">
        <is>
          <t>2023</t>
        </is>
      </c>
      <c r="E41" s="70" t="inlineStr">
        <is>
          <t>apr_2025.pdf (APR's first sustainability report, window 2023-2025)</t>
        </is>
      </c>
      <c r="F41" s="69" t="n"/>
      <c r="G41" s="64" t="n">
        <v>6.68</v>
      </c>
      <c r="H41" s="64" t="n">
        <v>12.32</v>
      </c>
      <c r="I41" s="71">
        <f>IFERROR(IF(AND(G41&lt;&gt;"",H41&lt;&gt;""),ABS(G41-H41)/ABS(G41)*100,""),"")</f>
        <v/>
      </c>
      <c r="J41" s="66" t="inlineStr">
        <is>
          <t>MANUAL FLAG</t>
        </is>
      </c>
      <c r="K41" s="67" t="n"/>
      <c r="L41" s="67" t="n">
        <v>80.70999999999999</v>
      </c>
      <c r="M41" s="71">
        <f>IFERROR(IF(AND(K41&lt;&gt;"",L41&lt;&gt;""),ABS(K41-L41)/ABS(K41)*100,""),"")</f>
        <v/>
      </c>
      <c r="N41" s="69" t="inlineStr">
        <is>
          <t>DeepSeek</t>
        </is>
      </c>
      <c r="O41" s="67" t="n">
        <v>100</v>
      </c>
      <c r="P41" s="67" t="n">
        <v>100</v>
      </c>
      <c r="Q41" s="71">
        <f>IFERROR(IF(AND(O41&lt;&gt;"",P41&lt;&gt;""),ABS(O41-P41)/ABS(O41)*100,""),"")</f>
        <v/>
      </c>
      <c r="R41" s="69" t="inlineStr">
        <is>
          <t>Claude</t>
        </is>
      </c>
      <c r="S41" s="67" t="n">
        <v>57.8</v>
      </c>
      <c r="T41" s="67" t="n">
        <v>57.8</v>
      </c>
      <c r="U41" s="71">
        <f>IFERROR(IF(AND(S41&lt;&gt;"",T41&lt;&gt;""),ABS(S41-T41)/ABS(S41)*100,""),"")</f>
        <v/>
      </c>
      <c r="V41" s="69" t="inlineStr">
        <is>
          <t>Claude</t>
        </is>
      </c>
      <c r="W41" s="67" t="n"/>
      <c r="X41" s="67" t="n"/>
      <c r="Y41" s="71">
        <f>IFERROR(IF(AND(W41&lt;&gt;"",X41&lt;&gt;""),ABS(W41-X41)/ABS(W41)*100,""),"")</f>
        <v/>
      </c>
      <c r="Z41" s="69" t="inlineStr">
        <is>
          <t>ND</t>
        </is>
      </c>
      <c r="AA41" s="67" t="n">
        <v>68.2</v>
      </c>
      <c r="AB41" s="67" t="n">
        <v>68.2</v>
      </c>
      <c r="AC41" s="71">
        <f>IFERROR(IF(AND(AA41&lt;&gt;"",AB41&lt;&gt;""),ABS(AA41-AB41)/ABS(AA41)*100,""),"")</f>
        <v/>
      </c>
      <c r="AD41" s="69" t="inlineStr">
        <is>
          <t>Claude</t>
        </is>
      </c>
      <c r="AE41" s="67" t="n">
        <v>4.593</v>
      </c>
      <c r="AF41" s="67" t="n"/>
      <c r="AG41" s="71">
        <f>IFERROR(IF(AND(AE41&lt;&gt;"",AF41&lt;&gt;""),ABS(AE41-AF41)/ABS(AE41)*100,""),"")</f>
        <v/>
      </c>
      <c r="AH41" s="69" t="inlineStr">
        <is>
          <t>Claude</t>
        </is>
      </c>
      <c r="AI41" s="67" t="n">
        <v>5.428</v>
      </c>
      <c r="AJ41" s="67" t="n"/>
      <c r="AK41" s="71">
        <f>IFERROR(IF(AND(AI41&lt;&gt;"",AJ41&lt;&gt;""),ABS(AI41-AJ41)/ABS(AI41)*100,""),"")</f>
        <v/>
      </c>
      <c r="AL41" s="69" t="inlineStr">
        <is>
          <t>Claude</t>
        </is>
      </c>
      <c r="AM41" s="67" t="n"/>
      <c r="AN41" s="67" t="n"/>
      <c r="AO41" s="71">
        <f>IFERROR(IF(AND(AM41&lt;&gt;"",AN41&lt;&gt;""),ABS(AM41-AN41)/ABS(AM41)*100,""),"")</f>
        <v/>
      </c>
      <c r="AP41" s="69" t="inlineStr">
        <is>
          <t>ND</t>
        </is>
      </c>
      <c r="AQ41" s="67" t="n">
        <v>28.57</v>
      </c>
      <c r="AR41" s="67" t="n"/>
      <c r="AS41" s="71">
        <f>IFERROR(IF(AND(AQ41&lt;&gt;"",AR41&lt;&gt;""),ABS(AQ41-AR41)/ABS(AQ41)*100,""),"")</f>
        <v/>
      </c>
      <c r="AT41" s="69" t="inlineStr">
        <is>
          <t>Claude</t>
        </is>
      </c>
      <c r="AU41" s="67" t="n">
        <v>20</v>
      </c>
      <c r="AV41" s="67" t="n">
        <v>20</v>
      </c>
      <c r="AW41" s="71">
        <f>IFERROR(IF(AND(AU41&lt;&gt;"",AV41&lt;&gt;""),ABS(AU41-AV41)/ABS(AU41)*100,""),"")</f>
        <v/>
      </c>
      <c r="AX41" s="69" t="inlineStr">
        <is>
          <t>Claude</t>
        </is>
      </c>
      <c r="AY41" s="67" t="n">
        <v>52989561</v>
      </c>
      <c r="AZ41" s="67" t="n">
        <v>52990000</v>
      </c>
      <c r="BA41" s="71">
        <f>IFERROR(IF(AND(AY41&lt;&gt;"",AZ41&lt;&gt;""),ABS(AY41-AZ41)/ABS(AY41)*100,""),"")</f>
        <v/>
      </c>
      <c r="BB41" s="69" t="inlineStr">
        <is>
          <t>Claude</t>
        </is>
      </c>
      <c r="BC41" s="67" t="n">
        <v>36.59</v>
      </c>
      <c r="BD41" s="67" t="n">
        <v>36.59</v>
      </c>
      <c r="BE41" s="71">
        <f>IFERROR(IF(AND(BC41&lt;&gt;"",BD41&lt;&gt;""),ABS(BC41-BD41)/ABS(BC41)*100,""),"")</f>
        <v/>
      </c>
      <c r="BF41" s="69" t="inlineStr">
        <is>
          <t>Claude</t>
        </is>
      </c>
      <c r="BG41" s="67" t="n">
        <v>325678</v>
      </c>
      <c r="BH41" s="67" t="n">
        <v>326000</v>
      </c>
      <c r="BI41" s="71">
        <f>IFERROR(IF(AND(BG41&lt;&gt;"",BH41&lt;&gt;""),ABS(BG41-BH41)/ABS(BG41)*100,""),"")</f>
        <v/>
      </c>
      <c r="BJ41" s="69" t="inlineStr">
        <is>
          <t>Claude</t>
        </is>
      </c>
      <c r="BK41" s="67" t="n"/>
      <c r="BL41" s="67" t="n"/>
      <c r="BM41" s="71">
        <f>IFERROR(IF(AND(BK41&lt;&gt;"",BL41&lt;&gt;""),ABS(BK41-BL41)/ABS(BK41)*100,""),"")</f>
        <v/>
      </c>
      <c r="BN41" s="69" t="inlineStr">
        <is>
          <t>ND</t>
        </is>
      </c>
      <c r="BO41" s="64" t="n">
        <v>9</v>
      </c>
      <c r="BP41" s="64" t="n">
        <v>6</v>
      </c>
      <c r="BQ41" s="71">
        <f>IFERROR(IF(AND(BO41&lt;&gt;"",BP41&lt;&gt;""),ABS(BO41-BP41)/ABS(BO41)*100,""),"")</f>
        <v/>
      </c>
      <c r="BR41" s="66" t="inlineStr">
        <is>
          <t>MANUAL FLAG</t>
        </is>
      </c>
      <c r="BS41" s="64" t="n">
        <v>0</v>
      </c>
      <c r="BT41" s="64" t="n">
        <v>3</v>
      </c>
      <c r="BU41" s="71">
        <f>IFERROR(IF(AND(BS41&lt;&gt;"",BT41&lt;&gt;""),ABS(BS41-BT41)/ABS(BS41)*100,""),"")</f>
        <v/>
      </c>
      <c r="BV41" s="66" t="inlineStr">
        <is>
          <t>MANUAL FLAG</t>
        </is>
      </c>
      <c r="BW41" s="67" t="n">
        <v>100</v>
      </c>
      <c r="BX41" s="67" t="n">
        <v>100</v>
      </c>
      <c r="BY41" s="71">
        <f>IFERROR(IF(AND(BW41&lt;&gt;"",BX41&lt;&gt;""),ABS(BW41-BX41)/ABS(BW41)*100,""),"")</f>
        <v/>
      </c>
      <c r="BZ41" s="69" t="inlineStr">
        <is>
          <t>Claude</t>
        </is>
      </c>
      <c r="CA41" s="67" t="n">
        <v>1.66</v>
      </c>
      <c r="CB41" s="67" t="n">
        <v>1.66</v>
      </c>
      <c r="CC41" s="71">
        <f>IFERROR(IF(AND(CA41&lt;&gt;"",CB41&lt;&gt;""),ABS(CA41-CB41)/ABS(CA41)*100,""),"")</f>
        <v/>
      </c>
      <c r="CD41" s="69" t="inlineStr">
        <is>
          <t>Claude</t>
        </is>
      </c>
      <c r="CE41" s="67" t="n">
        <v>27.6</v>
      </c>
      <c r="CF41" s="67" t="n">
        <v>27.6</v>
      </c>
      <c r="CG41" s="71">
        <f>IFERROR(IF(AND(CE41&lt;&gt;"",CF41&lt;&gt;""),ABS(CE41-CF41)/ABS(CE41)*100,""),"")</f>
        <v/>
      </c>
      <c r="CH41" s="69" t="inlineStr">
        <is>
          <t>Claude</t>
        </is>
      </c>
      <c r="CI41" s="67" t="n">
        <v>1</v>
      </c>
      <c r="CJ41" s="67" t="n"/>
      <c r="CK41" s="71">
        <f>IFERROR(IF(AND(CI41&lt;&gt;"",CJ41&lt;&gt;""),ABS(CI41-CJ41)/ABS(CI41)*100,""),"")</f>
        <v/>
      </c>
      <c r="CL41" s="69" t="inlineStr">
        <is>
          <t>Claude</t>
        </is>
      </c>
      <c r="CM41" s="67" t="n"/>
      <c r="CN41" s="67" t="n"/>
      <c r="CO41" s="71">
        <f>IFERROR(IF(AND(CM41&lt;&gt;"",CN41&lt;&gt;""),ABS(CM41-CN41)/ABS(CM41)*100,""),"")</f>
        <v/>
      </c>
      <c r="CP41" s="69" t="inlineStr">
        <is>
          <t>ND</t>
        </is>
      </c>
      <c r="CQ41" s="67" t="n">
        <v>1.06</v>
      </c>
      <c r="CR41" s="67" t="n">
        <v>1.06</v>
      </c>
      <c r="CS41" s="71">
        <f>IFERROR(IF(AND(CQ41&lt;&gt;"",CR41&lt;&gt;""),ABS(CQ41-CR41)/ABS(CQ41)*100,""),"")</f>
        <v/>
      </c>
      <c r="CT41" s="69" t="inlineStr">
        <is>
          <t>Claude</t>
        </is>
      </c>
      <c r="CU41" s="67" t="n">
        <v>0</v>
      </c>
      <c r="CV41" s="67" t="n">
        <v>0</v>
      </c>
      <c r="CW41" s="71">
        <f>IFERROR(IF(AND(CU41&lt;&gt;"",CV41&lt;&gt;""),ABS(CU41-CV41)/ABS(CU41)*100,""),"")</f>
        <v/>
      </c>
      <c r="CX41" s="69" t="inlineStr">
        <is>
          <t>Claude</t>
        </is>
      </c>
      <c r="CY41" s="68" t="n"/>
      <c r="CZ41" s="68" t="n"/>
      <c r="DA41" s="71">
        <f>IFERROR(IF(AND(CY41&lt;&gt;"",CZ41&lt;&gt;""),ABS(CY41-CZ41)/ABS(CY41)*100,""),"")</f>
        <v/>
      </c>
      <c r="DB41" s="69" t="inlineStr">
        <is>
          <t>ND</t>
        </is>
      </c>
      <c r="DC41" s="68" t="n"/>
      <c r="DD41" s="68" t="n">
        <v>8</v>
      </c>
      <c r="DE41" s="71">
        <f>IFERROR(IF(AND(DC41&lt;&gt;"",DD41&lt;&gt;""),ABS(DC41-DD41)/ABS(DC41)*100,""),"")</f>
        <v/>
      </c>
      <c r="DF41" s="69" t="inlineStr">
        <is>
          <t>DeepSeek</t>
        </is>
      </c>
      <c r="DG41" s="68" t="n"/>
      <c r="DH41" s="68" t="n"/>
      <c r="DI41" s="71">
        <f>IFERROR(IF(AND(DG41&lt;&gt;"",DH41&lt;&gt;""),ABS(DG41-DH41)/ABS(DG41)*100,""),"")</f>
        <v/>
      </c>
      <c r="DJ41" s="69" t="inlineStr">
        <is>
          <t>ND</t>
        </is>
      </c>
      <c r="DK41" s="68" t="n"/>
      <c r="DL41" s="68" t="n"/>
      <c r="DM41" s="71">
        <f>IFERROR(IF(AND(DK41&lt;&gt;"",DL41&lt;&gt;""),ABS(DK41-DL41)/ABS(DK41)*100,""),"")</f>
        <v/>
      </c>
      <c r="DN41" s="69" t="inlineStr">
        <is>
          <t>ND</t>
        </is>
      </c>
      <c r="DO41" s="68" t="n"/>
      <c r="DP41" s="68" t="n"/>
      <c r="DQ41" s="71">
        <f>IFERROR(IF(AND(DO41&lt;&gt;"",DP41&lt;&gt;""),ABS(DO41-DP41)/ABS(DO41)*100,""),"")</f>
        <v/>
      </c>
      <c r="DR41" s="69" t="inlineStr">
        <is>
          <t>ND</t>
        </is>
      </c>
      <c r="DS41" s="68" t="n"/>
      <c r="DT41" s="68" t="n"/>
      <c r="DU41" s="71">
        <f>IFERROR(IF(AND(DS41&lt;&gt;"",DT41&lt;&gt;""),ABS(DS41-DT41)/ABS(DS41)*100,""),"")</f>
        <v/>
      </c>
      <c r="DV41" s="69" t="inlineStr">
        <is>
          <t>ND</t>
        </is>
      </c>
      <c r="DW41" s="70" t="inlineStr">
        <is>
          <t>Claude only (DeepSeek pending). Ind.7/8 recalculated: %Disabled=22/479 total domestic employees=4.593%; %Foreign=26/479=5.428% (matches source's own disclosed 'Ratio' figures of 4.6%/5.4%, good cross-check). Ind.1/3: source distinguishes narrow 'Contract workers' sub-row (32 persons) from broader 'Non-regular employees' total (59, incl. Interns) - used the narrower Contract-workers figure per indicator definition; flagging since conflating the two is an easy error. Ind.9 (Female Middle Managers)=ND: no comparable KPI figure disclosed for 2023 (only 2025 has one); a calculated alternative exists (57.58%) but is unreconciled with the report's own 2025 KPI methodology, not used. Ind.15 (Training Hours)=ND: report's own footnote states 'data collected from 2024' - explained gap, not a missed extraction. Ind.16/17: used 'took parental leave' row, not 'entitled to leave' row (source flags these are easy to conflate). Ind.21=1.0, PROXY (residual calc, no confirmed involuntary-turnover methodology in source). Ind.12/13/14 carry a scope caveat: training/wage numerator may be consolidated-group basis while denominator (headcount) is domestic-only. || DEEPSEEK RECONCILIATION - MANUAL FLAGS: Ind.1 (Contract Workers%): Claude=6.68, DeepSeek=12.32, Diff=84.4%; Ind.16 (Parental Leave F): Claude=9, DeepSeek=6, Diff=33.3%; Ind.17 (Parental Leave M): Claude=0, DeepSeek=3, Diff=999999.0%</t>
        </is>
      </c>
    </row>
    <row r="42" ht="15.75" customHeight="1" s="43">
      <c r="A42" s="62" t="n"/>
      <c r="B42" s="62" t="n"/>
      <c r="C42" s="62" t="inlineStr">
        <is>
          <t>Consumer Staples</t>
        </is>
      </c>
      <c r="D42" s="62" t="inlineStr">
        <is>
          <t>2024</t>
        </is>
      </c>
      <c r="E42" s="63" t="inlineStr">
        <is>
          <t>apr_2025.pdf</t>
        </is>
      </c>
      <c r="F42" s="62" t="n"/>
      <c r="G42" s="64" t="n">
        <v>0.8100000000000001</v>
      </c>
      <c r="H42" s="64" t="n">
        <v>14.54</v>
      </c>
      <c r="I42" s="65">
        <f>IFERROR(IF(AND(G42&lt;&gt;"",H42&lt;&gt;""),ABS(G42-H42)/ABS(G42)*100,""),"")</f>
        <v/>
      </c>
      <c r="J42" s="66" t="inlineStr">
        <is>
          <t>MANUAL FLAG</t>
        </is>
      </c>
      <c r="K42" s="67" t="n"/>
      <c r="L42" s="67" t="n">
        <v>72.78</v>
      </c>
      <c r="M42" s="65">
        <f>IFERROR(IF(AND(K42&lt;&gt;"",L42&lt;&gt;""),ABS(K42-L42)/ABS(K42)*100,""),"")</f>
        <v/>
      </c>
      <c r="N42" s="62" t="inlineStr">
        <is>
          <t>DeepSeek</t>
        </is>
      </c>
      <c r="O42" s="64" t="n">
        <v>80</v>
      </c>
      <c r="P42" s="64" t="n">
        <v>100</v>
      </c>
      <c r="Q42" s="65">
        <f>IFERROR(IF(AND(O42&lt;&gt;"",P42&lt;&gt;""),ABS(O42-P42)/ABS(O42)*100,""),"")</f>
        <v/>
      </c>
      <c r="R42" s="66" t="inlineStr">
        <is>
          <t>MANUAL FLAG</t>
        </is>
      </c>
      <c r="S42" s="67" t="n">
        <v>64.09999999999999</v>
      </c>
      <c r="T42" s="67" t="n">
        <v>64.09999999999999</v>
      </c>
      <c r="U42" s="65">
        <f>IFERROR(IF(AND(S42&lt;&gt;"",T42&lt;&gt;""),ABS(S42-T42)/ABS(S42)*100,""),"")</f>
        <v/>
      </c>
      <c r="V42" s="62" t="inlineStr">
        <is>
          <t>Claude</t>
        </is>
      </c>
      <c r="W42" s="67" t="n"/>
      <c r="X42" s="67" t="n"/>
      <c r="Y42" s="65">
        <f>IFERROR(IF(AND(W42&lt;&gt;"",X42&lt;&gt;""),ABS(W42-X42)/ABS(W42)*100,""),"")</f>
        <v/>
      </c>
      <c r="Z42" s="62" t="inlineStr">
        <is>
          <t>ND</t>
        </is>
      </c>
      <c r="AA42" s="67" t="n">
        <v>61</v>
      </c>
      <c r="AB42" s="67" t="n">
        <v>61</v>
      </c>
      <c r="AC42" s="65">
        <f>IFERROR(IF(AND(AA42&lt;&gt;"",AB42&lt;&gt;""),ABS(AA42-AB42)/ABS(AA42)*100,""),"")</f>
        <v/>
      </c>
      <c r="AD42" s="62" t="inlineStr">
        <is>
          <t>Claude</t>
        </is>
      </c>
      <c r="AE42" s="64" t="n">
        <v>4.523</v>
      </c>
      <c r="AF42" s="64" t="n">
        <v>3.554</v>
      </c>
      <c r="AG42" s="65">
        <f>IFERROR(IF(AND(AE42&lt;&gt;"",AF42&lt;&gt;""),ABS(AE42-AF42)/ABS(AE42)*100,""),"")</f>
        <v/>
      </c>
      <c r="AH42" s="66" t="inlineStr">
        <is>
          <t>MANUAL FLAG</t>
        </is>
      </c>
      <c r="AI42" s="67" t="n">
        <v>5.17</v>
      </c>
      <c r="AJ42" s="67" t="n">
        <v>5.17</v>
      </c>
      <c r="AK42" s="65">
        <f>IFERROR(IF(AND(AI42&lt;&gt;"",AJ42&lt;&gt;""),ABS(AI42-AJ42)/ABS(AI42)*100,""),"")</f>
        <v/>
      </c>
      <c r="AL42" s="62" t="inlineStr">
        <is>
          <t>Claude</t>
        </is>
      </c>
      <c r="AM42" s="67" t="n"/>
      <c r="AN42" s="67" t="n"/>
      <c r="AO42" s="65">
        <f>IFERROR(IF(AND(AM42&lt;&gt;"",AN42&lt;&gt;""),ABS(AM42-AN42)/ABS(AM42)*100,""),"")</f>
        <v/>
      </c>
      <c r="AP42" s="62" t="inlineStr">
        <is>
          <t>ND</t>
        </is>
      </c>
      <c r="AQ42" s="67" t="n">
        <v>28.57</v>
      </c>
      <c r="AR42" s="67" t="n"/>
      <c r="AS42" s="65">
        <f>IFERROR(IF(AND(AQ42&lt;&gt;"",AR42&lt;&gt;""),ABS(AQ42-AR42)/ABS(AQ42)*100,""),"")</f>
        <v/>
      </c>
      <c r="AT42" s="62" t="inlineStr">
        <is>
          <t>Claude</t>
        </is>
      </c>
      <c r="AU42" s="67" t="n">
        <v>20</v>
      </c>
      <c r="AV42" s="67" t="n">
        <v>20</v>
      </c>
      <c r="AW42" s="65">
        <f>IFERROR(IF(AND(AU42&lt;&gt;"",AV42&lt;&gt;""),ABS(AU42-AV42)/ABS(AU42)*100,""),"")</f>
        <v/>
      </c>
      <c r="AX42" s="62" t="inlineStr">
        <is>
          <t>Claude</t>
        </is>
      </c>
      <c r="AY42" s="67" t="n">
        <v>65255250</v>
      </c>
      <c r="AZ42" s="67" t="n">
        <v>65250000</v>
      </c>
      <c r="BA42" s="65">
        <f>IFERROR(IF(AND(AY42&lt;&gt;"",AZ42&lt;&gt;""),ABS(AY42-AZ42)/ABS(AY42)*100,""),"")</f>
        <v/>
      </c>
      <c r="BB42" s="62" t="inlineStr">
        <is>
          <t>Claude</t>
        </is>
      </c>
      <c r="BC42" s="67" t="n">
        <v>36.59</v>
      </c>
      <c r="BD42" s="67" t="n">
        <v>36.59</v>
      </c>
      <c r="BE42" s="65">
        <f>IFERROR(IF(AND(BC42&lt;&gt;"",BD42&lt;&gt;""),ABS(BC42-BD42)/ABS(BC42)*100,""),"")</f>
        <v/>
      </c>
      <c r="BF42" s="62" t="inlineStr">
        <is>
          <t>Claude</t>
        </is>
      </c>
      <c r="BG42" s="67" t="n">
        <v>601292</v>
      </c>
      <c r="BH42" s="67" t="n">
        <v>601000</v>
      </c>
      <c r="BI42" s="65">
        <f>IFERROR(IF(AND(BG42&lt;&gt;"",BH42&lt;&gt;""),ABS(BG42-BH42)/ABS(BG42)*100,""),"")</f>
        <v/>
      </c>
      <c r="BJ42" s="62" t="inlineStr">
        <is>
          <t>Claude</t>
        </is>
      </c>
      <c r="BK42" s="67" t="n">
        <v>3.5</v>
      </c>
      <c r="BL42" s="67" t="n">
        <v>3.5</v>
      </c>
      <c r="BM42" s="65">
        <f>IFERROR(IF(AND(BK42&lt;&gt;"",BL42&lt;&gt;""),ABS(BK42-BL42)/ABS(BK42)*100,""),"")</f>
        <v/>
      </c>
      <c r="BN42" s="62" t="inlineStr">
        <is>
          <t>Claude</t>
        </is>
      </c>
      <c r="BO42" s="64" t="n">
        <v>14</v>
      </c>
      <c r="BP42" s="64" t="n">
        <v>8</v>
      </c>
      <c r="BQ42" s="65">
        <f>IFERROR(IF(AND(BO42&lt;&gt;"",BP42&lt;&gt;""),ABS(BO42-BP42)/ABS(BO42)*100,""),"")</f>
        <v/>
      </c>
      <c r="BR42" s="66" t="inlineStr">
        <is>
          <t>MANUAL FLAG</t>
        </is>
      </c>
      <c r="BS42" s="64" t="n">
        <v>0</v>
      </c>
      <c r="BT42" s="64" t="n">
        <v>4</v>
      </c>
      <c r="BU42" s="65">
        <f>IFERROR(IF(AND(BS42&lt;&gt;"",BT42&lt;&gt;""),ABS(BS42-BT42)/ABS(BS42)*100,""),"")</f>
        <v/>
      </c>
      <c r="BV42" s="66" t="inlineStr">
        <is>
          <t>MANUAL FLAG</t>
        </is>
      </c>
      <c r="BW42" s="67" t="n">
        <v>100</v>
      </c>
      <c r="BX42" s="67" t="n">
        <v>100</v>
      </c>
      <c r="BY42" s="65">
        <f>IFERROR(IF(AND(BW42&lt;&gt;"",BX42&lt;&gt;""),ABS(BW42-BX42)/ABS(BW42)*100,""),"")</f>
        <v/>
      </c>
      <c r="BZ42" s="62" t="inlineStr">
        <is>
          <t>Claude</t>
        </is>
      </c>
      <c r="CA42" s="67" t="n">
        <v>1.87</v>
      </c>
      <c r="CB42" s="67" t="n">
        <v>1.87</v>
      </c>
      <c r="CC42" s="65">
        <f>IFERROR(IF(AND(CA42&lt;&gt;"",CB42&lt;&gt;""),ABS(CA42-CB42)/ABS(CA42)*100,""),"")</f>
        <v/>
      </c>
      <c r="CD42" s="62" t="inlineStr">
        <is>
          <t>Claude</t>
        </is>
      </c>
      <c r="CE42" s="67" t="n">
        <v>25.9</v>
      </c>
      <c r="CF42" s="67" t="n">
        <v>25.9</v>
      </c>
      <c r="CG42" s="65">
        <f>IFERROR(IF(AND(CE42&lt;&gt;"",CF42&lt;&gt;""),ABS(CE42-CF42)/ABS(CE42)*100,""),"")</f>
        <v/>
      </c>
      <c r="CH42" s="62" t="inlineStr">
        <is>
          <t>Claude</t>
        </is>
      </c>
      <c r="CI42" s="67" t="n">
        <v>0.6</v>
      </c>
      <c r="CJ42" s="67" t="n"/>
      <c r="CK42" s="65">
        <f>IFERROR(IF(AND(CI42&lt;&gt;"",CJ42&lt;&gt;""),ABS(CI42-CJ42)/ABS(CI42)*100,""),"")</f>
        <v/>
      </c>
      <c r="CL42" s="62" t="inlineStr">
        <is>
          <t>Claude</t>
        </is>
      </c>
      <c r="CM42" s="67" t="n"/>
      <c r="CN42" s="67" t="n"/>
      <c r="CO42" s="65">
        <f>IFERROR(IF(AND(CM42&lt;&gt;"",CN42&lt;&gt;""),ABS(CM42-CN42)/ABS(CM42)*100,""),"")</f>
        <v/>
      </c>
      <c r="CP42" s="62" t="inlineStr">
        <is>
          <t>ND</t>
        </is>
      </c>
      <c r="CQ42" s="67" t="n">
        <v>0</v>
      </c>
      <c r="CR42" s="67" t="n">
        <v>0</v>
      </c>
      <c r="CS42" s="65">
        <f>IFERROR(IF(AND(CQ42&lt;&gt;"",CR42&lt;&gt;""),ABS(CQ42-CR42)/ABS(CQ42)*100,""),"")</f>
        <v/>
      </c>
      <c r="CT42" s="62" t="inlineStr">
        <is>
          <t>Claude</t>
        </is>
      </c>
      <c r="CU42" s="67" t="n">
        <v>0</v>
      </c>
      <c r="CV42" s="67" t="n">
        <v>0</v>
      </c>
      <c r="CW42" s="65">
        <f>IFERROR(IF(AND(CU42&lt;&gt;"",CV42&lt;&gt;""),ABS(CU42-CV42)/ABS(CU42)*100,""),"")</f>
        <v/>
      </c>
      <c r="CX42" s="62" t="inlineStr">
        <is>
          <t>Claude</t>
        </is>
      </c>
      <c r="CY42" s="68" t="n"/>
      <c r="CZ42" s="68" t="n"/>
      <c r="DA42" s="65">
        <f>IFERROR(IF(AND(CY42&lt;&gt;"",CZ42&lt;&gt;""),ABS(CY42-CZ42)/ABS(CY42)*100,""),"")</f>
        <v/>
      </c>
      <c r="DB42" s="62" t="inlineStr">
        <is>
          <t>ND</t>
        </is>
      </c>
      <c r="DC42" s="68" t="n"/>
      <c r="DD42" s="68" t="n">
        <v>8</v>
      </c>
      <c r="DE42" s="65">
        <f>IFERROR(IF(AND(DC42&lt;&gt;"",DD42&lt;&gt;""),ABS(DC42-DD42)/ABS(DC42)*100,""),"")</f>
        <v/>
      </c>
      <c r="DF42" s="62" t="inlineStr">
        <is>
          <t>DeepSeek</t>
        </is>
      </c>
      <c r="DG42" s="68" t="n"/>
      <c r="DH42" s="68" t="n"/>
      <c r="DI42" s="65">
        <f>IFERROR(IF(AND(DG42&lt;&gt;"",DH42&lt;&gt;""),ABS(DG42-DH42)/ABS(DG42)*100,""),"")</f>
        <v/>
      </c>
      <c r="DJ42" s="62" t="inlineStr">
        <is>
          <t>ND</t>
        </is>
      </c>
      <c r="DK42" s="68" t="n"/>
      <c r="DL42" s="68" t="n"/>
      <c r="DM42" s="65">
        <f>IFERROR(IF(AND(DK42&lt;&gt;"",DL42&lt;&gt;""),ABS(DK42-DL42)/ABS(DK42)*100,""),"")</f>
        <v/>
      </c>
      <c r="DN42" s="62" t="inlineStr">
        <is>
          <t>ND</t>
        </is>
      </c>
      <c r="DO42" s="68" t="n"/>
      <c r="DP42" s="68" t="n"/>
      <c r="DQ42" s="65">
        <f>IFERROR(IF(AND(DO42&lt;&gt;"",DP42&lt;&gt;""),ABS(DO42-DP42)/ABS(DO42)*100,""),"")</f>
        <v/>
      </c>
      <c r="DR42" s="62" t="inlineStr">
        <is>
          <t>ND</t>
        </is>
      </c>
      <c r="DS42" s="68" t="n"/>
      <c r="DT42" s="68" t="n"/>
      <c r="DU42" s="65">
        <f>IFERROR(IF(AND(DS42&lt;&gt;"",DT42&lt;&gt;""),ABS(DS42-DT42)/ABS(DS42)*100,""),"")</f>
        <v/>
      </c>
      <c r="DV42" s="62" t="inlineStr">
        <is>
          <t>ND</t>
        </is>
      </c>
      <c r="DW42" s="63" t="inlineStr">
        <is>
          <t>Claude only (DeepSeek pending). Ind.7/8 recalculated: %Disabled=28/619=4.524%; %Foreign=32/619=5.170% (matches source's disclosed 4.5%/5.2%). Ind.9=ND: no comparable KPI figure for 2024 (only 2025 has the 'Female manager Ratio' KPI); calculated alternative (36.21%) unreconciled, not used. Ind.21=0.6, PROXY (residual calc). Same Ind.12/13/14 scope caveat as 2023. NOTE: report also discloses 2025 data (outside your sheet's 2018-2024 range) - flagging in case you want to extend the Master Dataset to include it. || DEEPSEEK RECONCILIATION - MANUAL FLAGS: Ind.1 (Contract Workers%): Claude=0.81, DeepSeek=14.54, Diff=1695.1%; Ind.3 (Female Contract%): Claude=80, DeepSeek=100.0, Diff=25.0%; Ind.7 (%Disabled): Claude=4.523, DeepSeek=3.554, Diff=21.4%; Ind.16 (Parental Leave F): Claude=14, DeepSeek=8, Diff=42.9%; Ind.17 (Parental Leave M): Claude=0, DeepSeek=4, Diff=999999.0%</t>
        </is>
      </c>
    </row>
    <row r="43" ht="4.5" customHeight="1" s="43">
      <c r="A43" s="72" t="n"/>
      <c r="B43" s="72" t="n"/>
      <c r="C43" s="72" t="n"/>
      <c r="D43" s="72" t="n"/>
      <c r="E43" s="72" t="n"/>
      <c r="F43" s="72" t="n"/>
      <c r="G43" s="72" t="n"/>
      <c r="H43" s="72" t="n"/>
      <c r="I43" s="72" t="n"/>
      <c r="J43" s="72" t="n"/>
      <c r="K43" s="72" t="n"/>
      <c r="L43" s="72" t="n"/>
      <c r="M43" s="72" t="n"/>
      <c r="N43" s="72" t="n"/>
      <c r="O43" s="72" t="n"/>
      <c r="P43" s="72" t="n"/>
      <c r="Q43" s="72" t="n"/>
      <c r="R43" s="72" t="n"/>
      <c r="S43" s="72" t="n"/>
      <c r="T43" s="72" t="n"/>
      <c r="U43" s="72" t="n"/>
      <c r="V43" s="72" t="n"/>
      <c r="W43" s="72" t="n"/>
      <c r="X43" s="72" t="n"/>
      <c r="Y43" s="72" t="n"/>
      <c r="Z43" s="72" t="n"/>
      <c r="AA43" s="72" t="n"/>
      <c r="AB43" s="72" t="n"/>
      <c r="AC43" s="72" t="n"/>
      <c r="AD43" s="72" t="n"/>
      <c r="AE43" s="72" t="n"/>
      <c r="AF43" s="72" t="n"/>
      <c r="AG43" s="72" t="n"/>
      <c r="AH43" s="72" t="n"/>
      <c r="AI43" s="72" t="n"/>
      <c r="AJ43" s="72" t="n"/>
      <c r="AK43" s="72" t="n"/>
      <c r="AL43" s="72" t="n"/>
      <c r="AM43" s="72" t="n"/>
      <c r="AN43" s="72" t="n"/>
      <c r="AO43" s="72" t="n"/>
      <c r="AP43" s="72" t="n"/>
      <c r="AQ43" s="72" t="n"/>
      <c r="AR43" s="72" t="n"/>
      <c r="AS43" s="72" t="n"/>
      <c r="AT43" s="72" t="n"/>
      <c r="AU43" s="72" t="n"/>
      <c r="AV43" s="72" t="n"/>
      <c r="AW43" s="72" t="n"/>
      <c r="AX43" s="72" t="n"/>
      <c r="AY43" s="72" t="n"/>
      <c r="AZ43" s="72" t="n"/>
      <c r="BA43" s="72" t="n"/>
      <c r="BB43" s="72" t="n"/>
      <c r="BC43" s="72" t="n"/>
      <c r="BD43" s="72" t="n"/>
      <c r="BE43" s="72" t="n"/>
      <c r="BF43" s="72" t="n"/>
      <c r="BG43" s="72" t="n"/>
      <c r="BH43" s="72" t="n"/>
      <c r="BI43" s="72" t="n"/>
      <c r="BJ43" s="72" t="n"/>
      <c r="BK43" s="72" t="n"/>
      <c r="BL43" s="72" t="n"/>
      <c r="BM43" s="72" t="n"/>
      <c r="BN43" s="72" t="n"/>
      <c r="BO43" s="72" t="n"/>
      <c r="BP43" s="72" t="n"/>
      <c r="BQ43" s="72" t="n"/>
      <c r="BR43" s="72" t="n"/>
      <c r="BS43" s="72" t="n"/>
      <c r="BT43" s="72" t="n"/>
      <c r="BU43" s="72" t="n"/>
      <c r="BV43" s="72" t="n"/>
      <c r="BW43" s="72" t="n"/>
      <c r="BX43" s="72" t="n"/>
      <c r="BY43" s="72" t="n"/>
      <c r="BZ43" s="72" t="n"/>
      <c r="CA43" s="72" t="n"/>
      <c r="CB43" s="72" t="n"/>
      <c r="CC43" s="72" t="n"/>
      <c r="CD43" s="72" t="n"/>
      <c r="CE43" s="72" t="n"/>
      <c r="CF43" s="72" t="n"/>
      <c r="CG43" s="72" t="n"/>
      <c r="CH43" s="72" t="n"/>
      <c r="CI43" s="72" t="n"/>
      <c r="CJ43" s="72" t="n"/>
      <c r="CK43" s="72" t="n"/>
      <c r="CL43" s="72" t="n"/>
      <c r="CM43" s="72" t="n"/>
      <c r="CN43" s="72" t="n"/>
      <c r="CO43" s="72" t="n"/>
      <c r="CP43" s="72" t="n"/>
      <c r="CQ43" s="72" t="n"/>
      <c r="CR43" s="72" t="n"/>
      <c r="CS43" s="72" t="n"/>
      <c r="CT43" s="72" t="n"/>
      <c r="CU43" s="72" t="n"/>
      <c r="CV43" s="72" t="n"/>
      <c r="CW43" s="72" t="n"/>
      <c r="CX43" s="72" t="n"/>
      <c r="CY43" s="72" t="n"/>
      <c r="CZ43" s="72" t="n"/>
      <c r="DA43" s="72" t="n"/>
      <c r="DB43" s="72" t="n"/>
      <c r="DC43" s="72" t="n"/>
      <c r="DD43" s="72" t="n"/>
      <c r="DE43" s="72" t="n"/>
      <c r="DF43" s="72" t="n"/>
      <c r="DG43" s="72" t="n"/>
      <c r="DH43" s="72" t="n"/>
      <c r="DI43" s="72" t="n"/>
      <c r="DJ43" s="72" t="n"/>
      <c r="DK43" s="72" t="n"/>
      <c r="DL43" s="72" t="n"/>
      <c r="DM43" s="72" t="n"/>
      <c r="DN43" s="72" t="n"/>
      <c r="DO43" s="72" t="n"/>
      <c r="DP43" s="72" t="n"/>
      <c r="DQ43" s="72" t="n"/>
      <c r="DR43" s="72" t="n"/>
      <c r="DS43" s="72" t="n"/>
      <c r="DT43" s="72" t="n"/>
      <c r="DU43" s="72" t="n"/>
      <c r="DV43" s="72" t="n"/>
      <c r="DW43" s="72" t="n"/>
    </row>
    <row r="44" ht="15.75" customHeight="1" s="43">
      <c r="A44" s="73" t="inlineStr">
        <is>
          <t>SAMYANGFOODS</t>
        </is>
      </c>
      <c r="B44" s="69" t="inlineStr">
        <is>
          <t>003230</t>
        </is>
      </c>
      <c r="C44" s="69" t="inlineStr">
        <is>
          <t>Consumer Staples</t>
        </is>
      </c>
      <c r="D44" s="69" t="inlineStr">
        <is>
          <t>2018</t>
        </is>
      </c>
      <c r="E44" s="70" t="inlineStr">
        <is>
          <t>No data - outside disclosed window in both reports</t>
        </is>
      </c>
      <c r="F44" s="69" t="n"/>
      <c r="G44" s="67" t="n"/>
      <c r="H44" s="67" t="n"/>
      <c r="I44" s="71">
        <f>IFERROR(IF(AND(G44&lt;&gt;"",H44&lt;&gt;""),ABS(G44-H44)/ABS(G44)*100,""),"")</f>
        <v/>
      </c>
      <c r="J44" s="69" t="inlineStr">
        <is>
          <t>ND</t>
        </is>
      </c>
      <c r="K44" s="67" t="n"/>
      <c r="L44" s="67" t="n"/>
      <c r="M44" s="71">
        <f>IFERROR(IF(AND(K44&lt;&gt;"",L44&lt;&gt;""),ABS(K44-L44)/ABS(K44)*100,""),"")</f>
        <v/>
      </c>
      <c r="N44" s="69" t="inlineStr">
        <is>
          <t>ND</t>
        </is>
      </c>
      <c r="O44" s="67" t="n"/>
      <c r="P44" s="67" t="n"/>
      <c r="Q44" s="71">
        <f>IFERROR(IF(AND(O44&lt;&gt;"",P44&lt;&gt;""),ABS(O44-P44)/ABS(O44)*100,""),"")</f>
        <v/>
      </c>
      <c r="R44" s="69" t="inlineStr">
        <is>
          <t>ND</t>
        </is>
      </c>
      <c r="S44" s="67" t="n"/>
      <c r="T44" s="67" t="n"/>
      <c r="U44" s="71">
        <f>IFERROR(IF(AND(S44&lt;&gt;"",T44&lt;&gt;""),ABS(S44-T44)/ABS(S44)*100,""),"")</f>
        <v/>
      </c>
      <c r="V44" s="69" t="inlineStr">
        <is>
          <t>ND</t>
        </is>
      </c>
      <c r="W44" s="67" t="n"/>
      <c r="X44" s="67" t="n"/>
      <c r="Y44" s="71">
        <f>IFERROR(IF(AND(W44&lt;&gt;"",X44&lt;&gt;""),ABS(W44-X44)/ABS(W44)*100,""),"")</f>
        <v/>
      </c>
      <c r="Z44" s="69" t="inlineStr">
        <is>
          <t>ND</t>
        </is>
      </c>
      <c r="AA44" s="67" t="n"/>
      <c r="AB44" s="67" t="n"/>
      <c r="AC44" s="71">
        <f>IFERROR(IF(AND(AA44&lt;&gt;"",AB44&lt;&gt;""),ABS(AA44-AB44)/ABS(AA44)*100,""),"")</f>
        <v/>
      </c>
      <c r="AD44" s="69" t="inlineStr">
        <is>
          <t>ND</t>
        </is>
      </c>
      <c r="AE44" s="67" t="n"/>
      <c r="AF44" s="67" t="n"/>
      <c r="AG44" s="71">
        <f>IFERROR(IF(AND(AE44&lt;&gt;"",AF44&lt;&gt;""),ABS(AE44-AF44)/ABS(AE44)*100,""),"")</f>
        <v/>
      </c>
      <c r="AH44" s="69" t="inlineStr">
        <is>
          <t>ND</t>
        </is>
      </c>
      <c r="AI44" s="67" t="n"/>
      <c r="AJ44" s="67" t="n"/>
      <c r="AK44" s="71">
        <f>IFERROR(IF(AND(AI44&lt;&gt;"",AJ44&lt;&gt;""),ABS(AI44-AJ44)/ABS(AI44)*100,""),"")</f>
        <v/>
      </c>
      <c r="AL44" s="69" t="inlineStr">
        <is>
          <t>ND</t>
        </is>
      </c>
      <c r="AM44" s="67" t="n"/>
      <c r="AN44" s="67" t="n"/>
      <c r="AO44" s="71">
        <f>IFERROR(IF(AND(AM44&lt;&gt;"",AN44&lt;&gt;""),ABS(AM44-AN44)/ABS(AM44)*100,""),"")</f>
        <v/>
      </c>
      <c r="AP44" s="69" t="inlineStr">
        <is>
          <t>ND</t>
        </is>
      </c>
      <c r="AQ44" s="67" t="n"/>
      <c r="AR44" s="67" t="n"/>
      <c r="AS44" s="71">
        <f>IFERROR(IF(AND(AQ44&lt;&gt;"",AR44&lt;&gt;""),ABS(AQ44-AR44)/ABS(AQ44)*100,""),"")</f>
        <v/>
      </c>
      <c r="AT44" s="69" t="inlineStr">
        <is>
          <t>ND</t>
        </is>
      </c>
      <c r="AU44" s="67" t="n"/>
      <c r="AV44" s="67" t="n"/>
      <c r="AW44" s="71">
        <f>IFERROR(IF(AND(AU44&lt;&gt;"",AV44&lt;&gt;""),ABS(AU44-AV44)/ABS(AU44)*100,""),"")</f>
        <v/>
      </c>
      <c r="AX44" s="69" t="inlineStr">
        <is>
          <t>ND</t>
        </is>
      </c>
      <c r="AY44" s="67" t="n"/>
      <c r="AZ44" s="67" t="n"/>
      <c r="BA44" s="71">
        <f>IFERROR(IF(AND(AY44&lt;&gt;"",AZ44&lt;&gt;""),ABS(AY44-AZ44)/ABS(AY44)*100,""),"")</f>
        <v/>
      </c>
      <c r="BB44" s="69" t="inlineStr">
        <is>
          <t>ND</t>
        </is>
      </c>
      <c r="BC44" s="67" t="n"/>
      <c r="BD44" s="67" t="n"/>
      <c r="BE44" s="71">
        <f>IFERROR(IF(AND(BC44&lt;&gt;"",BD44&lt;&gt;""),ABS(BC44-BD44)/ABS(BC44)*100,""),"")</f>
        <v/>
      </c>
      <c r="BF44" s="69" t="inlineStr">
        <is>
          <t>ND</t>
        </is>
      </c>
      <c r="BG44" s="67" t="n"/>
      <c r="BH44" s="67" t="n"/>
      <c r="BI44" s="71">
        <f>IFERROR(IF(AND(BG44&lt;&gt;"",BH44&lt;&gt;""),ABS(BG44-BH44)/ABS(BG44)*100,""),"")</f>
        <v/>
      </c>
      <c r="BJ44" s="69" t="inlineStr">
        <is>
          <t>ND</t>
        </is>
      </c>
      <c r="BK44" s="67" t="n"/>
      <c r="BL44" s="67" t="n"/>
      <c r="BM44" s="71">
        <f>IFERROR(IF(AND(BK44&lt;&gt;"",BL44&lt;&gt;""),ABS(BK44-BL44)/ABS(BK44)*100,""),"")</f>
        <v/>
      </c>
      <c r="BN44" s="69" t="inlineStr">
        <is>
          <t>ND</t>
        </is>
      </c>
      <c r="BO44" s="67" t="n"/>
      <c r="BP44" s="67" t="n"/>
      <c r="BQ44" s="71">
        <f>IFERROR(IF(AND(BO44&lt;&gt;"",BP44&lt;&gt;""),ABS(BO44-BP44)/ABS(BO44)*100,""),"")</f>
        <v/>
      </c>
      <c r="BR44" s="69" t="inlineStr">
        <is>
          <t>ND</t>
        </is>
      </c>
      <c r="BS44" s="67" t="n"/>
      <c r="BT44" s="67" t="n"/>
      <c r="BU44" s="71">
        <f>IFERROR(IF(AND(BS44&lt;&gt;"",BT44&lt;&gt;""),ABS(BS44-BT44)/ABS(BS44)*100,""),"")</f>
        <v/>
      </c>
      <c r="BV44" s="69" t="inlineStr">
        <is>
          <t>ND</t>
        </is>
      </c>
      <c r="BW44" s="67" t="n"/>
      <c r="BX44" s="67" t="n"/>
      <c r="BY44" s="71">
        <f>IFERROR(IF(AND(BW44&lt;&gt;"",BX44&lt;&gt;""),ABS(BW44-BX44)/ABS(BW44)*100,""),"")</f>
        <v/>
      </c>
      <c r="BZ44" s="69" t="inlineStr">
        <is>
          <t>ND</t>
        </is>
      </c>
      <c r="CA44" s="67" t="n"/>
      <c r="CB44" s="67" t="n"/>
      <c r="CC44" s="71">
        <f>IFERROR(IF(AND(CA44&lt;&gt;"",CB44&lt;&gt;""),ABS(CA44-CB44)/ABS(CA44)*100,""),"")</f>
        <v/>
      </c>
      <c r="CD44" s="69" t="inlineStr">
        <is>
          <t>ND</t>
        </is>
      </c>
      <c r="CE44" s="67" t="n"/>
      <c r="CF44" s="67" t="n"/>
      <c r="CG44" s="71">
        <f>IFERROR(IF(AND(CE44&lt;&gt;"",CF44&lt;&gt;""),ABS(CE44-CF44)/ABS(CE44)*100,""),"")</f>
        <v/>
      </c>
      <c r="CH44" s="69" t="inlineStr">
        <is>
          <t>ND</t>
        </is>
      </c>
      <c r="CI44" s="67" t="n"/>
      <c r="CJ44" s="67" t="n"/>
      <c r="CK44" s="71">
        <f>IFERROR(IF(AND(CI44&lt;&gt;"",CJ44&lt;&gt;""),ABS(CI44-CJ44)/ABS(CI44)*100,""),"")</f>
        <v/>
      </c>
      <c r="CL44" s="69" t="inlineStr">
        <is>
          <t>ND</t>
        </is>
      </c>
      <c r="CM44" s="67" t="n"/>
      <c r="CN44" s="67" t="n"/>
      <c r="CO44" s="71">
        <f>IFERROR(IF(AND(CM44&lt;&gt;"",CN44&lt;&gt;""),ABS(CM44-CN44)/ABS(CM44)*100,""),"")</f>
        <v/>
      </c>
      <c r="CP44" s="69" t="inlineStr">
        <is>
          <t>ND</t>
        </is>
      </c>
      <c r="CQ44" s="67" t="n"/>
      <c r="CR44" s="67" t="n"/>
      <c r="CS44" s="71">
        <f>IFERROR(IF(AND(CQ44&lt;&gt;"",CR44&lt;&gt;""),ABS(CQ44-CR44)/ABS(CQ44)*100,""),"")</f>
        <v/>
      </c>
      <c r="CT44" s="69" t="inlineStr">
        <is>
          <t>ND</t>
        </is>
      </c>
      <c r="CU44" s="67" t="n"/>
      <c r="CV44" s="67" t="n"/>
      <c r="CW44" s="71">
        <f>IFERROR(IF(AND(CU44&lt;&gt;"",CV44&lt;&gt;""),ABS(CU44-CV44)/ABS(CU44)*100,""),"")</f>
        <v/>
      </c>
      <c r="CX44" s="69" t="inlineStr">
        <is>
          <t>ND</t>
        </is>
      </c>
      <c r="CY44" s="68" t="n"/>
      <c r="CZ44" s="68" t="n"/>
      <c r="DA44" s="71">
        <f>IFERROR(IF(AND(CY44&lt;&gt;"",CZ44&lt;&gt;""),ABS(CY44-CZ44)/ABS(CY44)*100,""),"")</f>
        <v/>
      </c>
      <c r="DB44" s="69" t="inlineStr">
        <is>
          <t>ND</t>
        </is>
      </c>
      <c r="DC44" s="68" t="n"/>
      <c r="DD44" s="68" t="n"/>
      <c r="DE44" s="71">
        <f>IFERROR(IF(AND(DC44&lt;&gt;"",DD44&lt;&gt;""),ABS(DC44-DD44)/ABS(DC44)*100,""),"")</f>
        <v/>
      </c>
      <c r="DF44" s="69" t="inlineStr">
        <is>
          <t>ND</t>
        </is>
      </c>
      <c r="DG44" s="68" t="n"/>
      <c r="DH44" s="68" t="n"/>
      <c r="DI44" s="71">
        <f>IFERROR(IF(AND(DG44&lt;&gt;"",DH44&lt;&gt;""),ABS(DG44-DH44)/ABS(DG44)*100,""),"")</f>
        <v/>
      </c>
      <c r="DJ44" s="69" t="inlineStr">
        <is>
          <t>ND</t>
        </is>
      </c>
      <c r="DK44" s="68" t="n"/>
      <c r="DL44" s="68" t="n"/>
      <c r="DM44" s="71">
        <f>IFERROR(IF(AND(DK44&lt;&gt;"",DL44&lt;&gt;""),ABS(DK44-DL44)/ABS(DK44)*100,""),"")</f>
        <v/>
      </c>
      <c r="DN44" s="69" t="inlineStr">
        <is>
          <t>ND</t>
        </is>
      </c>
      <c r="DO44" s="68" t="n"/>
      <c r="DP44" s="68" t="n"/>
      <c r="DQ44" s="71">
        <f>IFERROR(IF(AND(DO44&lt;&gt;"",DP44&lt;&gt;""),ABS(DO44-DP44)/ABS(DO44)*100,""),"")</f>
        <v/>
      </c>
      <c r="DR44" s="69" t="inlineStr">
        <is>
          <t>ND</t>
        </is>
      </c>
      <c r="DS44" s="68" t="n"/>
      <c r="DT44" s="68" t="n"/>
      <c r="DU44" s="71">
        <f>IFERROR(IF(AND(DS44&lt;&gt;"",DT44&lt;&gt;""),ABS(DS44-DT44)/ABS(DS44)*100,""),"")</f>
        <v/>
      </c>
      <c r="DV44" s="69" t="inlineStr">
        <is>
          <t>ND</t>
        </is>
      </c>
      <c r="DW44" s="70" t="inlineStr">
        <is>
          <t>No data - both reports' disclosed windows start at 2021. ND throughout.</t>
        </is>
      </c>
    </row>
    <row r="45" ht="15.75" customHeight="1" s="43">
      <c r="A45" s="62" t="n"/>
      <c r="B45" s="62" t="n"/>
      <c r="C45" s="62" t="inlineStr">
        <is>
          <t>Consumer Staples</t>
        </is>
      </c>
      <c r="D45" s="62" t="inlineStr">
        <is>
          <t>2019</t>
        </is>
      </c>
      <c r="E45" s="63" t="inlineStr">
        <is>
          <t>No data - outside disclosed window in both reports</t>
        </is>
      </c>
      <c r="F45" s="62" t="n"/>
      <c r="G45" s="67" t="n"/>
      <c r="H45" s="67" t="n"/>
      <c r="I45" s="65">
        <f>IFERROR(IF(AND(G45&lt;&gt;"",H45&lt;&gt;""),ABS(G45-H45)/ABS(G45)*100,""),"")</f>
        <v/>
      </c>
      <c r="J45" s="62" t="inlineStr">
        <is>
          <t>ND</t>
        </is>
      </c>
      <c r="K45" s="67" t="n"/>
      <c r="L45" s="67" t="n"/>
      <c r="M45" s="65">
        <f>IFERROR(IF(AND(K45&lt;&gt;"",L45&lt;&gt;""),ABS(K45-L45)/ABS(K45)*100,""),"")</f>
        <v/>
      </c>
      <c r="N45" s="62" t="inlineStr">
        <is>
          <t>ND</t>
        </is>
      </c>
      <c r="O45" s="67" t="n"/>
      <c r="P45" s="67" t="n"/>
      <c r="Q45" s="65">
        <f>IFERROR(IF(AND(O45&lt;&gt;"",P45&lt;&gt;""),ABS(O45-P45)/ABS(O45)*100,""),"")</f>
        <v/>
      </c>
      <c r="R45" s="62" t="inlineStr">
        <is>
          <t>ND</t>
        </is>
      </c>
      <c r="S45" s="67" t="n"/>
      <c r="T45" s="67" t="n"/>
      <c r="U45" s="65">
        <f>IFERROR(IF(AND(S45&lt;&gt;"",T45&lt;&gt;""),ABS(S45-T45)/ABS(S45)*100,""),"")</f>
        <v/>
      </c>
      <c r="V45" s="62" t="inlineStr">
        <is>
          <t>ND</t>
        </is>
      </c>
      <c r="W45" s="67" t="n"/>
      <c r="X45" s="67" t="n"/>
      <c r="Y45" s="65">
        <f>IFERROR(IF(AND(W45&lt;&gt;"",X45&lt;&gt;""),ABS(W45-X45)/ABS(W45)*100,""),"")</f>
        <v/>
      </c>
      <c r="Z45" s="62" t="inlineStr">
        <is>
          <t>ND</t>
        </is>
      </c>
      <c r="AA45" s="67" t="n"/>
      <c r="AB45" s="67" t="n"/>
      <c r="AC45" s="65">
        <f>IFERROR(IF(AND(AA45&lt;&gt;"",AB45&lt;&gt;""),ABS(AA45-AB45)/ABS(AA45)*100,""),"")</f>
        <v/>
      </c>
      <c r="AD45" s="62" t="inlineStr">
        <is>
          <t>ND</t>
        </is>
      </c>
      <c r="AE45" s="67" t="n"/>
      <c r="AF45" s="67" t="n"/>
      <c r="AG45" s="65">
        <f>IFERROR(IF(AND(AE45&lt;&gt;"",AF45&lt;&gt;""),ABS(AE45-AF45)/ABS(AE45)*100,""),"")</f>
        <v/>
      </c>
      <c r="AH45" s="62" t="inlineStr">
        <is>
          <t>ND</t>
        </is>
      </c>
      <c r="AI45" s="67" t="n"/>
      <c r="AJ45" s="67" t="n"/>
      <c r="AK45" s="65">
        <f>IFERROR(IF(AND(AI45&lt;&gt;"",AJ45&lt;&gt;""),ABS(AI45-AJ45)/ABS(AI45)*100,""),"")</f>
        <v/>
      </c>
      <c r="AL45" s="62" t="inlineStr">
        <is>
          <t>ND</t>
        </is>
      </c>
      <c r="AM45" s="67" t="n"/>
      <c r="AN45" s="67" t="n"/>
      <c r="AO45" s="65">
        <f>IFERROR(IF(AND(AM45&lt;&gt;"",AN45&lt;&gt;""),ABS(AM45-AN45)/ABS(AM45)*100,""),"")</f>
        <v/>
      </c>
      <c r="AP45" s="62" t="inlineStr">
        <is>
          <t>ND</t>
        </is>
      </c>
      <c r="AQ45" s="67" t="n"/>
      <c r="AR45" s="67" t="n"/>
      <c r="AS45" s="65">
        <f>IFERROR(IF(AND(AQ45&lt;&gt;"",AR45&lt;&gt;""),ABS(AQ45-AR45)/ABS(AQ45)*100,""),"")</f>
        <v/>
      </c>
      <c r="AT45" s="62" t="inlineStr">
        <is>
          <t>ND</t>
        </is>
      </c>
      <c r="AU45" s="67" t="n"/>
      <c r="AV45" s="67" t="n"/>
      <c r="AW45" s="65">
        <f>IFERROR(IF(AND(AU45&lt;&gt;"",AV45&lt;&gt;""),ABS(AU45-AV45)/ABS(AU45)*100,""),"")</f>
        <v/>
      </c>
      <c r="AX45" s="62" t="inlineStr">
        <is>
          <t>ND</t>
        </is>
      </c>
      <c r="AY45" s="67" t="n"/>
      <c r="AZ45" s="67" t="n"/>
      <c r="BA45" s="65">
        <f>IFERROR(IF(AND(AY45&lt;&gt;"",AZ45&lt;&gt;""),ABS(AY45-AZ45)/ABS(AY45)*100,""),"")</f>
        <v/>
      </c>
      <c r="BB45" s="62" t="inlineStr">
        <is>
          <t>ND</t>
        </is>
      </c>
      <c r="BC45" s="67" t="n"/>
      <c r="BD45" s="67" t="n"/>
      <c r="BE45" s="65">
        <f>IFERROR(IF(AND(BC45&lt;&gt;"",BD45&lt;&gt;""),ABS(BC45-BD45)/ABS(BC45)*100,""),"")</f>
        <v/>
      </c>
      <c r="BF45" s="62" t="inlineStr">
        <is>
          <t>ND</t>
        </is>
      </c>
      <c r="BG45" s="67" t="n"/>
      <c r="BH45" s="67" t="n"/>
      <c r="BI45" s="65">
        <f>IFERROR(IF(AND(BG45&lt;&gt;"",BH45&lt;&gt;""),ABS(BG45-BH45)/ABS(BG45)*100,""),"")</f>
        <v/>
      </c>
      <c r="BJ45" s="62" t="inlineStr">
        <is>
          <t>ND</t>
        </is>
      </c>
      <c r="BK45" s="67" t="n"/>
      <c r="BL45" s="67" t="n"/>
      <c r="BM45" s="65">
        <f>IFERROR(IF(AND(BK45&lt;&gt;"",BL45&lt;&gt;""),ABS(BK45-BL45)/ABS(BK45)*100,""),"")</f>
        <v/>
      </c>
      <c r="BN45" s="62" t="inlineStr">
        <is>
          <t>ND</t>
        </is>
      </c>
      <c r="BO45" s="67" t="n"/>
      <c r="BP45" s="67" t="n"/>
      <c r="BQ45" s="65">
        <f>IFERROR(IF(AND(BO45&lt;&gt;"",BP45&lt;&gt;""),ABS(BO45-BP45)/ABS(BO45)*100,""),"")</f>
        <v/>
      </c>
      <c r="BR45" s="62" t="inlineStr">
        <is>
          <t>ND</t>
        </is>
      </c>
      <c r="BS45" s="67" t="n"/>
      <c r="BT45" s="67" t="n"/>
      <c r="BU45" s="65">
        <f>IFERROR(IF(AND(BS45&lt;&gt;"",BT45&lt;&gt;""),ABS(BS45-BT45)/ABS(BS45)*100,""),"")</f>
        <v/>
      </c>
      <c r="BV45" s="62" t="inlineStr">
        <is>
          <t>ND</t>
        </is>
      </c>
      <c r="BW45" s="67" t="n"/>
      <c r="BX45" s="67" t="n"/>
      <c r="BY45" s="65">
        <f>IFERROR(IF(AND(BW45&lt;&gt;"",BX45&lt;&gt;""),ABS(BW45-BX45)/ABS(BW45)*100,""),"")</f>
        <v/>
      </c>
      <c r="BZ45" s="62" t="inlineStr">
        <is>
          <t>ND</t>
        </is>
      </c>
      <c r="CA45" s="67" t="n"/>
      <c r="CB45" s="67" t="n"/>
      <c r="CC45" s="65">
        <f>IFERROR(IF(AND(CA45&lt;&gt;"",CB45&lt;&gt;""),ABS(CA45-CB45)/ABS(CA45)*100,""),"")</f>
        <v/>
      </c>
      <c r="CD45" s="62" t="inlineStr">
        <is>
          <t>ND</t>
        </is>
      </c>
      <c r="CE45" s="67" t="n"/>
      <c r="CF45" s="67" t="n"/>
      <c r="CG45" s="65">
        <f>IFERROR(IF(AND(CE45&lt;&gt;"",CF45&lt;&gt;""),ABS(CE45-CF45)/ABS(CE45)*100,""),"")</f>
        <v/>
      </c>
      <c r="CH45" s="62" t="inlineStr">
        <is>
          <t>ND</t>
        </is>
      </c>
      <c r="CI45" s="67" t="n"/>
      <c r="CJ45" s="67" t="n"/>
      <c r="CK45" s="65">
        <f>IFERROR(IF(AND(CI45&lt;&gt;"",CJ45&lt;&gt;""),ABS(CI45-CJ45)/ABS(CI45)*100,""),"")</f>
        <v/>
      </c>
      <c r="CL45" s="62" t="inlineStr">
        <is>
          <t>ND</t>
        </is>
      </c>
      <c r="CM45" s="67" t="n"/>
      <c r="CN45" s="67" t="n"/>
      <c r="CO45" s="65">
        <f>IFERROR(IF(AND(CM45&lt;&gt;"",CN45&lt;&gt;""),ABS(CM45-CN45)/ABS(CM45)*100,""),"")</f>
        <v/>
      </c>
      <c r="CP45" s="62" t="inlineStr">
        <is>
          <t>ND</t>
        </is>
      </c>
      <c r="CQ45" s="67" t="n"/>
      <c r="CR45" s="67" t="n"/>
      <c r="CS45" s="65">
        <f>IFERROR(IF(AND(CQ45&lt;&gt;"",CR45&lt;&gt;""),ABS(CQ45-CR45)/ABS(CQ45)*100,""),"")</f>
        <v/>
      </c>
      <c r="CT45" s="62" t="inlineStr">
        <is>
          <t>ND</t>
        </is>
      </c>
      <c r="CU45" s="67" t="n"/>
      <c r="CV45" s="67" t="n"/>
      <c r="CW45" s="65">
        <f>IFERROR(IF(AND(CU45&lt;&gt;"",CV45&lt;&gt;""),ABS(CU45-CV45)/ABS(CU45)*100,""),"")</f>
        <v/>
      </c>
      <c r="CX45" s="62" t="inlineStr">
        <is>
          <t>ND</t>
        </is>
      </c>
      <c r="CY45" s="68" t="n"/>
      <c r="CZ45" s="68" t="n"/>
      <c r="DA45" s="65">
        <f>IFERROR(IF(AND(CY45&lt;&gt;"",CZ45&lt;&gt;""),ABS(CY45-CZ45)/ABS(CY45)*100,""),"")</f>
        <v/>
      </c>
      <c r="DB45" s="62" t="inlineStr">
        <is>
          <t>ND</t>
        </is>
      </c>
      <c r="DC45" s="68" t="n"/>
      <c r="DD45" s="68" t="n"/>
      <c r="DE45" s="65">
        <f>IFERROR(IF(AND(DC45&lt;&gt;"",DD45&lt;&gt;""),ABS(DC45-DD45)/ABS(DC45)*100,""),"")</f>
        <v/>
      </c>
      <c r="DF45" s="62" t="inlineStr">
        <is>
          <t>ND</t>
        </is>
      </c>
      <c r="DG45" s="68" t="n"/>
      <c r="DH45" s="68" t="n"/>
      <c r="DI45" s="65">
        <f>IFERROR(IF(AND(DG45&lt;&gt;"",DH45&lt;&gt;""),ABS(DG45-DH45)/ABS(DG45)*100,""),"")</f>
        <v/>
      </c>
      <c r="DJ45" s="62" t="inlineStr">
        <is>
          <t>ND</t>
        </is>
      </c>
      <c r="DK45" s="68" t="n"/>
      <c r="DL45" s="68" t="n"/>
      <c r="DM45" s="65">
        <f>IFERROR(IF(AND(DK45&lt;&gt;"",DL45&lt;&gt;""),ABS(DK45-DL45)/ABS(DK45)*100,""),"")</f>
        <v/>
      </c>
      <c r="DN45" s="62" t="inlineStr">
        <is>
          <t>ND</t>
        </is>
      </c>
      <c r="DO45" s="68" t="n"/>
      <c r="DP45" s="68" t="n"/>
      <c r="DQ45" s="65">
        <f>IFERROR(IF(AND(DO45&lt;&gt;"",DP45&lt;&gt;""),ABS(DO45-DP45)/ABS(DO45)*100,""),"")</f>
        <v/>
      </c>
      <c r="DR45" s="62" t="inlineStr">
        <is>
          <t>ND</t>
        </is>
      </c>
      <c r="DS45" s="68" t="n"/>
      <c r="DT45" s="68" t="n"/>
      <c r="DU45" s="65">
        <f>IFERROR(IF(AND(DS45&lt;&gt;"",DT45&lt;&gt;""),ABS(DS45-DT45)/ABS(DS45)*100,""),"")</f>
        <v/>
      </c>
      <c r="DV45" s="62" t="inlineStr">
        <is>
          <t>ND</t>
        </is>
      </c>
      <c r="DW45" s="63" t="inlineStr">
        <is>
          <t>No data - see 2018 note.</t>
        </is>
      </c>
    </row>
    <row r="46" ht="15.75" customHeight="1" s="43">
      <c r="A46" s="69" t="n"/>
      <c r="B46" s="69" t="n"/>
      <c r="C46" s="69" t="inlineStr">
        <is>
          <t>Consumer Staples</t>
        </is>
      </c>
      <c r="D46" s="69" t="inlineStr">
        <is>
          <t>2020</t>
        </is>
      </c>
      <c r="E46" s="70" t="inlineStr">
        <is>
          <t>No data - outside disclosed window in both reports</t>
        </is>
      </c>
      <c r="F46" s="69" t="n"/>
      <c r="G46" s="67" t="n"/>
      <c r="H46" s="67" t="n"/>
      <c r="I46" s="71">
        <f>IFERROR(IF(AND(G46&lt;&gt;"",H46&lt;&gt;""),ABS(G46-H46)/ABS(G46)*100,""),"")</f>
        <v/>
      </c>
      <c r="J46" s="69" t="inlineStr">
        <is>
          <t>ND</t>
        </is>
      </c>
      <c r="K46" s="67" t="n"/>
      <c r="L46" s="67" t="n"/>
      <c r="M46" s="71">
        <f>IFERROR(IF(AND(K46&lt;&gt;"",L46&lt;&gt;""),ABS(K46-L46)/ABS(K46)*100,""),"")</f>
        <v/>
      </c>
      <c r="N46" s="69" t="inlineStr">
        <is>
          <t>ND</t>
        </is>
      </c>
      <c r="O46" s="67" t="n"/>
      <c r="P46" s="67" t="n"/>
      <c r="Q46" s="71">
        <f>IFERROR(IF(AND(O46&lt;&gt;"",P46&lt;&gt;""),ABS(O46-P46)/ABS(O46)*100,""),"")</f>
        <v/>
      </c>
      <c r="R46" s="69" t="inlineStr">
        <is>
          <t>ND</t>
        </is>
      </c>
      <c r="S46" s="67" t="n"/>
      <c r="T46" s="67" t="n"/>
      <c r="U46" s="71">
        <f>IFERROR(IF(AND(S46&lt;&gt;"",T46&lt;&gt;""),ABS(S46-T46)/ABS(S46)*100,""),"")</f>
        <v/>
      </c>
      <c r="V46" s="69" t="inlineStr">
        <is>
          <t>ND</t>
        </is>
      </c>
      <c r="W46" s="67" t="n"/>
      <c r="X46" s="67" t="n"/>
      <c r="Y46" s="71">
        <f>IFERROR(IF(AND(W46&lt;&gt;"",X46&lt;&gt;""),ABS(W46-X46)/ABS(W46)*100,""),"")</f>
        <v/>
      </c>
      <c r="Z46" s="69" t="inlineStr">
        <is>
          <t>ND</t>
        </is>
      </c>
      <c r="AA46" s="67" t="n"/>
      <c r="AB46" s="67" t="n"/>
      <c r="AC46" s="71">
        <f>IFERROR(IF(AND(AA46&lt;&gt;"",AB46&lt;&gt;""),ABS(AA46-AB46)/ABS(AA46)*100,""),"")</f>
        <v/>
      </c>
      <c r="AD46" s="69" t="inlineStr">
        <is>
          <t>ND</t>
        </is>
      </c>
      <c r="AE46" s="67" t="n"/>
      <c r="AF46" s="67" t="n"/>
      <c r="AG46" s="71">
        <f>IFERROR(IF(AND(AE46&lt;&gt;"",AF46&lt;&gt;""),ABS(AE46-AF46)/ABS(AE46)*100,""),"")</f>
        <v/>
      </c>
      <c r="AH46" s="69" t="inlineStr">
        <is>
          <t>ND</t>
        </is>
      </c>
      <c r="AI46" s="67" t="n"/>
      <c r="AJ46" s="67" t="n"/>
      <c r="AK46" s="71">
        <f>IFERROR(IF(AND(AI46&lt;&gt;"",AJ46&lt;&gt;""),ABS(AI46-AJ46)/ABS(AI46)*100,""),"")</f>
        <v/>
      </c>
      <c r="AL46" s="69" t="inlineStr">
        <is>
          <t>ND</t>
        </is>
      </c>
      <c r="AM46" s="67" t="n"/>
      <c r="AN46" s="67" t="n"/>
      <c r="AO46" s="71">
        <f>IFERROR(IF(AND(AM46&lt;&gt;"",AN46&lt;&gt;""),ABS(AM46-AN46)/ABS(AM46)*100,""),"")</f>
        <v/>
      </c>
      <c r="AP46" s="69" t="inlineStr">
        <is>
          <t>ND</t>
        </is>
      </c>
      <c r="AQ46" s="67" t="n"/>
      <c r="AR46" s="67" t="n"/>
      <c r="AS46" s="71">
        <f>IFERROR(IF(AND(AQ46&lt;&gt;"",AR46&lt;&gt;""),ABS(AQ46-AR46)/ABS(AQ46)*100,""),"")</f>
        <v/>
      </c>
      <c r="AT46" s="69" t="inlineStr">
        <is>
          <t>ND</t>
        </is>
      </c>
      <c r="AU46" s="67" t="n"/>
      <c r="AV46" s="67" t="n"/>
      <c r="AW46" s="71">
        <f>IFERROR(IF(AND(AU46&lt;&gt;"",AV46&lt;&gt;""),ABS(AU46-AV46)/ABS(AU46)*100,""),"")</f>
        <v/>
      </c>
      <c r="AX46" s="69" t="inlineStr">
        <is>
          <t>ND</t>
        </is>
      </c>
      <c r="AY46" s="67" t="n"/>
      <c r="AZ46" s="67" t="n"/>
      <c r="BA46" s="71">
        <f>IFERROR(IF(AND(AY46&lt;&gt;"",AZ46&lt;&gt;""),ABS(AY46-AZ46)/ABS(AY46)*100,""),"")</f>
        <v/>
      </c>
      <c r="BB46" s="69" t="inlineStr">
        <is>
          <t>ND</t>
        </is>
      </c>
      <c r="BC46" s="67" t="n"/>
      <c r="BD46" s="67" t="n"/>
      <c r="BE46" s="71">
        <f>IFERROR(IF(AND(BC46&lt;&gt;"",BD46&lt;&gt;""),ABS(BC46-BD46)/ABS(BC46)*100,""),"")</f>
        <v/>
      </c>
      <c r="BF46" s="69" t="inlineStr">
        <is>
          <t>ND</t>
        </is>
      </c>
      <c r="BG46" s="67" t="n"/>
      <c r="BH46" s="67" t="n"/>
      <c r="BI46" s="71">
        <f>IFERROR(IF(AND(BG46&lt;&gt;"",BH46&lt;&gt;""),ABS(BG46-BH46)/ABS(BG46)*100,""),"")</f>
        <v/>
      </c>
      <c r="BJ46" s="69" t="inlineStr">
        <is>
          <t>ND</t>
        </is>
      </c>
      <c r="BK46" s="67" t="n"/>
      <c r="BL46" s="67" t="n"/>
      <c r="BM46" s="71">
        <f>IFERROR(IF(AND(BK46&lt;&gt;"",BL46&lt;&gt;""),ABS(BK46-BL46)/ABS(BK46)*100,""),"")</f>
        <v/>
      </c>
      <c r="BN46" s="69" t="inlineStr">
        <is>
          <t>ND</t>
        </is>
      </c>
      <c r="BO46" s="67" t="n"/>
      <c r="BP46" s="67" t="n"/>
      <c r="BQ46" s="71">
        <f>IFERROR(IF(AND(BO46&lt;&gt;"",BP46&lt;&gt;""),ABS(BO46-BP46)/ABS(BO46)*100,""),"")</f>
        <v/>
      </c>
      <c r="BR46" s="69" t="inlineStr">
        <is>
          <t>ND</t>
        </is>
      </c>
      <c r="BS46" s="67" t="n"/>
      <c r="BT46" s="67" t="n"/>
      <c r="BU46" s="71">
        <f>IFERROR(IF(AND(BS46&lt;&gt;"",BT46&lt;&gt;""),ABS(BS46-BT46)/ABS(BS46)*100,""),"")</f>
        <v/>
      </c>
      <c r="BV46" s="69" t="inlineStr">
        <is>
          <t>ND</t>
        </is>
      </c>
      <c r="BW46" s="67" t="n"/>
      <c r="BX46" s="67" t="n"/>
      <c r="BY46" s="71">
        <f>IFERROR(IF(AND(BW46&lt;&gt;"",BX46&lt;&gt;""),ABS(BW46-BX46)/ABS(BW46)*100,""),"")</f>
        <v/>
      </c>
      <c r="BZ46" s="69" t="inlineStr">
        <is>
          <t>ND</t>
        </is>
      </c>
      <c r="CA46" s="67" t="n"/>
      <c r="CB46" s="67" t="n"/>
      <c r="CC46" s="71">
        <f>IFERROR(IF(AND(CA46&lt;&gt;"",CB46&lt;&gt;""),ABS(CA46-CB46)/ABS(CA46)*100,""),"")</f>
        <v/>
      </c>
      <c r="CD46" s="69" t="inlineStr">
        <is>
          <t>ND</t>
        </is>
      </c>
      <c r="CE46" s="67" t="n"/>
      <c r="CF46" s="67" t="n"/>
      <c r="CG46" s="71">
        <f>IFERROR(IF(AND(CE46&lt;&gt;"",CF46&lt;&gt;""),ABS(CE46-CF46)/ABS(CE46)*100,""),"")</f>
        <v/>
      </c>
      <c r="CH46" s="69" t="inlineStr">
        <is>
          <t>ND</t>
        </is>
      </c>
      <c r="CI46" s="67" t="n"/>
      <c r="CJ46" s="67" t="n"/>
      <c r="CK46" s="71">
        <f>IFERROR(IF(AND(CI46&lt;&gt;"",CJ46&lt;&gt;""),ABS(CI46-CJ46)/ABS(CI46)*100,""),"")</f>
        <v/>
      </c>
      <c r="CL46" s="69" t="inlineStr">
        <is>
          <t>ND</t>
        </is>
      </c>
      <c r="CM46" s="67" t="n"/>
      <c r="CN46" s="67" t="n"/>
      <c r="CO46" s="71">
        <f>IFERROR(IF(AND(CM46&lt;&gt;"",CN46&lt;&gt;""),ABS(CM46-CN46)/ABS(CM46)*100,""),"")</f>
        <v/>
      </c>
      <c r="CP46" s="69" t="inlineStr">
        <is>
          <t>ND</t>
        </is>
      </c>
      <c r="CQ46" s="67" t="n"/>
      <c r="CR46" s="67" t="n"/>
      <c r="CS46" s="71">
        <f>IFERROR(IF(AND(CQ46&lt;&gt;"",CR46&lt;&gt;""),ABS(CQ46-CR46)/ABS(CQ46)*100,""),"")</f>
        <v/>
      </c>
      <c r="CT46" s="69" t="inlineStr">
        <is>
          <t>ND</t>
        </is>
      </c>
      <c r="CU46" s="67" t="n"/>
      <c r="CV46" s="67" t="n"/>
      <c r="CW46" s="71">
        <f>IFERROR(IF(AND(CU46&lt;&gt;"",CV46&lt;&gt;""),ABS(CU46-CV46)/ABS(CU46)*100,""),"")</f>
        <v/>
      </c>
      <c r="CX46" s="69" t="inlineStr">
        <is>
          <t>ND</t>
        </is>
      </c>
      <c r="CY46" s="68" t="n"/>
      <c r="CZ46" s="68" t="n"/>
      <c r="DA46" s="71">
        <f>IFERROR(IF(AND(CY46&lt;&gt;"",CZ46&lt;&gt;""),ABS(CY46-CZ46)/ABS(CY46)*100,""),"")</f>
        <v/>
      </c>
      <c r="DB46" s="69" t="inlineStr">
        <is>
          <t>ND</t>
        </is>
      </c>
      <c r="DC46" s="68" t="n"/>
      <c r="DD46" s="68" t="n"/>
      <c r="DE46" s="71">
        <f>IFERROR(IF(AND(DC46&lt;&gt;"",DD46&lt;&gt;""),ABS(DC46-DD46)/ABS(DC46)*100,""),"")</f>
        <v/>
      </c>
      <c r="DF46" s="69" t="inlineStr">
        <is>
          <t>ND</t>
        </is>
      </c>
      <c r="DG46" s="68" t="n"/>
      <c r="DH46" s="68" t="n"/>
      <c r="DI46" s="71">
        <f>IFERROR(IF(AND(DG46&lt;&gt;"",DH46&lt;&gt;""),ABS(DG46-DH46)/ABS(DG46)*100,""),"")</f>
        <v/>
      </c>
      <c r="DJ46" s="69" t="inlineStr">
        <is>
          <t>ND</t>
        </is>
      </c>
      <c r="DK46" s="68" t="n"/>
      <c r="DL46" s="68" t="n"/>
      <c r="DM46" s="71">
        <f>IFERROR(IF(AND(DK46&lt;&gt;"",DL46&lt;&gt;""),ABS(DK46-DL46)/ABS(DK46)*100,""),"")</f>
        <v/>
      </c>
      <c r="DN46" s="69" t="inlineStr">
        <is>
          <t>ND</t>
        </is>
      </c>
      <c r="DO46" s="68" t="n"/>
      <c r="DP46" s="68" t="n"/>
      <c r="DQ46" s="71">
        <f>IFERROR(IF(AND(DO46&lt;&gt;"",DP46&lt;&gt;""),ABS(DO46-DP46)/ABS(DO46)*100,""),"")</f>
        <v/>
      </c>
      <c r="DR46" s="69" t="inlineStr">
        <is>
          <t>ND</t>
        </is>
      </c>
      <c r="DS46" s="68" t="n"/>
      <c r="DT46" s="68" t="n"/>
      <c r="DU46" s="71">
        <f>IFERROR(IF(AND(DS46&lt;&gt;"",DT46&lt;&gt;""),ABS(DS46-DT46)/ABS(DS46)*100,""),"")</f>
        <v/>
      </c>
      <c r="DV46" s="69" t="inlineStr">
        <is>
          <t>ND</t>
        </is>
      </c>
      <c r="DW46" s="70" t="inlineStr">
        <is>
          <t>No data - see 2018 note.</t>
        </is>
      </c>
    </row>
    <row r="47" ht="15.75" customHeight="1" s="43">
      <c r="A47" s="62" t="n"/>
      <c r="B47" s="62" t="n"/>
      <c r="C47" s="62" t="inlineStr">
        <is>
          <t>Consumer Staples</t>
        </is>
      </c>
      <c r="D47" s="62" t="inlineStr">
        <is>
          <t>2021</t>
        </is>
      </c>
      <c r="E47" s="63" t="inlineStr">
        <is>
          <t>Samyang Foods Sustainability Report 2023 (only report covering 2021)</t>
        </is>
      </c>
      <c r="F47" s="62" t="n"/>
      <c r="G47" s="64" t="n">
        <v>10.51</v>
      </c>
      <c r="H47" s="64" t="n">
        <v>21.29</v>
      </c>
      <c r="I47" s="65">
        <f>IFERROR(IF(AND(G47&lt;&gt;"",H47&lt;&gt;""),ABS(G47-H47)/ABS(G47)*100,""),"")</f>
        <v/>
      </c>
      <c r="J47" s="66" t="inlineStr">
        <is>
          <t>MANUAL FLAG</t>
        </is>
      </c>
      <c r="K47" s="64" t="n">
        <v>41.82</v>
      </c>
      <c r="L47" s="64" t="n">
        <v>36.96</v>
      </c>
      <c r="M47" s="65">
        <f>IFERROR(IF(AND(K47&lt;&gt;"",L47&lt;&gt;""),ABS(K47-L47)/ABS(K47)*100,""),"")</f>
        <v/>
      </c>
      <c r="N47" s="66" t="inlineStr">
        <is>
          <t>MANUAL FLAG</t>
        </is>
      </c>
      <c r="O47" s="64" t="n">
        <v>39.06</v>
      </c>
      <c r="P47" s="64" t="n">
        <v>59</v>
      </c>
      <c r="Q47" s="65">
        <f>IFERROR(IF(AND(O47&lt;&gt;"",P47&lt;&gt;""),ABS(O47-P47)/ABS(O47)*100,""),"")</f>
        <v/>
      </c>
      <c r="R47" s="66" t="inlineStr">
        <is>
          <t>MANUAL FLAG</t>
        </is>
      </c>
      <c r="S47" s="67" t="n">
        <v>22.29</v>
      </c>
      <c r="T47" s="67" t="n"/>
      <c r="U47" s="65">
        <f>IFERROR(IF(AND(S47&lt;&gt;"",T47&lt;&gt;""),ABS(S47-T47)/ABS(S47)*100,""),"")</f>
        <v/>
      </c>
      <c r="V47" s="62" t="inlineStr">
        <is>
          <t>Claude</t>
        </is>
      </c>
      <c r="W47" s="67" t="n"/>
      <c r="X47" s="67" t="n"/>
      <c r="Y47" s="65">
        <f>IFERROR(IF(AND(W47&lt;&gt;"",X47&lt;&gt;""),ABS(W47-X47)/ABS(W47)*100,""),"")</f>
        <v/>
      </c>
      <c r="Z47" s="62" t="inlineStr">
        <is>
          <t>ND</t>
        </is>
      </c>
      <c r="AA47" s="67" t="n">
        <v>47.67</v>
      </c>
      <c r="AB47" s="67" t="n"/>
      <c r="AC47" s="65">
        <f>IFERROR(IF(AND(AA47&lt;&gt;"",AB47&lt;&gt;""),ABS(AA47-AB47)/ABS(AA47)*100,""),"")</f>
        <v/>
      </c>
      <c r="AD47" s="62" t="inlineStr">
        <is>
          <t>Claude</t>
        </is>
      </c>
      <c r="AE47" s="67" t="n"/>
      <c r="AF47" s="67" t="n"/>
      <c r="AG47" s="65">
        <f>IFERROR(IF(AND(AE47&lt;&gt;"",AF47&lt;&gt;""),ABS(AE47-AF47)/ABS(AE47)*100,""),"")</f>
        <v/>
      </c>
      <c r="AH47" s="62" t="inlineStr">
        <is>
          <t>ND</t>
        </is>
      </c>
      <c r="AI47" s="67" t="n"/>
      <c r="AJ47" s="67" t="n"/>
      <c r="AK47" s="65">
        <f>IFERROR(IF(AND(AI47&lt;&gt;"",AJ47&lt;&gt;""),ABS(AI47-AJ47)/ABS(AI47)*100,""),"")</f>
        <v/>
      </c>
      <c r="AL47" s="62" t="inlineStr">
        <is>
          <t>ND</t>
        </is>
      </c>
      <c r="AM47" s="67" t="n">
        <v>9.859999999999999</v>
      </c>
      <c r="AN47" s="67" t="n"/>
      <c r="AO47" s="65">
        <f>IFERROR(IF(AND(AM47&lt;&gt;"",AN47&lt;&gt;""),ABS(AM47-AN47)/ABS(AM47)*100,""),"")</f>
        <v/>
      </c>
      <c r="AP47" s="62" t="inlineStr">
        <is>
          <t>Claude</t>
        </is>
      </c>
      <c r="AQ47" s="67" t="n">
        <v>10</v>
      </c>
      <c r="AR47" s="67" t="n"/>
      <c r="AS47" s="65">
        <f>IFERROR(IF(AND(AQ47&lt;&gt;"",AR47&lt;&gt;""),ABS(AQ47-AR47)/ABS(AQ47)*100,""),"")</f>
        <v/>
      </c>
      <c r="AT47" s="62" t="inlineStr">
        <is>
          <t>Claude</t>
        </is>
      </c>
      <c r="AU47" s="67" t="n"/>
      <c r="AV47" s="67" t="n">
        <v>12.5</v>
      </c>
      <c r="AW47" s="65">
        <f>IFERROR(IF(AND(AU47&lt;&gt;"",AV47&lt;&gt;""),ABS(AU47-AV47)/ABS(AU47)*100,""),"")</f>
        <v/>
      </c>
      <c r="AX47" s="62" t="inlineStr">
        <is>
          <t>DeepSeek</t>
        </is>
      </c>
      <c r="AY47" s="67" t="n"/>
      <c r="AZ47" s="67" t="n"/>
      <c r="BA47" s="65">
        <f>IFERROR(IF(AND(AY47&lt;&gt;"",AZ47&lt;&gt;""),ABS(AY47-AZ47)/ABS(AY47)*100,""),"")</f>
        <v/>
      </c>
      <c r="BB47" s="62" t="inlineStr">
        <is>
          <t>ND</t>
        </is>
      </c>
      <c r="BC47" s="67" t="n"/>
      <c r="BD47" s="67" t="n"/>
      <c r="BE47" s="65">
        <f>IFERROR(IF(AND(BC47&lt;&gt;"",BD47&lt;&gt;""),ABS(BC47-BD47)/ABS(BC47)*100,""),"")</f>
        <v/>
      </c>
      <c r="BF47" s="62" t="inlineStr">
        <is>
          <t>ND</t>
        </is>
      </c>
      <c r="BG47" s="67" t="n">
        <v>147000</v>
      </c>
      <c r="BH47" s="67" t="n">
        <v>147000</v>
      </c>
      <c r="BI47" s="65">
        <f>IFERROR(IF(AND(BG47&lt;&gt;"",BH47&lt;&gt;""),ABS(BG47-BH47)/ABS(BG47)*100,""),"")</f>
        <v/>
      </c>
      <c r="BJ47" s="62" t="inlineStr">
        <is>
          <t>Claude</t>
        </is>
      </c>
      <c r="BK47" s="67" t="n">
        <v>26.8</v>
      </c>
      <c r="BL47" s="67" t="n">
        <v>26.8</v>
      </c>
      <c r="BM47" s="65">
        <f>IFERROR(IF(AND(BK47&lt;&gt;"",BL47&lt;&gt;""),ABS(BK47-BL47)/ABS(BK47)*100,""),"")</f>
        <v/>
      </c>
      <c r="BN47" s="62" t="inlineStr">
        <is>
          <t>Claude</t>
        </is>
      </c>
      <c r="BO47" s="67" t="n">
        <v>5</v>
      </c>
      <c r="BP47" s="67" t="n">
        <v>5</v>
      </c>
      <c r="BQ47" s="65">
        <f>IFERROR(IF(AND(BO47&lt;&gt;"",BP47&lt;&gt;""),ABS(BO47-BP47)/ABS(BO47)*100,""),"")</f>
        <v/>
      </c>
      <c r="BR47" s="62" t="inlineStr">
        <is>
          <t>Claude</t>
        </is>
      </c>
      <c r="BS47" s="67" t="n">
        <v>1</v>
      </c>
      <c r="BT47" s="67" t="n">
        <v>1</v>
      </c>
      <c r="BU47" s="65">
        <f>IFERROR(IF(AND(BS47&lt;&gt;"",BT47&lt;&gt;""),ABS(BS47-BT47)/ABS(BS47)*100,""),"")</f>
        <v/>
      </c>
      <c r="BV47" s="62" t="inlineStr">
        <is>
          <t>Claude</t>
        </is>
      </c>
      <c r="BW47" s="67" t="n"/>
      <c r="BX47" s="67" t="n">
        <v>66.67</v>
      </c>
      <c r="BY47" s="65">
        <f>IFERROR(IF(AND(BW47&lt;&gt;"",BX47&lt;&gt;""),ABS(BW47-BX47)/ABS(BW47)*100,""),"")</f>
        <v/>
      </c>
      <c r="BZ47" s="62" t="inlineStr">
        <is>
          <t>DeepSeek</t>
        </is>
      </c>
      <c r="CA47" s="67" t="n">
        <v>7</v>
      </c>
      <c r="CB47" s="67" t="n"/>
      <c r="CC47" s="65">
        <f>IFERROR(IF(AND(CA47&lt;&gt;"",CB47&lt;&gt;""),ABS(CA47-CB47)/ABS(CA47)*100,""),"")</f>
        <v/>
      </c>
      <c r="CD47" s="62" t="inlineStr">
        <is>
          <t>Claude</t>
        </is>
      </c>
      <c r="CE47" s="67" t="n">
        <v>15.24</v>
      </c>
      <c r="CF47" s="67" t="n"/>
      <c r="CG47" s="65">
        <f>IFERROR(IF(AND(CE47&lt;&gt;"",CF47&lt;&gt;""),ABS(CE47-CF47)/ABS(CE47)*100,""),"")</f>
        <v/>
      </c>
      <c r="CH47" s="62" t="inlineStr">
        <is>
          <t>Claude</t>
        </is>
      </c>
      <c r="CI47" s="67" t="n">
        <v>1.49</v>
      </c>
      <c r="CJ47" s="67" t="n"/>
      <c r="CK47" s="65">
        <f>IFERROR(IF(AND(CI47&lt;&gt;"",CJ47&lt;&gt;""),ABS(CI47-CJ47)/ABS(CI47)*100,""),"")</f>
        <v/>
      </c>
      <c r="CL47" s="62" t="inlineStr">
        <is>
          <t>Claude</t>
        </is>
      </c>
      <c r="CM47" s="67" t="n">
        <v>60</v>
      </c>
      <c r="CN47" s="67" t="n">
        <v>60</v>
      </c>
      <c r="CO47" s="65">
        <f>IFERROR(IF(AND(CM47&lt;&gt;"",CN47&lt;&gt;""),ABS(CM47-CN47)/ABS(CM47)*100,""),"")</f>
        <v/>
      </c>
      <c r="CP47" s="62" t="inlineStr">
        <is>
          <t>Claude</t>
        </is>
      </c>
      <c r="CQ47" s="64" t="n">
        <v>0.24</v>
      </c>
      <c r="CR47" s="64" t="n">
        <v>0.06</v>
      </c>
      <c r="CS47" s="65">
        <f>IFERROR(IF(AND(CQ47&lt;&gt;"",CR47&lt;&gt;""),ABS(CQ47-CR47)/ABS(CQ47)*100,""),"")</f>
        <v/>
      </c>
      <c r="CT47" s="66" t="inlineStr">
        <is>
          <t>MANUAL FLAG</t>
        </is>
      </c>
      <c r="CU47" s="67" t="n">
        <v>0</v>
      </c>
      <c r="CV47" s="67" t="n">
        <v>0</v>
      </c>
      <c r="CW47" s="65">
        <f>IFERROR(IF(AND(CU47&lt;&gt;"",CV47&lt;&gt;""),ABS(CU47-CV47)/ABS(CU47)*100,""),"")</f>
        <v/>
      </c>
      <c r="CX47" s="62" t="inlineStr">
        <is>
          <t>Claude</t>
        </is>
      </c>
      <c r="CY47" s="68" t="n"/>
      <c r="CZ47" s="68" t="n"/>
      <c r="DA47" s="65">
        <f>IFERROR(IF(AND(CY47&lt;&gt;"",CZ47&lt;&gt;""),ABS(CY47-CZ47)/ABS(CY47)*100,""),"")</f>
        <v/>
      </c>
      <c r="DB47" s="62" t="inlineStr">
        <is>
          <t>ND</t>
        </is>
      </c>
      <c r="DC47" s="68" t="n"/>
      <c r="DD47" s="68" t="n"/>
      <c r="DE47" s="65">
        <f>IFERROR(IF(AND(DC47&lt;&gt;"",DD47&lt;&gt;""),ABS(DC47-DD47)/ABS(DC47)*100,""),"")</f>
        <v/>
      </c>
      <c r="DF47" s="62" t="inlineStr">
        <is>
          <t>ND</t>
        </is>
      </c>
      <c r="DG47" s="68" t="n"/>
      <c r="DH47" s="68" t="n"/>
      <c r="DI47" s="65">
        <f>IFERROR(IF(AND(DG47&lt;&gt;"",DH47&lt;&gt;""),ABS(DG47-DH47)/ABS(DG47)*100,""),"")</f>
        <v/>
      </c>
      <c r="DJ47" s="62" t="inlineStr">
        <is>
          <t>ND</t>
        </is>
      </c>
      <c r="DK47" s="68" t="n"/>
      <c r="DL47" s="68" t="n"/>
      <c r="DM47" s="65">
        <f>IFERROR(IF(AND(DK47&lt;&gt;"",DL47&lt;&gt;""),ABS(DK47-DL47)/ABS(DK47)*100,""),"")</f>
        <v/>
      </c>
      <c r="DN47" s="62" t="inlineStr">
        <is>
          <t>ND</t>
        </is>
      </c>
      <c r="DO47" s="68" t="n"/>
      <c r="DP47" s="68" t="n"/>
      <c r="DQ47" s="65">
        <f>IFERROR(IF(AND(DO47&lt;&gt;"",DP47&lt;&gt;""),ABS(DO47-DP47)/ABS(DO47)*100,""),"")</f>
        <v/>
      </c>
      <c r="DR47" s="62" t="inlineStr">
        <is>
          <t>ND</t>
        </is>
      </c>
      <c r="DS47" s="68" t="n"/>
      <c r="DT47" s="68" t="n"/>
      <c r="DU47" s="65">
        <f>IFERROR(IF(AND(DS47&lt;&gt;"",DT47&lt;&gt;""),ABS(DS47-DT47)/ABS(DS47)*100,""),"")</f>
        <v/>
      </c>
      <c r="DV47" s="62" t="inlineStr">
        <is>
          <t>ND</t>
        </is>
      </c>
      <c r="DW47" s="63" t="inlineStr">
        <is>
          <t>Claude only (DeepSeek pending). Source=2023 ed. (only report covering 2021). Ind.7/8=ND: headcount known (54 disabled, 5 foreign) but no total workforce disclosed to compute %. Ind.9=9.86, PROXY ('Above team lead' tier used as stand-in for 'middle manager', term undefined by company). Ind.18=ND: source gives Male/Female breakdown only (M=0.00%, F=80.00%), no single company-wide return-to-work rate - recorded for reference, not blended. Ind.19=7.0 (Total), breakdown M=8.0/F=6.0 also available. Ind.16-18 scoped to MANAGEMENT POSITIONS ONLY (excl. production/transportation/contract) per source footnote - not company-wide. || DEEPSEEK RECONCILIATION - MANUAL FLAGS: Ind.1 (Contract Workers%): Claude=10.51, DeepSeek=21.29, Diff=102.6%; Ind.2 (Female Permanent%): Claude=41.82, DeepSeek=36.96, Diff=11.6%; Ind.3 (Female Contract%): Claude=39.06, DeepSeek=59.0, Diff=51.0%; Ind.23 (LTIFR): Claude=0.24, DeepSeek=0.06, Diff=75.0%</t>
        </is>
      </c>
    </row>
    <row r="48" ht="15.75" customHeight="1" s="43">
      <c r="A48" s="69" t="n"/>
      <c r="B48" s="69" t="n"/>
      <c r="C48" s="69" t="inlineStr">
        <is>
          <t>Consumer Staples</t>
        </is>
      </c>
      <c r="D48" s="69" t="inlineStr">
        <is>
          <t>2022</t>
        </is>
      </c>
      <c r="E48" s="70" t="inlineStr">
        <is>
          <t>Samyang Foods Sustainability Report 2023 (only report covering 2022)</t>
        </is>
      </c>
      <c r="F48" s="69" t="n"/>
      <c r="G48" s="64" t="n">
        <v>17.39</v>
      </c>
      <c r="H48" s="64" t="n">
        <v>22.68</v>
      </c>
      <c r="I48" s="71">
        <f>IFERROR(IF(AND(G48&lt;&gt;"",H48&lt;&gt;""),ABS(G48-H48)/ABS(G48)*100,""),"")</f>
        <v/>
      </c>
      <c r="J48" s="66" t="inlineStr">
        <is>
          <t>MANUAL FLAG</t>
        </is>
      </c>
      <c r="K48" s="64" t="n">
        <v>44.18</v>
      </c>
      <c r="L48" s="64" t="n">
        <v>35.41</v>
      </c>
      <c r="M48" s="71">
        <f>IFERROR(IF(AND(K48&lt;&gt;"",L48&lt;&gt;""),ABS(K48-L48)/ABS(K48)*100,""),"")</f>
        <v/>
      </c>
      <c r="N48" s="66" t="inlineStr">
        <is>
          <t>MANUAL FLAG</t>
        </is>
      </c>
      <c r="O48" s="64" t="n">
        <v>41.49</v>
      </c>
      <c r="P48" s="64" t="n">
        <v>65.11</v>
      </c>
      <c r="Q48" s="71">
        <f>IFERROR(IF(AND(O48&lt;&gt;"",P48&lt;&gt;""),ABS(O48-P48)/ABS(O48)*100,""),"")</f>
        <v/>
      </c>
      <c r="R48" s="66" t="inlineStr">
        <is>
          <t>MANUAL FLAG</t>
        </is>
      </c>
      <c r="S48" s="67" t="n">
        <v>36.66</v>
      </c>
      <c r="T48" s="67" t="n"/>
      <c r="U48" s="71">
        <f>IFERROR(IF(AND(S48&lt;&gt;"",T48&lt;&gt;""),ABS(S48-T48)/ABS(S48)*100,""),"")</f>
        <v/>
      </c>
      <c r="V48" s="69" t="inlineStr">
        <is>
          <t>Claude</t>
        </is>
      </c>
      <c r="W48" s="67" t="n"/>
      <c r="X48" s="67" t="n"/>
      <c r="Y48" s="71">
        <f>IFERROR(IF(AND(W48&lt;&gt;"",X48&lt;&gt;""),ABS(W48-X48)/ABS(W48)*100,""),"")</f>
        <v/>
      </c>
      <c r="Z48" s="69" t="inlineStr">
        <is>
          <t>ND</t>
        </is>
      </c>
      <c r="AA48" s="67" t="n">
        <v>40.23</v>
      </c>
      <c r="AB48" s="67" t="n"/>
      <c r="AC48" s="71">
        <f>IFERROR(IF(AND(AA48&lt;&gt;"",AB48&lt;&gt;""),ABS(AA48-AB48)/ABS(AA48)*100,""),"")</f>
        <v/>
      </c>
      <c r="AD48" s="69" t="inlineStr">
        <is>
          <t>Claude</t>
        </is>
      </c>
      <c r="AE48" s="67" t="n"/>
      <c r="AF48" s="67" t="n"/>
      <c r="AG48" s="71">
        <f>IFERROR(IF(AND(AE48&lt;&gt;"",AF48&lt;&gt;""),ABS(AE48-AF48)/ABS(AE48)*100,""),"")</f>
        <v/>
      </c>
      <c r="AH48" s="69" t="inlineStr">
        <is>
          <t>ND</t>
        </is>
      </c>
      <c r="AI48" s="67" t="n"/>
      <c r="AJ48" s="67" t="n"/>
      <c r="AK48" s="71">
        <f>IFERROR(IF(AND(AI48&lt;&gt;"",AJ48&lt;&gt;""),ABS(AI48-AJ48)/ABS(AI48)*100,""),"")</f>
        <v/>
      </c>
      <c r="AL48" s="69" t="inlineStr">
        <is>
          <t>ND</t>
        </is>
      </c>
      <c r="AM48" s="67" t="n">
        <v>11.11</v>
      </c>
      <c r="AN48" s="67" t="n"/>
      <c r="AO48" s="71">
        <f>IFERROR(IF(AND(AM48&lt;&gt;"",AN48&lt;&gt;""),ABS(AM48-AN48)/ABS(AM48)*100,""),"")</f>
        <v/>
      </c>
      <c r="AP48" s="69" t="inlineStr">
        <is>
          <t>Claude</t>
        </is>
      </c>
      <c r="AQ48" s="67" t="n">
        <v>11.11</v>
      </c>
      <c r="AR48" s="67" t="n"/>
      <c r="AS48" s="71">
        <f>IFERROR(IF(AND(AQ48&lt;&gt;"",AR48&lt;&gt;""),ABS(AQ48-AR48)/ABS(AQ48)*100,""),"")</f>
        <v/>
      </c>
      <c r="AT48" s="69" t="inlineStr">
        <is>
          <t>Claude</t>
        </is>
      </c>
      <c r="AU48" s="67" t="n"/>
      <c r="AV48" s="67" t="n">
        <v>12.5</v>
      </c>
      <c r="AW48" s="71">
        <f>IFERROR(IF(AND(AU48&lt;&gt;"",AV48&lt;&gt;""),ABS(AU48-AV48)/ABS(AU48)*100,""),"")</f>
        <v/>
      </c>
      <c r="AX48" s="69" t="inlineStr">
        <is>
          <t>DeepSeek</t>
        </is>
      </c>
      <c r="AY48" s="67" t="n"/>
      <c r="AZ48" s="67" t="n"/>
      <c r="BA48" s="71">
        <f>IFERROR(IF(AND(AY48&lt;&gt;"",AZ48&lt;&gt;""),ABS(AY48-AZ48)/ABS(AY48)*100,""),"")</f>
        <v/>
      </c>
      <c r="BB48" s="69" t="inlineStr">
        <is>
          <t>ND</t>
        </is>
      </c>
      <c r="BC48" s="67" t="n"/>
      <c r="BD48" s="67" t="n"/>
      <c r="BE48" s="71">
        <f>IFERROR(IF(AND(BC48&lt;&gt;"",BD48&lt;&gt;""),ABS(BC48-BD48)/ABS(BC48)*100,""),"")</f>
        <v/>
      </c>
      <c r="BF48" s="69" t="inlineStr">
        <is>
          <t>ND</t>
        </is>
      </c>
      <c r="BG48" s="67" t="n">
        <v>357000</v>
      </c>
      <c r="BH48" s="67" t="n">
        <v>357000</v>
      </c>
      <c r="BI48" s="71">
        <f>IFERROR(IF(AND(BG48&lt;&gt;"",BH48&lt;&gt;""),ABS(BG48-BH48)/ABS(BG48)*100,""),"")</f>
        <v/>
      </c>
      <c r="BJ48" s="69" t="inlineStr">
        <is>
          <t>Claude</t>
        </is>
      </c>
      <c r="BK48" s="67" t="n">
        <v>30.7</v>
      </c>
      <c r="BL48" s="67" t="n">
        <v>30.7</v>
      </c>
      <c r="BM48" s="71">
        <f>IFERROR(IF(AND(BK48&lt;&gt;"",BL48&lt;&gt;""),ABS(BK48-BL48)/ABS(BK48)*100,""),"")</f>
        <v/>
      </c>
      <c r="BN48" s="69" t="inlineStr">
        <is>
          <t>Claude</t>
        </is>
      </c>
      <c r="BO48" s="67" t="n">
        <v>6</v>
      </c>
      <c r="BP48" s="67" t="n">
        <v>6</v>
      </c>
      <c r="BQ48" s="71">
        <f>IFERROR(IF(AND(BO48&lt;&gt;"",BP48&lt;&gt;""),ABS(BO48-BP48)/ABS(BO48)*100,""),"")</f>
        <v/>
      </c>
      <c r="BR48" s="69" t="inlineStr">
        <is>
          <t>Claude</t>
        </is>
      </c>
      <c r="BS48" s="67" t="n">
        <v>2</v>
      </c>
      <c r="BT48" s="67" t="n">
        <v>2</v>
      </c>
      <c r="BU48" s="71">
        <f>IFERROR(IF(AND(BS48&lt;&gt;"",BT48&lt;&gt;""),ABS(BS48-BT48)/ABS(BS48)*100,""),"")</f>
        <v/>
      </c>
      <c r="BV48" s="69" t="inlineStr">
        <is>
          <t>Claude</t>
        </is>
      </c>
      <c r="BW48" s="67" t="n"/>
      <c r="BX48" s="67" t="n">
        <v>75</v>
      </c>
      <c r="BY48" s="71">
        <f>IFERROR(IF(AND(BW48&lt;&gt;"",BX48&lt;&gt;""),ABS(BW48-BX48)/ABS(BW48)*100,""),"")</f>
        <v/>
      </c>
      <c r="BZ48" s="69" t="inlineStr">
        <is>
          <t>DeepSeek</t>
        </is>
      </c>
      <c r="CA48" s="67" t="n">
        <v>7</v>
      </c>
      <c r="CB48" s="67" t="n"/>
      <c r="CC48" s="71">
        <f>IFERROR(IF(AND(CA48&lt;&gt;"",CB48&lt;&gt;""),ABS(CA48-CB48)/ABS(CA48)*100,""),"")</f>
        <v/>
      </c>
      <c r="CD48" s="69" t="inlineStr">
        <is>
          <t>Claude</t>
        </is>
      </c>
      <c r="CE48" s="67" t="n">
        <v>15.7</v>
      </c>
      <c r="CF48" s="67" t="n"/>
      <c r="CG48" s="71">
        <f>IFERROR(IF(AND(CE48&lt;&gt;"",CF48&lt;&gt;""),ABS(CE48-CF48)/ABS(CE48)*100,""),"")</f>
        <v/>
      </c>
      <c r="CH48" s="69" t="inlineStr">
        <is>
          <t>Claude</t>
        </is>
      </c>
      <c r="CI48" s="67" t="n">
        <v>2.39</v>
      </c>
      <c r="CJ48" s="67" t="n"/>
      <c r="CK48" s="71">
        <f>IFERROR(IF(AND(CI48&lt;&gt;"",CJ48&lt;&gt;""),ABS(CI48-CJ48)/ABS(CI48)*100,""),"")</f>
        <v/>
      </c>
      <c r="CL48" s="69" t="inlineStr">
        <is>
          <t>Claude</t>
        </is>
      </c>
      <c r="CM48" s="67" t="n">
        <v>58</v>
      </c>
      <c r="CN48" s="67" t="n">
        <v>58</v>
      </c>
      <c r="CO48" s="71">
        <f>IFERROR(IF(AND(CM48&lt;&gt;"",CN48&lt;&gt;""),ABS(CM48-CN48)/ABS(CM48)*100,""),"")</f>
        <v/>
      </c>
      <c r="CP48" s="69" t="inlineStr">
        <is>
          <t>Claude</t>
        </is>
      </c>
      <c r="CQ48" s="64" t="n">
        <v>0.52</v>
      </c>
      <c r="CR48" s="64" t="n">
        <v>0.1</v>
      </c>
      <c r="CS48" s="71">
        <f>IFERROR(IF(AND(CQ48&lt;&gt;"",CR48&lt;&gt;""),ABS(CQ48-CR48)/ABS(CQ48)*100,""),"")</f>
        <v/>
      </c>
      <c r="CT48" s="66" t="inlineStr">
        <is>
          <t>MANUAL FLAG</t>
        </is>
      </c>
      <c r="CU48" s="67" t="n">
        <v>0</v>
      </c>
      <c r="CV48" s="67" t="n">
        <v>0</v>
      </c>
      <c r="CW48" s="71">
        <f>IFERROR(IF(AND(CU48&lt;&gt;"",CV48&lt;&gt;""),ABS(CU48-CV48)/ABS(CU48)*100,""),"")</f>
        <v/>
      </c>
      <c r="CX48" s="69" t="inlineStr">
        <is>
          <t>Claude</t>
        </is>
      </c>
      <c r="CY48" s="68" t="n"/>
      <c r="CZ48" s="68" t="n"/>
      <c r="DA48" s="71">
        <f>IFERROR(IF(AND(CY48&lt;&gt;"",CZ48&lt;&gt;""),ABS(CY48-CZ48)/ABS(CY48)*100,""),"")</f>
        <v/>
      </c>
      <c r="DB48" s="69" t="inlineStr">
        <is>
          <t>ND</t>
        </is>
      </c>
      <c r="DC48" s="68" t="n"/>
      <c r="DD48" s="68" t="n"/>
      <c r="DE48" s="71">
        <f>IFERROR(IF(AND(DC48&lt;&gt;"",DD48&lt;&gt;""),ABS(DC48-DD48)/ABS(DC48)*100,""),"")</f>
        <v/>
      </c>
      <c r="DF48" s="69" t="inlineStr">
        <is>
          <t>ND</t>
        </is>
      </c>
      <c r="DG48" s="68" t="n"/>
      <c r="DH48" s="68" t="n"/>
      <c r="DI48" s="71">
        <f>IFERROR(IF(AND(DG48&lt;&gt;"",DH48&lt;&gt;""),ABS(DG48-DH48)/ABS(DG48)*100,""),"")</f>
        <v/>
      </c>
      <c r="DJ48" s="69" t="inlineStr">
        <is>
          <t>ND</t>
        </is>
      </c>
      <c r="DK48" s="68" t="n"/>
      <c r="DL48" s="68" t="n"/>
      <c r="DM48" s="71">
        <f>IFERROR(IF(AND(DK48&lt;&gt;"",DL48&lt;&gt;""),ABS(DK48-DL48)/ABS(DK48)*100,""),"")</f>
        <v/>
      </c>
      <c r="DN48" s="69" t="inlineStr">
        <is>
          <t>ND</t>
        </is>
      </c>
      <c r="DO48" s="68" t="n"/>
      <c r="DP48" s="68" t="n"/>
      <c r="DQ48" s="71">
        <f>IFERROR(IF(AND(DO48&lt;&gt;"",DP48&lt;&gt;""),ABS(DO48-DP48)/ABS(DO48)*100,""),"")</f>
        <v/>
      </c>
      <c r="DR48" s="69" t="inlineStr">
        <is>
          <t>ND</t>
        </is>
      </c>
      <c r="DS48" s="68" t="n"/>
      <c r="DT48" s="68" t="n"/>
      <c r="DU48" s="71">
        <f>IFERROR(IF(AND(DS48&lt;&gt;"",DT48&lt;&gt;""),ABS(DS48-DT48)/ABS(DS48)*100,""),"")</f>
        <v/>
      </c>
      <c r="DV48" s="69" t="inlineStr">
        <is>
          <t>ND</t>
        </is>
      </c>
      <c r="DW48" s="70" t="inlineStr">
        <is>
          <t>Claude only (DeepSeek pending). Source=2023 ed. Ind.7/8=ND: headcount 62 disabled, 5 foreign, no total workforce given. Ind.9=11.11, PROXY (same 'Above team lead' definition). Ind.18=ND: breakdown M=50.00%/F=83.00% - recorded for reference. Ind.19=7.0 (Total), breakdown M=9.0/F=6.0. Same management-only scope caveat as 2021 for Ind.16-18. || DEEPSEEK RECONCILIATION - MANUAL FLAGS: Ind.1 (Contract Workers%): Claude=17.39, DeepSeek=22.68, Diff=30.4%; Ind.2 (Female Permanent%): Claude=44.18, DeepSeek=35.41, Diff=19.9%; Ind.3 (Female Contract%): Claude=41.49, DeepSeek=65.11, Diff=56.9%; Ind.23 (LTIFR): Claude=0.52, DeepSeek=0.1, Diff=80.8%</t>
        </is>
      </c>
    </row>
    <row r="49" ht="15.75" customHeight="1" s="43">
      <c r="A49" s="62" t="n"/>
      <c r="B49" s="62" t="n"/>
      <c r="C49" s="62" t="inlineStr">
        <is>
          <t>Consumer Staples</t>
        </is>
      </c>
      <c r="D49" s="62" t="inlineStr">
        <is>
          <t>2023</t>
        </is>
      </c>
      <c r="E49" s="63" t="inlineStr">
        <is>
          <t>samyangfoods_2025.pdf (most recent covering 2023)</t>
        </is>
      </c>
      <c r="F49" s="62" t="n"/>
      <c r="G49" s="67" t="n">
        <v>19.3</v>
      </c>
      <c r="H49" s="67" t="n">
        <v>19.3</v>
      </c>
      <c r="I49" s="65">
        <f>IFERROR(IF(AND(G49&lt;&gt;"",H49&lt;&gt;""),ABS(G49-H49)/ABS(G49)*100,""),"")</f>
        <v/>
      </c>
      <c r="J49" s="62" t="inlineStr">
        <is>
          <t>Claude</t>
        </is>
      </c>
      <c r="K49" s="67" t="n">
        <v>43.87</v>
      </c>
      <c r="L49" s="67" t="n">
        <v>43.87</v>
      </c>
      <c r="M49" s="65">
        <f>IFERROR(IF(AND(K49&lt;&gt;"",L49&lt;&gt;""),ABS(K49-L49)/ABS(K49)*100,""),"")</f>
        <v/>
      </c>
      <c r="N49" s="62" t="inlineStr">
        <is>
          <t>Claude</t>
        </is>
      </c>
      <c r="O49" s="67" t="n">
        <v>41.04</v>
      </c>
      <c r="P49" s="67" t="n">
        <v>41.04</v>
      </c>
      <c r="Q49" s="65">
        <f>IFERROR(IF(AND(O49&lt;&gt;"",P49&lt;&gt;""),ABS(O49-P49)/ABS(O49)*100,""),"")</f>
        <v/>
      </c>
      <c r="R49" s="62" t="inlineStr">
        <is>
          <t>Claude</t>
        </is>
      </c>
      <c r="S49" s="67" t="n">
        <v>35.28</v>
      </c>
      <c r="T49" s="67" t="n">
        <v>35.29</v>
      </c>
      <c r="U49" s="65">
        <f>IFERROR(IF(AND(S49&lt;&gt;"",T49&lt;&gt;""),ABS(S49-T49)/ABS(S49)*100,""),"")</f>
        <v/>
      </c>
      <c r="V49" s="62" t="inlineStr">
        <is>
          <t>Claude</t>
        </is>
      </c>
      <c r="W49" s="67" t="n"/>
      <c r="X49" s="67" t="n"/>
      <c r="Y49" s="65">
        <f>IFERROR(IF(AND(W49&lt;&gt;"",X49&lt;&gt;""),ABS(W49-X49)/ABS(W49)*100,""),"")</f>
        <v/>
      </c>
      <c r="Z49" s="62" t="inlineStr">
        <is>
          <t>ND</t>
        </is>
      </c>
      <c r="AA49" s="67" t="n">
        <v>41.77</v>
      </c>
      <c r="AB49" s="67" t="n">
        <v>41.77</v>
      </c>
      <c r="AC49" s="65">
        <f>IFERROR(IF(AND(AA49&lt;&gt;"",AB49&lt;&gt;""),ABS(AA49-AB49)/ABS(AA49)*100,""),"")</f>
        <v/>
      </c>
      <c r="AD49" s="62" t="inlineStr">
        <is>
          <t>Claude</t>
        </is>
      </c>
      <c r="AE49" s="67" t="n"/>
      <c r="AF49" s="67" t="n"/>
      <c r="AG49" s="65">
        <f>IFERROR(IF(AND(AE49&lt;&gt;"",AF49&lt;&gt;""),ABS(AE49-AF49)/ABS(AE49)*100,""),"")</f>
        <v/>
      </c>
      <c r="AH49" s="62" t="inlineStr">
        <is>
          <t>ND</t>
        </is>
      </c>
      <c r="AI49" s="67" t="n"/>
      <c r="AJ49" s="67" t="n"/>
      <c r="AK49" s="65">
        <f>IFERROR(IF(AND(AI49&lt;&gt;"",AJ49&lt;&gt;""),ABS(AI49-AJ49)/ABS(AI49)*100,""),"")</f>
        <v/>
      </c>
      <c r="AL49" s="62" t="inlineStr">
        <is>
          <t>ND</t>
        </is>
      </c>
      <c r="AM49" s="67" t="n">
        <v>17.02</v>
      </c>
      <c r="AN49" s="67" t="n"/>
      <c r="AO49" s="65">
        <f>IFERROR(IF(AND(AM49&lt;&gt;"",AN49&lt;&gt;""),ABS(AM49-AN49)/ABS(AM49)*100,""),"")</f>
        <v/>
      </c>
      <c r="AP49" s="62" t="inlineStr">
        <is>
          <t>Claude</t>
        </is>
      </c>
      <c r="AQ49" s="67" t="n">
        <v>20</v>
      </c>
      <c r="AR49" s="67" t="n"/>
      <c r="AS49" s="65">
        <f>IFERROR(IF(AND(AQ49&lt;&gt;"",AR49&lt;&gt;""),ABS(AQ49-AR49)/ABS(AQ49)*100,""),"")</f>
        <v/>
      </c>
      <c r="AT49" s="62" t="inlineStr">
        <is>
          <t>Claude</t>
        </is>
      </c>
      <c r="AU49" s="67" t="n">
        <v>25</v>
      </c>
      <c r="AV49" s="67" t="n"/>
      <c r="AW49" s="65">
        <f>IFERROR(IF(AND(AU49&lt;&gt;"",AV49&lt;&gt;""),ABS(AU49-AV49)/ABS(AU49)*100,""),"")</f>
        <v/>
      </c>
      <c r="AX49" s="62" t="inlineStr">
        <is>
          <t>Claude</t>
        </is>
      </c>
      <c r="AY49" s="67" t="n"/>
      <c r="AZ49" s="67" t="n"/>
      <c r="BA49" s="65">
        <f>IFERROR(IF(AND(AY49&lt;&gt;"",AZ49&lt;&gt;""),ABS(AY49-AZ49)/ABS(AY49)*100,""),"")</f>
        <v/>
      </c>
      <c r="BB49" s="62" t="inlineStr">
        <is>
          <t>ND</t>
        </is>
      </c>
      <c r="BC49" s="67" t="n"/>
      <c r="BD49" s="67" t="n"/>
      <c r="BE49" s="65">
        <f>IFERROR(IF(AND(BC49&lt;&gt;"",BD49&lt;&gt;""),ABS(BC49-BD49)/ABS(BC49)*100,""),"")</f>
        <v/>
      </c>
      <c r="BF49" s="62" t="inlineStr">
        <is>
          <t>ND</t>
        </is>
      </c>
      <c r="BG49" s="67" t="n">
        <v>335000</v>
      </c>
      <c r="BH49" s="67" t="n">
        <v>335000</v>
      </c>
      <c r="BI49" s="65">
        <f>IFERROR(IF(AND(BG49&lt;&gt;"",BH49&lt;&gt;""),ABS(BG49-BH49)/ABS(BG49)*100,""),"")</f>
        <v/>
      </c>
      <c r="BJ49" s="62" t="inlineStr">
        <is>
          <t>Claude</t>
        </is>
      </c>
      <c r="BK49" s="67" t="n">
        <v>29.5</v>
      </c>
      <c r="BL49" s="67" t="n">
        <v>29.5</v>
      </c>
      <c r="BM49" s="65">
        <f>IFERROR(IF(AND(BK49&lt;&gt;"",BL49&lt;&gt;""),ABS(BK49-BL49)/ABS(BK49)*100,""),"")</f>
        <v/>
      </c>
      <c r="BN49" s="62" t="inlineStr">
        <is>
          <t>Claude</t>
        </is>
      </c>
      <c r="BO49" s="64" t="n">
        <v>5</v>
      </c>
      <c r="BP49" s="64" t="n">
        <v>94</v>
      </c>
      <c r="BQ49" s="65">
        <f>IFERROR(IF(AND(BO49&lt;&gt;"",BP49&lt;&gt;""),ABS(BO49-BP49)/ABS(BO49)*100,""),"")</f>
        <v/>
      </c>
      <c r="BR49" s="66" t="inlineStr">
        <is>
          <t>MANUAL FLAG</t>
        </is>
      </c>
      <c r="BS49" s="64" t="n">
        <v>7</v>
      </c>
      <c r="BT49" s="64" t="n">
        <v>29</v>
      </c>
      <c r="BU49" s="65">
        <f>IFERROR(IF(AND(BS49&lt;&gt;"",BT49&lt;&gt;""),ABS(BS49-BT49)/ABS(BS49)*100,""),"")</f>
        <v/>
      </c>
      <c r="BV49" s="66" t="inlineStr">
        <is>
          <t>MANUAL FLAG</t>
        </is>
      </c>
      <c r="BW49" s="67" t="n"/>
      <c r="BX49" s="67" t="n">
        <v>100</v>
      </c>
      <c r="BY49" s="65">
        <f>IFERROR(IF(AND(BW49&lt;&gt;"",BX49&lt;&gt;""),ABS(BW49-BX49)/ABS(BW49)*100,""),"")</f>
        <v/>
      </c>
      <c r="BZ49" s="62" t="inlineStr">
        <is>
          <t>DeepSeek</t>
        </is>
      </c>
      <c r="CA49" s="67" t="n">
        <v>9.699999999999999</v>
      </c>
      <c r="CB49" s="67" t="n">
        <v>9.699999999999999</v>
      </c>
      <c r="CC49" s="65">
        <f>IFERROR(IF(AND(CA49&lt;&gt;"",CB49&lt;&gt;""),ABS(CA49-CB49)/ABS(CA49)*100,""),"")</f>
        <v/>
      </c>
      <c r="CD49" s="62" t="inlineStr">
        <is>
          <t>Claude</t>
        </is>
      </c>
      <c r="CE49" s="64" t="n">
        <v>32.1</v>
      </c>
      <c r="CF49" s="64" t="n">
        <v>3.1</v>
      </c>
      <c r="CG49" s="65">
        <f>IFERROR(IF(AND(CE49&lt;&gt;"",CF49&lt;&gt;""),ABS(CE49-CF49)/ABS(CE49)*100,""),"")</f>
        <v/>
      </c>
      <c r="CH49" s="66" t="inlineStr">
        <is>
          <t>MANUAL FLAG</t>
        </is>
      </c>
      <c r="CI49" s="64" t="n">
        <v>7.1</v>
      </c>
      <c r="CJ49" s="64" t="n">
        <v>32.1</v>
      </c>
      <c r="CK49" s="65">
        <f>IFERROR(IF(AND(CI49&lt;&gt;"",CJ49&lt;&gt;""),ABS(CI49-CJ49)/ABS(CI49)*100,""),"")</f>
        <v/>
      </c>
      <c r="CL49" s="66" t="inlineStr">
        <is>
          <t>MANUAL FLAG</t>
        </is>
      </c>
      <c r="CM49" s="67" t="n">
        <v>72.59999999999999</v>
      </c>
      <c r="CN49" s="67" t="n">
        <v>72.59999999999999</v>
      </c>
      <c r="CO49" s="65">
        <f>IFERROR(IF(AND(CM49&lt;&gt;"",CN49&lt;&gt;""),ABS(CM49-CN49)/ABS(CM49)*100,""),"")</f>
        <v/>
      </c>
      <c r="CP49" s="62" t="inlineStr">
        <is>
          <t>Claude</t>
        </is>
      </c>
      <c r="CQ49" s="67" t="n">
        <v>0.26</v>
      </c>
      <c r="CR49" s="67" t="n">
        <v>0.26</v>
      </c>
      <c r="CS49" s="65">
        <f>IFERROR(IF(AND(CQ49&lt;&gt;"",CR49&lt;&gt;""),ABS(CQ49-CR49)/ABS(CQ49)*100,""),"")</f>
        <v/>
      </c>
      <c r="CT49" s="62" t="inlineStr">
        <is>
          <t>Claude</t>
        </is>
      </c>
      <c r="CU49" s="67" t="n">
        <v>0</v>
      </c>
      <c r="CV49" s="67" t="n">
        <v>0</v>
      </c>
      <c r="CW49" s="65">
        <f>IFERROR(IF(AND(CU49&lt;&gt;"",CV49&lt;&gt;""),ABS(CU49-CV49)/ABS(CU49)*100,""),"")</f>
        <v/>
      </c>
      <c r="CX49" s="62" t="inlineStr">
        <is>
          <t>Claude</t>
        </is>
      </c>
      <c r="CY49" s="68" t="n"/>
      <c r="CZ49" s="68" t="n"/>
      <c r="DA49" s="65">
        <f>IFERROR(IF(AND(CY49&lt;&gt;"",CZ49&lt;&gt;""),ABS(CY49-CZ49)/ABS(CY49)*100,""),"")</f>
        <v/>
      </c>
      <c r="DB49" s="62" t="inlineStr">
        <is>
          <t>ND</t>
        </is>
      </c>
      <c r="DC49" s="68" t="n"/>
      <c r="DD49" s="68" t="n"/>
      <c r="DE49" s="65">
        <f>IFERROR(IF(AND(DC49&lt;&gt;"",DD49&lt;&gt;""),ABS(DC49-DD49)/ABS(DC49)*100,""),"")</f>
        <v/>
      </c>
      <c r="DF49" s="62" t="inlineStr">
        <is>
          <t>ND</t>
        </is>
      </c>
      <c r="DG49" s="68" t="n"/>
      <c r="DH49" s="68" t="n"/>
      <c r="DI49" s="65">
        <f>IFERROR(IF(AND(DG49&lt;&gt;"",DH49&lt;&gt;""),ABS(DG49-DH49)/ABS(DG49)*100,""),"")</f>
        <v/>
      </c>
      <c r="DJ49" s="62" t="inlineStr">
        <is>
          <t>ND</t>
        </is>
      </c>
      <c r="DK49" s="68" t="n"/>
      <c r="DL49" s="68" t="n"/>
      <c r="DM49" s="65">
        <f>IFERROR(IF(AND(DK49&lt;&gt;"",DL49&lt;&gt;""),ABS(DK49-DL49)/ABS(DK49)*100,""),"")</f>
        <v/>
      </c>
      <c r="DN49" s="62" t="inlineStr">
        <is>
          <t>ND</t>
        </is>
      </c>
      <c r="DO49" s="68" t="n"/>
      <c r="DP49" s="68" t="n"/>
      <c r="DQ49" s="65">
        <f>IFERROR(IF(AND(DO49&lt;&gt;"",DP49&lt;&gt;""),ABS(DO49-DP49)/ABS(DO49)*100,""),"")</f>
        <v/>
      </c>
      <c r="DR49" s="62" t="inlineStr">
        <is>
          <t>ND</t>
        </is>
      </c>
      <c r="DS49" s="68" t="n"/>
      <c r="DT49" s="68" t="n"/>
      <c r="DU49" s="65">
        <f>IFERROR(IF(AND(DS49&lt;&gt;"",DT49&lt;&gt;""),ABS(DS49-DT49)/ABS(DS49)*100,""),"")</f>
        <v/>
      </c>
      <c r="DV49" s="62" t="inlineStr">
        <is>
          <t>ND</t>
        </is>
      </c>
      <c r="DW49" s="63" t="inlineStr">
        <is>
          <t>Claude only (DeepSeek pending). Source=2025 ed. (more recent than 2023 ed., used per 'most recent' rule). Ind.1/2/3/4/6 show minor (&lt;1pt) differences vs 2023 ed.'s values (19.49/43.97/40.64/35.29/41.77-matches) - immaterial, likely rounding/refinement. Ind.7/8=ND: headcount 60 disabled (matches 2023 ed. exactly), 5 foreign (matches), no total workforce given either edition. Ind.9=17.02, PROXY - matches 2023 ed.'s value exactly (both editions used same '팀장 이상/Above team lead' proxy definition). Ind.11=25.00, matches 2023 ed. exactly (2023 ed. had flagged a date-mismatch concern - as of Mar 2024 - but 2025 ed. confirms via a proper Dec-31 year-end table, so treating as confirmed). Ind.14=335,000 KRW - UNIT-CONVERTED and CROSS-VALIDATED: 2023 ed. reported '33.5' in units of KRW 10,000 = 335,000, exact match to 2025 ed.'s direct KRW figure - strong confirmation. Ind.17 (Parental Leave Male)=7 vs 2023 ed.'s 4 - REAL CONFLICT, not just rounding; possibly tied to a scope change (2023 ed. was management-only; 2025 ed. doesn't restate that scope limitation, may now be company-wide). Ind.18=ND: breakdown M=57%/F=100% vs 2023 ed.'s M=50%/F=100% - minor conflict on the Male figure, recorded for reference. **Ind.19/20/21/22 (Length of Service, Voluntary Turnover, Involuntary Turnover, Union Membership) all show LARGE jumps vs the 2023 ed. (6.0-&gt;9.7 yrs; 10.89-&gt;32.1%; 2.43-&gt;7.1%; 69.00-&gt;72.6%) and are explicitly labeled 'Restated in report' due to a calculation-basis change per the source's own footnotes (fn.5/fn.6/fn.1) - NOT extraction errors. Treat pre/post-2023 trend comparisons for these 4 indicators with caution; used most-recent (restated) values per your standing rule.** Ind.23=0.26, matches 2023 ed. exactly (LTIFR/LTIR relabeled but same 200,000-hr basis, no real conflict). || DEEPSEEK RECONCILIATION - MANUAL FLAGS: Ind.16 (Parental Leave F): Claude=5, DeepSeek=94, Diff=1780.0%; Ind.17 (Parental Leave M): Claude=7, DeepSeek=29, Diff=314.3%; Ind.20 (Voluntary Turnover): Claude=32.1, DeepSeek=3.1, Diff=90.3%; Ind.21 (Involuntary Turnover): Claude=7.1, DeepSeek=32.1, Diff=352.1% || IMPORTANT: DeepSeek's Ind.20/21 (Voluntary/Involuntary Turnover) values appear to be SWAPPED - DeepSeek's Involuntary figure matches Claude's Voluntary figure almost exactly (and vice versa). This looks like a labeling error in DeepSeek's extraction, not a genuine data disagreement. Recommend treating the underlying magnitudes as likely correct once swapped back.</t>
        </is>
      </c>
    </row>
    <row r="50" ht="15.75" customHeight="1" s="43">
      <c r="A50" s="69" t="n"/>
      <c r="B50" s="69" t="n"/>
      <c r="C50" s="69" t="inlineStr">
        <is>
          <t>Consumer Staples</t>
        </is>
      </c>
      <c r="D50" s="69" t="inlineStr">
        <is>
          <t>2024</t>
        </is>
      </c>
      <c r="E50" s="70" t="inlineStr">
        <is>
          <t>samyangfoods_2025.pdf</t>
        </is>
      </c>
      <c r="F50" s="69" t="n"/>
      <c r="G50" s="67" t="n">
        <v>18.16</v>
      </c>
      <c r="H50" s="67" t="n">
        <v>18.54</v>
      </c>
      <c r="I50" s="71">
        <f>IFERROR(IF(AND(G50&lt;&gt;"",H50&lt;&gt;""),ABS(G50-H50)/ABS(G50)*100,""),"")</f>
        <v/>
      </c>
      <c r="J50" s="69" t="inlineStr">
        <is>
          <t>Claude</t>
        </is>
      </c>
      <c r="K50" s="67" t="n">
        <v>43.29</v>
      </c>
      <c r="L50" s="67" t="n">
        <v>43.29</v>
      </c>
      <c r="M50" s="71">
        <f>IFERROR(IF(AND(K50&lt;&gt;"",L50&lt;&gt;""),ABS(K50-L50)/ABS(K50)*100,""),"")</f>
        <v/>
      </c>
      <c r="N50" s="69" t="inlineStr">
        <is>
          <t>Claude</t>
        </is>
      </c>
      <c r="O50" s="67" t="n">
        <v>35.94</v>
      </c>
      <c r="P50" s="67" t="n">
        <v>35.21</v>
      </c>
      <c r="Q50" s="71">
        <f>IFERROR(IF(AND(O50&lt;&gt;"",P50&lt;&gt;""),ABS(O50-P50)/ABS(O50)*100,""),"")</f>
        <v/>
      </c>
      <c r="R50" s="69" t="inlineStr">
        <is>
          <t>Claude</t>
        </is>
      </c>
      <c r="S50" s="67" t="n">
        <v>37.91</v>
      </c>
      <c r="T50" s="67" t="n">
        <v>37.91</v>
      </c>
      <c r="U50" s="71">
        <f>IFERROR(IF(AND(S50&lt;&gt;"",T50&lt;&gt;""),ABS(S50-T50)/ABS(S50)*100,""),"")</f>
        <v/>
      </c>
      <c r="V50" s="69" t="inlineStr">
        <is>
          <t>Claude</t>
        </is>
      </c>
      <c r="W50" s="67" t="n"/>
      <c r="X50" s="67" t="n"/>
      <c r="Y50" s="71">
        <f>IFERROR(IF(AND(W50&lt;&gt;"",X50&lt;&gt;""),ABS(W50-X50)/ABS(W50)*100,""),"")</f>
        <v/>
      </c>
      <c r="Z50" s="69" t="inlineStr">
        <is>
          <t>ND</t>
        </is>
      </c>
      <c r="AA50" s="67" t="n">
        <v>39.85</v>
      </c>
      <c r="AB50" s="67" t="n">
        <v>39.85</v>
      </c>
      <c r="AC50" s="71">
        <f>IFERROR(IF(AND(AA50&lt;&gt;"",AB50&lt;&gt;""),ABS(AA50-AB50)/ABS(AA50)*100,""),"")</f>
        <v/>
      </c>
      <c r="AD50" s="69" t="inlineStr">
        <is>
          <t>Claude</t>
        </is>
      </c>
      <c r="AE50" s="67" t="n"/>
      <c r="AF50" s="67" t="n"/>
      <c r="AG50" s="71">
        <f>IFERROR(IF(AND(AE50&lt;&gt;"",AF50&lt;&gt;""),ABS(AE50-AF50)/ABS(AE50)*100,""),"")</f>
        <v/>
      </c>
      <c r="AH50" s="69" t="inlineStr">
        <is>
          <t>ND</t>
        </is>
      </c>
      <c r="AI50" s="67" t="n"/>
      <c r="AJ50" s="67" t="n"/>
      <c r="AK50" s="71">
        <f>IFERROR(IF(AND(AI50&lt;&gt;"",AJ50&lt;&gt;""),ABS(AI50-AJ50)/ABS(AI50)*100,""),"")</f>
        <v/>
      </c>
      <c r="AL50" s="69" t="inlineStr">
        <is>
          <t>ND</t>
        </is>
      </c>
      <c r="AM50" s="67" t="n">
        <v>21.51</v>
      </c>
      <c r="AN50" s="67" t="n"/>
      <c r="AO50" s="71">
        <f>IFERROR(IF(AND(AM50&lt;&gt;"",AN50&lt;&gt;""),ABS(AM50-AN50)/ABS(AM50)*100,""),"")</f>
        <v/>
      </c>
      <c r="AP50" s="69" t="inlineStr">
        <is>
          <t>Claude</t>
        </is>
      </c>
      <c r="AQ50" s="67" t="n">
        <v>36.36</v>
      </c>
      <c r="AR50" s="67" t="n"/>
      <c r="AS50" s="71">
        <f>IFERROR(IF(AND(AQ50&lt;&gt;"",AR50&lt;&gt;""),ABS(AQ50-AR50)/ABS(AQ50)*100,""),"")</f>
        <v/>
      </c>
      <c r="AT50" s="69" t="inlineStr">
        <is>
          <t>Claude</t>
        </is>
      </c>
      <c r="AU50" s="67" t="n">
        <v>25</v>
      </c>
      <c r="AV50" s="67" t="n"/>
      <c r="AW50" s="71">
        <f>IFERROR(IF(AND(AU50&lt;&gt;"",AV50&lt;&gt;""),ABS(AU50-AV50)/ABS(AU50)*100,""),"")</f>
        <v/>
      </c>
      <c r="AX50" s="69" t="inlineStr">
        <is>
          <t>Claude</t>
        </is>
      </c>
      <c r="AY50" s="67" t="n"/>
      <c r="AZ50" s="67" t="n"/>
      <c r="BA50" s="71">
        <f>IFERROR(IF(AND(AY50&lt;&gt;"",AZ50&lt;&gt;""),ABS(AY50-AZ50)/ABS(AY50)*100,""),"")</f>
        <v/>
      </c>
      <c r="BB50" s="69" t="inlineStr">
        <is>
          <t>ND</t>
        </is>
      </c>
      <c r="BC50" s="67" t="n"/>
      <c r="BD50" s="67" t="n"/>
      <c r="BE50" s="71">
        <f>IFERROR(IF(AND(BC50&lt;&gt;"",BD50&lt;&gt;""),ABS(BC50-BD50)/ABS(BC50)*100,""),"")</f>
        <v/>
      </c>
      <c r="BF50" s="69" t="inlineStr">
        <is>
          <t>ND</t>
        </is>
      </c>
      <c r="BG50" s="67" t="n">
        <v>306000</v>
      </c>
      <c r="BH50" s="67" t="n">
        <v>306000</v>
      </c>
      <c r="BI50" s="71">
        <f>IFERROR(IF(AND(BG50&lt;&gt;"",BH50&lt;&gt;""),ABS(BG50-BH50)/ABS(BG50)*100,""),"")</f>
        <v/>
      </c>
      <c r="BJ50" s="69" t="inlineStr">
        <is>
          <t>Claude</t>
        </is>
      </c>
      <c r="BK50" s="67" t="n">
        <v>27.8</v>
      </c>
      <c r="BL50" s="67" t="n">
        <v>27.8</v>
      </c>
      <c r="BM50" s="71">
        <f>IFERROR(IF(AND(BK50&lt;&gt;"",BL50&lt;&gt;""),ABS(BK50-BL50)/ABS(BK50)*100,""),"")</f>
        <v/>
      </c>
      <c r="BN50" s="69" t="inlineStr">
        <is>
          <t>Claude</t>
        </is>
      </c>
      <c r="BO50" s="64" t="n">
        <v>10</v>
      </c>
      <c r="BP50" s="64" t="n">
        <v>116</v>
      </c>
      <c r="BQ50" s="71">
        <f>IFERROR(IF(AND(BO50&lt;&gt;"",BP50&lt;&gt;""),ABS(BO50-BP50)/ABS(BO50)*100,""),"")</f>
        <v/>
      </c>
      <c r="BR50" s="66" t="inlineStr">
        <is>
          <t>MANUAL FLAG</t>
        </is>
      </c>
      <c r="BS50" s="64" t="n">
        <v>5</v>
      </c>
      <c r="BT50" s="64" t="n">
        <v>32</v>
      </c>
      <c r="BU50" s="71">
        <f>IFERROR(IF(AND(BS50&lt;&gt;"",BT50&lt;&gt;""),ABS(BS50-BT50)/ABS(BS50)*100,""),"")</f>
        <v/>
      </c>
      <c r="BV50" s="66" t="inlineStr">
        <is>
          <t>MANUAL FLAG</t>
        </is>
      </c>
      <c r="BW50" s="67" t="n"/>
      <c r="BX50" s="67" t="n">
        <v>80</v>
      </c>
      <c r="BY50" s="71">
        <f>IFERROR(IF(AND(BW50&lt;&gt;"",BX50&lt;&gt;""),ABS(BW50-BX50)/ABS(BW50)*100,""),"")</f>
        <v/>
      </c>
      <c r="BZ50" s="69" t="inlineStr">
        <is>
          <t>DeepSeek</t>
        </is>
      </c>
      <c r="CA50" s="67" t="n">
        <v>8.199999999999999</v>
      </c>
      <c r="CB50" s="67" t="n">
        <v>8.199999999999999</v>
      </c>
      <c r="CC50" s="71">
        <f>IFERROR(IF(AND(CA50&lt;&gt;"",CB50&lt;&gt;""),ABS(CA50-CB50)/ABS(CA50)*100,""),"")</f>
        <v/>
      </c>
      <c r="CD50" s="69" t="inlineStr">
        <is>
          <t>Claude</t>
        </is>
      </c>
      <c r="CE50" s="64" t="n">
        <v>21</v>
      </c>
      <c r="CF50" s="64" t="n">
        <v>2.1</v>
      </c>
      <c r="CG50" s="71">
        <f>IFERROR(IF(AND(CE50&lt;&gt;"",CF50&lt;&gt;""),ABS(CE50-CF50)/ABS(CE50)*100,""),"")</f>
        <v/>
      </c>
      <c r="CH50" s="66" t="inlineStr">
        <is>
          <t>MANUAL FLAG</t>
        </is>
      </c>
      <c r="CI50" s="64" t="n">
        <v>6.6</v>
      </c>
      <c r="CJ50" s="64" t="n">
        <v>21</v>
      </c>
      <c r="CK50" s="71">
        <f>IFERROR(IF(AND(CI50&lt;&gt;"",CJ50&lt;&gt;""),ABS(CI50-CJ50)/ABS(CI50)*100,""),"")</f>
        <v/>
      </c>
      <c r="CL50" s="66" t="inlineStr">
        <is>
          <t>MANUAL FLAG</t>
        </is>
      </c>
      <c r="CM50" s="67" t="n">
        <v>66.2</v>
      </c>
      <c r="CN50" s="67" t="n">
        <v>66.2</v>
      </c>
      <c r="CO50" s="71">
        <f>IFERROR(IF(AND(CM50&lt;&gt;"",CN50&lt;&gt;""),ABS(CM50-CN50)/ABS(CM50)*100,""),"")</f>
        <v/>
      </c>
      <c r="CP50" s="69" t="inlineStr">
        <is>
          <t>Claude</t>
        </is>
      </c>
      <c r="CQ50" s="67" t="n">
        <v>0.12</v>
      </c>
      <c r="CR50" s="67" t="n">
        <v>0.12</v>
      </c>
      <c r="CS50" s="71">
        <f>IFERROR(IF(AND(CQ50&lt;&gt;"",CR50&lt;&gt;""),ABS(CQ50-CR50)/ABS(CQ50)*100,""),"")</f>
        <v/>
      </c>
      <c r="CT50" s="69" t="inlineStr">
        <is>
          <t>Claude</t>
        </is>
      </c>
      <c r="CU50" s="67" t="n">
        <v>0</v>
      </c>
      <c r="CV50" s="67" t="n">
        <v>0</v>
      </c>
      <c r="CW50" s="71">
        <f>IFERROR(IF(AND(CU50&lt;&gt;"",CV50&lt;&gt;""),ABS(CU50-CV50)/ABS(CU50)*100,""),"")</f>
        <v/>
      </c>
      <c r="CX50" s="69" t="inlineStr">
        <is>
          <t>Claude</t>
        </is>
      </c>
      <c r="CY50" s="68" t="n"/>
      <c r="CZ50" s="68" t="n"/>
      <c r="DA50" s="71">
        <f>IFERROR(IF(AND(CY50&lt;&gt;"",CZ50&lt;&gt;""),ABS(CY50-CZ50)/ABS(CY50)*100,""),"")</f>
        <v/>
      </c>
      <c r="DB50" s="69" t="inlineStr">
        <is>
          <t>ND</t>
        </is>
      </c>
      <c r="DC50" s="68" t="n"/>
      <c r="DD50" s="68" t="n"/>
      <c r="DE50" s="71">
        <f>IFERROR(IF(AND(DC50&lt;&gt;"",DD50&lt;&gt;""),ABS(DC50-DD50)/ABS(DC50)*100,""),"")</f>
        <v/>
      </c>
      <c r="DF50" s="69" t="inlineStr">
        <is>
          <t>ND</t>
        </is>
      </c>
      <c r="DG50" s="68" t="n"/>
      <c r="DH50" s="68" t="n"/>
      <c r="DI50" s="71">
        <f>IFERROR(IF(AND(DG50&lt;&gt;"",DH50&lt;&gt;""),ABS(DG50-DH50)/ABS(DG50)*100,""),"")</f>
        <v/>
      </c>
      <c r="DJ50" s="69" t="inlineStr">
        <is>
          <t>ND</t>
        </is>
      </c>
      <c r="DK50" s="68" t="n"/>
      <c r="DL50" s="68" t="n"/>
      <c r="DM50" s="71">
        <f>IFERROR(IF(AND(DK50&lt;&gt;"",DL50&lt;&gt;""),ABS(DK50-DL50)/ABS(DK50)*100,""),"")</f>
        <v/>
      </c>
      <c r="DN50" s="69" t="inlineStr">
        <is>
          <t>ND</t>
        </is>
      </c>
      <c r="DO50" s="68" t="n"/>
      <c r="DP50" s="68" t="n"/>
      <c r="DQ50" s="71">
        <f>IFERROR(IF(AND(DO50&lt;&gt;"",DP50&lt;&gt;""),ABS(DO50-DP50)/ABS(DO50)*100,""),"")</f>
        <v/>
      </c>
      <c r="DR50" s="69" t="inlineStr">
        <is>
          <t>ND</t>
        </is>
      </c>
      <c r="DS50" s="68" t="n"/>
      <c r="DT50" s="68" t="n"/>
      <c r="DU50" s="71">
        <f>IFERROR(IF(AND(DS50&lt;&gt;"",DT50&lt;&gt;""),ABS(DS50-DT50)/ABS(DS50)*100,""),"")</f>
        <v/>
      </c>
      <c r="DV50" s="69" t="inlineStr">
        <is>
          <t>ND</t>
        </is>
      </c>
      <c r="DW50" s="70" t="inlineStr">
        <is>
          <t>Claude only (DeepSeek pending). Source=2025 ed., only report covering 2024. Ind.7/8=ND: headcount 68 disabled, 8 foreign, no total workforce given. Ind.9=21.51, PROXY (same definition). Ind.18=ND: breakdown M=100%/F=80% - recorded for reference. Ind.19-22 continue on the RESTATED basis established in 2023 (see 2023 note) - internally consistent with 2023's restated figures, just a real trend within the new basis. || DEEPSEEK RECONCILIATION - MANUAL FLAGS: Ind.16 (Parental Leave F): Claude=10, DeepSeek=116, Diff=1060.0%; Ind.17 (Parental Leave M): Claude=5, DeepSeek=32, Diff=540.0%; Ind.20 (Voluntary Turnover): Claude=21, DeepSeek=2.1, Diff=90.0%; Ind.21 (Involuntary Turnover): Claude=6.6, DeepSeek=21.0, Diff=218.2% || IMPORTANT: DeepSeek's Ind.20/21 (Voluntary/Involuntary Turnover) values appear to be SWAPPED - DeepSeek's Involuntary figure matches Claude's Voluntary figure almost exactly (and vice versa). This looks like a labeling error in DeepSeek's extraction, not a genuine data disagreement. Recommend treating the underlying magnitudes as likely correct once swapped back.</t>
        </is>
      </c>
    </row>
    <row r="51" ht="4.5" customHeight="1" s="43">
      <c r="A51" s="72" t="n"/>
      <c r="B51" s="72" t="n"/>
      <c r="C51" s="72" t="n"/>
      <c r="D51" s="72" t="n"/>
      <c r="E51" s="72" t="n"/>
      <c r="F51" s="72" t="n"/>
      <c r="G51" s="72" t="n"/>
      <c r="H51" s="72" t="n"/>
      <c r="I51" s="72" t="n"/>
      <c r="J51" s="72" t="n"/>
      <c r="K51" s="72" t="n"/>
      <c r="L51" s="72" t="n"/>
      <c r="M51" s="72" t="n"/>
      <c r="N51" s="72" t="n"/>
      <c r="O51" s="72" t="n"/>
      <c r="P51" s="72" t="n"/>
      <c r="Q51" s="72" t="n"/>
      <c r="R51" s="72" t="n"/>
      <c r="S51" s="72" t="n"/>
      <c r="T51" s="72" t="n"/>
      <c r="U51" s="72" t="n"/>
      <c r="V51" s="72" t="n"/>
      <c r="W51" s="72" t="n"/>
      <c r="X51" s="72" t="n"/>
      <c r="Y51" s="72" t="n"/>
      <c r="Z51" s="72" t="n"/>
      <c r="AA51" s="72" t="n"/>
      <c r="AB51" s="72" t="n"/>
      <c r="AC51" s="72" t="n"/>
      <c r="AD51" s="72" t="n"/>
      <c r="AE51" s="72" t="n"/>
      <c r="AF51" s="72" t="n"/>
      <c r="AG51" s="72" t="n"/>
      <c r="AH51" s="72" t="n"/>
      <c r="AI51" s="72" t="n"/>
      <c r="AJ51" s="72" t="n"/>
      <c r="AK51" s="72" t="n"/>
      <c r="AL51" s="72" t="n"/>
      <c r="AM51" s="72" t="n"/>
      <c r="AN51" s="72" t="n"/>
      <c r="AO51" s="72" t="n"/>
      <c r="AP51" s="72" t="n"/>
      <c r="AQ51" s="72" t="n"/>
      <c r="AR51" s="72" t="n"/>
      <c r="AS51" s="72" t="n"/>
      <c r="AT51" s="72" t="n"/>
      <c r="AU51" s="72" t="n"/>
      <c r="AV51" s="72" t="n"/>
      <c r="AW51" s="72" t="n"/>
      <c r="AX51" s="72" t="n"/>
      <c r="AY51" s="72" t="n"/>
      <c r="AZ51" s="72" t="n"/>
      <c r="BA51" s="72" t="n"/>
      <c r="BB51" s="72" t="n"/>
      <c r="BC51" s="72" t="n"/>
      <c r="BD51" s="72" t="n"/>
      <c r="BE51" s="72" t="n"/>
      <c r="BF51" s="72" t="n"/>
      <c r="BG51" s="72" t="n"/>
      <c r="BH51" s="72" t="n"/>
      <c r="BI51" s="72" t="n"/>
      <c r="BJ51" s="72" t="n"/>
      <c r="BK51" s="72" t="n"/>
      <c r="BL51" s="72" t="n"/>
      <c r="BM51" s="72" t="n"/>
      <c r="BN51" s="72" t="n"/>
      <c r="BO51" s="72" t="n"/>
      <c r="BP51" s="72" t="n"/>
      <c r="BQ51" s="72" t="n"/>
      <c r="BR51" s="72" t="n"/>
      <c r="BS51" s="72" t="n"/>
      <c r="BT51" s="72" t="n"/>
      <c r="BU51" s="72" t="n"/>
      <c r="BV51" s="72" t="n"/>
      <c r="BW51" s="72" t="n"/>
      <c r="BX51" s="72" t="n"/>
      <c r="BY51" s="72" t="n"/>
      <c r="BZ51" s="72" t="n"/>
      <c r="CA51" s="72" t="n"/>
      <c r="CB51" s="72" t="n"/>
      <c r="CC51" s="72" t="n"/>
      <c r="CD51" s="72" t="n"/>
      <c r="CE51" s="72" t="n"/>
      <c r="CF51" s="72" t="n"/>
      <c r="CG51" s="72" t="n"/>
      <c r="CH51" s="72" t="n"/>
      <c r="CI51" s="72" t="n"/>
      <c r="CJ51" s="72" t="n"/>
      <c r="CK51" s="72" t="n"/>
      <c r="CL51" s="72" t="n"/>
      <c r="CM51" s="72" t="n"/>
      <c r="CN51" s="72" t="n"/>
      <c r="CO51" s="72" t="n"/>
      <c r="CP51" s="72" t="n"/>
      <c r="CQ51" s="72" t="n"/>
      <c r="CR51" s="72" t="n"/>
      <c r="CS51" s="72" t="n"/>
      <c r="CT51" s="72" t="n"/>
      <c r="CU51" s="72" t="n"/>
      <c r="CV51" s="72" t="n"/>
      <c r="CW51" s="72" t="n"/>
      <c r="CX51" s="72" t="n"/>
      <c r="CY51" s="72" t="n"/>
      <c r="CZ51" s="72" t="n"/>
      <c r="DA51" s="72" t="n"/>
      <c r="DB51" s="72" t="n"/>
      <c r="DC51" s="72" t="n"/>
      <c r="DD51" s="72" t="n"/>
      <c r="DE51" s="72" t="n"/>
      <c r="DF51" s="72" t="n"/>
      <c r="DG51" s="72" t="n"/>
      <c r="DH51" s="72" t="n"/>
      <c r="DI51" s="72" t="n"/>
      <c r="DJ51" s="72" t="n"/>
      <c r="DK51" s="72" t="n"/>
      <c r="DL51" s="72" t="n"/>
      <c r="DM51" s="72" t="n"/>
      <c r="DN51" s="72" t="n"/>
      <c r="DO51" s="72" t="n"/>
      <c r="DP51" s="72" t="n"/>
      <c r="DQ51" s="72" t="n"/>
      <c r="DR51" s="72" t="n"/>
      <c r="DS51" s="72" t="n"/>
      <c r="DT51" s="72" t="n"/>
      <c r="DU51" s="72" t="n"/>
      <c r="DV51" s="72" t="n"/>
      <c r="DW51" s="72" t="n"/>
    </row>
    <row r="52" ht="15.75" customHeight="1" s="43">
      <c r="A52" s="61" t="inlineStr">
        <is>
          <t>OCI HOLDINGS</t>
        </is>
      </c>
      <c r="B52" s="62" t="inlineStr">
        <is>
          <t>010060</t>
        </is>
      </c>
      <c r="C52" s="62" t="inlineStr">
        <is>
          <t>Financials</t>
        </is>
      </c>
      <c r="D52" s="62" t="inlineStr">
        <is>
          <t>2018</t>
        </is>
      </c>
      <c r="E52" s="63" t="n"/>
      <c r="F52" s="62" t="n"/>
      <c r="G52" s="67" t="n"/>
      <c r="H52" s="67" t="n"/>
      <c r="I52" s="65">
        <f>IFERROR(IF(AND(G52&lt;&gt;"",H52&lt;&gt;""),ABS(G52-H52)/ABS(G52)*100,""),"")</f>
        <v/>
      </c>
      <c r="J52" s="62" t="n"/>
      <c r="K52" s="67" t="n"/>
      <c r="L52" s="67" t="n"/>
      <c r="M52" s="65">
        <f>IFERROR(IF(AND(K52&lt;&gt;"",L52&lt;&gt;""),ABS(K52-L52)/ABS(K52)*100,""),"")</f>
        <v/>
      </c>
      <c r="N52" s="62" t="n"/>
      <c r="O52" s="67" t="n"/>
      <c r="P52" s="67" t="n"/>
      <c r="Q52" s="65">
        <f>IFERROR(IF(AND(O52&lt;&gt;"",P52&lt;&gt;""),ABS(O52-P52)/ABS(O52)*100,""),"")</f>
        <v/>
      </c>
      <c r="R52" s="62" t="n"/>
      <c r="S52" s="67" t="n"/>
      <c r="T52" s="67" t="n"/>
      <c r="U52" s="65">
        <f>IFERROR(IF(AND(S52&lt;&gt;"",T52&lt;&gt;""),ABS(S52-T52)/ABS(S52)*100,""),"")</f>
        <v/>
      </c>
      <c r="V52" s="62" t="n"/>
      <c r="W52" s="67" t="n"/>
      <c r="X52" s="67" t="n"/>
      <c r="Y52" s="65">
        <f>IFERROR(IF(AND(W52&lt;&gt;"",X52&lt;&gt;""),ABS(W52-X52)/ABS(W52)*100,""),"")</f>
        <v/>
      </c>
      <c r="Z52" s="62" t="n"/>
      <c r="AA52" s="67" t="n"/>
      <c r="AB52" s="67" t="n"/>
      <c r="AC52" s="65">
        <f>IFERROR(IF(AND(AA52&lt;&gt;"",AB52&lt;&gt;""),ABS(AA52-AB52)/ABS(AA52)*100,""),"")</f>
        <v/>
      </c>
      <c r="AD52" s="62" t="n"/>
      <c r="AE52" s="67" t="n"/>
      <c r="AF52" s="67" t="n"/>
      <c r="AG52" s="65">
        <f>IFERROR(IF(AND(AE52&lt;&gt;"",AF52&lt;&gt;""),ABS(AE52-AF52)/ABS(AE52)*100,""),"")</f>
        <v/>
      </c>
      <c r="AH52" s="62" t="n"/>
      <c r="AI52" s="67" t="n"/>
      <c r="AJ52" s="67" t="n"/>
      <c r="AK52" s="65">
        <f>IFERROR(IF(AND(AI52&lt;&gt;"",AJ52&lt;&gt;""),ABS(AI52-AJ52)/ABS(AI52)*100,""),"")</f>
        <v/>
      </c>
      <c r="AL52" s="62" t="n"/>
      <c r="AM52" s="67" t="n"/>
      <c r="AN52" s="67" t="n"/>
      <c r="AO52" s="65">
        <f>IFERROR(IF(AND(AM52&lt;&gt;"",AN52&lt;&gt;""),ABS(AM52-AN52)/ABS(AM52)*100,""),"")</f>
        <v/>
      </c>
      <c r="AP52" s="62" t="n"/>
      <c r="AQ52" s="67" t="n"/>
      <c r="AR52" s="67" t="n"/>
      <c r="AS52" s="65">
        <f>IFERROR(IF(AND(AQ52&lt;&gt;"",AR52&lt;&gt;""),ABS(AQ52-AR52)/ABS(AQ52)*100,""),"")</f>
        <v/>
      </c>
      <c r="AT52" s="62" t="n"/>
      <c r="AU52" s="67" t="n"/>
      <c r="AV52" s="67" t="n"/>
      <c r="AW52" s="65">
        <f>IFERROR(IF(AND(AU52&lt;&gt;"",AV52&lt;&gt;""),ABS(AU52-AV52)/ABS(AU52)*100,""),"")</f>
        <v/>
      </c>
      <c r="AX52" s="62" t="n"/>
      <c r="AY52" s="67" t="n"/>
      <c r="AZ52" s="67" t="n"/>
      <c r="BA52" s="65">
        <f>IFERROR(IF(AND(AY52&lt;&gt;"",AZ52&lt;&gt;""),ABS(AY52-AZ52)/ABS(AY52)*100,""),"")</f>
        <v/>
      </c>
      <c r="BB52" s="62" t="n"/>
      <c r="BC52" s="67" t="n"/>
      <c r="BD52" s="67" t="n"/>
      <c r="BE52" s="65">
        <f>IFERROR(IF(AND(BC52&lt;&gt;"",BD52&lt;&gt;""),ABS(BC52-BD52)/ABS(BC52)*100,""),"")</f>
        <v/>
      </c>
      <c r="BF52" s="62" t="n"/>
      <c r="BG52" s="67" t="n"/>
      <c r="BH52" s="67" t="n"/>
      <c r="BI52" s="65">
        <f>IFERROR(IF(AND(BG52&lt;&gt;"",BH52&lt;&gt;""),ABS(BG52-BH52)/ABS(BG52)*100,""),"")</f>
        <v/>
      </c>
      <c r="BJ52" s="62" t="n"/>
      <c r="BK52" s="67" t="n"/>
      <c r="BL52" s="67" t="n"/>
      <c r="BM52" s="65">
        <f>IFERROR(IF(AND(BK52&lt;&gt;"",BL52&lt;&gt;""),ABS(BK52-BL52)/ABS(BK52)*100,""),"")</f>
        <v/>
      </c>
      <c r="BN52" s="62" t="n"/>
      <c r="BO52" s="67" t="n"/>
      <c r="BP52" s="67" t="n"/>
      <c r="BQ52" s="65">
        <f>IFERROR(IF(AND(BO52&lt;&gt;"",BP52&lt;&gt;""),ABS(BO52-BP52)/ABS(BO52)*100,""),"")</f>
        <v/>
      </c>
      <c r="BR52" s="62" t="n"/>
      <c r="BS52" s="67" t="n"/>
      <c r="BT52" s="67" t="n"/>
      <c r="BU52" s="65">
        <f>IFERROR(IF(AND(BS52&lt;&gt;"",BT52&lt;&gt;""),ABS(BS52-BT52)/ABS(BS52)*100,""),"")</f>
        <v/>
      </c>
      <c r="BV52" s="62" t="n"/>
      <c r="BW52" s="67" t="n"/>
      <c r="BX52" s="67" t="n"/>
      <c r="BY52" s="65">
        <f>IFERROR(IF(AND(BW52&lt;&gt;"",BX52&lt;&gt;""),ABS(BW52-BX52)/ABS(BW52)*100,""),"")</f>
        <v/>
      </c>
      <c r="BZ52" s="62" t="n"/>
      <c r="CA52" s="67" t="n"/>
      <c r="CB52" s="67" t="n"/>
      <c r="CC52" s="65">
        <f>IFERROR(IF(AND(CA52&lt;&gt;"",CB52&lt;&gt;""),ABS(CA52-CB52)/ABS(CA52)*100,""),"")</f>
        <v/>
      </c>
      <c r="CD52" s="62" t="n"/>
      <c r="CE52" s="67" t="n"/>
      <c r="CF52" s="67" t="n"/>
      <c r="CG52" s="65">
        <f>IFERROR(IF(AND(CE52&lt;&gt;"",CF52&lt;&gt;""),ABS(CE52-CF52)/ABS(CE52)*100,""),"")</f>
        <v/>
      </c>
      <c r="CH52" s="62" t="n"/>
      <c r="CI52" s="67" t="n"/>
      <c r="CJ52" s="67" t="n"/>
      <c r="CK52" s="65">
        <f>IFERROR(IF(AND(CI52&lt;&gt;"",CJ52&lt;&gt;""),ABS(CI52-CJ52)/ABS(CI52)*100,""),"")</f>
        <v/>
      </c>
      <c r="CL52" s="62" t="n"/>
      <c r="CM52" s="67" t="n"/>
      <c r="CN52" s="67" t="n"/>
      <c r="CO52" s="65">
        <f>IFERROR(IF(AND(CM52&lt;&gt;"",CN52&lt;&gt;""),ABS(CM52-CN52)/ABS(CM52)*100,""),"")</f>
        <v/>
      </c>
      <c r="CP52" s="62" t="n"/>
      <c r="CQ52" s="67" t="n"/>
      <c r="CR52" s="67" t="n"/>
      <c r="CS52" s="65">
        <f>IFERROR(IF(AND(CQ52&lt;&gt;"",CR52&lt;&gt;""),ABS(CQ52-CR52)/ABS(CQ52)*100,""),"")</f>
        <v/>
      </c>
      <c r="CT52" s="62" t="n"/>
      <c r="CU52" s="67" t="n"/>
      <c r="CV52" s="67" t="n"/>
      <c r="CW52" s="65">
        <f>IFERROR(IF(AND(CU52&lt;&gt;"",CV52&lt;&gt;""),ABS(CU52-CV52)/ABS(CU52)*100,""),"")</f>
        <v/>
      </c>
      <c r="CX52" s="62" t="n"/>
      <c r="CY52" s="68" t="n"/>
      <c r="CZ52" s="68" t="n"/>
      <c r="DA52" s="65">
        <f>IFERROR(IF(AND(CY52&lt;&gt;"",CZ52&lt;&gt;""),ABS(CY52-CZ52)/ABS(CY52)*100,""),"")</f>
        <v/>
      </c>
      <c r="DB52" s="62" t="n"/>
      <c r="DC52" s="68" t="n"/>
      <c r="DD52" s="68" t="n"/>
      <c r="DE52" s="65">
        <f>IFERROR(IF(AND(DC52&lt;&gt;"",DD52&lt;&gt;""),ABS(DC52-DD52)/ABS(DC52)*100,""),"")</f>
        <v/>
      </c>
      <c r="DF52" s="62" t="n"/>
      <c r="DG52" s="68" t="n"/>
      <c r="DH52" s="68" t="n"/>
      <c r="DI52" s="65">
        <f>IFERROR(IF(AND(DG52&lt;&gt;"",DH52&lt;&gt;""),ABS(DG52-DH52)/ABS(DG52)*100,""),"")</f>
        <v/>
      </c>
      <c r="DJ52" s="62" t="n"/>
      <c r="DK52" s="68" t="n"/>
      <c r="DL52" s="68" t="n"/>
      <c r="DM52" s="65">
        <f>IFERROR(IF(AND(DK52&lt;&gt;"",DL52&lt;&gt;""),ABS(DK52-DL52)/ABS(DK52)*100,""),"")</f>
        <v/>
      </c>
      <c r="DN52" s="62" t="n"/>
      <c r="DO52" s="68" t="n"/>
      <c r="DP52" s="68" t="n"/>
      <c r="DQ52" s="65">
        <f>IFERROR(IF(AND(DO52&lt;&gt;"",DP52&lt;&gt;""),ABS(DO52-DP52)/ABS(DO52)*100,""),"")</f>
        <v/>
      </c>
      <c r="DR52" s="62" t="n"/>
      <c r="DS52" s="68" t="n"/>
      <c r="DT52" s="68" t="n"/>
      <c r="DU52" s="65">
        <f>IFERROR(IF(AND(DS52&lt;&gt;"",DT52&lt;&gt;""),ABS(DS52-DT52)/ABS(DS52)*100,""),"")</f>
        <v/>
      </c>
      <c r="DV52" s="62" t="n"/>
      <c r="DW52" s="63" t="n"/>
    </row>
    <row r="53" ht="15.75" customHeight="1" s="43">
      <c r="A53" s="69" t="n"/>
      <c r="B53" s="69" t="n"/>
      <c r="C53" s="69" t="inlineStr">
        <is>
          <t>Financials</t>
        </is>
      </c>
      <c r="D53" s="69" t="inlineStr">
        <is>
          <t>2019</t>
        </is>
      </c>
      <c r="E53" s="70" t="n"/>
      <c r="F53" s="69" t="n"/>
      <c r="G53" s="67" t="n"/>
      <c r="H53" s="67" t="n"/>
      <c r="I53" s="71">
        <f>IFERROR(IF(AND(G53&lt;&gt;"",H53&lt;&gt;""),ABS(G53-H53)/ABS(G53)*100,""),"")</f>
        <v/>
      </c>
      <c r="J53" s="69" t="n"/>
      <c r="K53" s="67" t="n"/>
      <c r="L53" s="67" t="n"/>
      <c r="M53" s="71">
        <f>IFERROR(IF(AND(K53&lt;&gt;"",L53&lt;&gt;""),ABS(K53-L53)/ABS(K53)*100,""),"")</f>
        <v/>
      </c>
      <c r="N53" s="69" t="n"/>
      <c r="O53" s="67" t="n"/>
      <c r="P53" s="67" t="n"/>
      <c r="Q53" s="71">
        <f>IFERROR(IF(AND(O53&lt;&gt;"",P53&lt;&gt;""),ABS(O53-P53)/ABS(O53)*100,""),"")</f>
        <v/>
      </c>
      <c r="R53" s="69" t="n"/>
      <c r="S53" s="67" t="n"/>
      <c r="T53" s="67" t="n"/>
      <c r="U53" s="71">
        <f>IFERROR(IF(AND(S53&lt;&gt;"",T53&lt;&gt;""),ABS(S53-T53)/ABS(S53)*100,""),"")</f>
        <v/>
      </c>
      <c r="V53" s="69" t="n"/>
      <c r="W53" s="67" t="n"/>
      <c r="X53" s="67" t="n"/>
      <c r="Y53" s="71">
        <f>IFERROR(IF(AND(W53&lt;&gt;"",X53&lt;&gt;""),ABS(W53-X53)/ABS(W53)*100,""),"")</f>
        <v/>
      </c>
      <c r="Z53" s="69" t="n"/>
      <c r="AA53" s="67" t="n"/>
      <c r="AB53" s="67" t="n"/>
      <c r="AC53" s="71">
        <f>IFERROR(IF(AND(AA53&lt;&gt;"",AB53&lt;&gt;""),ABS(AA53-AB53)/ABS(AA53)*100,""),"")</f>
        <v/>
      </c>
      <c r="AD53" s="69" t="n"/>
      <c r="AE53" s="67" t="n"/>
      <c r="AF53" s="67" t="n"/>
      <c r="AG53" s="71">
        <f>IFERROR(IF(AND(AE53&lt;&gt;"",AF53&lt;&gt;""),ABS(AE53-AF53)/ABS(AE53)*100,""),"")</f>
        <v/>
      </c>
      <c r="AH53" s="69" t="n"/>
      <c r="AI53" s="67" t="n"/>
      <c r="AJ53" s="67" t="n"/>
      <c r="AK53" s="71">
        <f>IFERROR(IF(AND(AI53&lt;&gt;"",AJ53&lt;&gt;""),ABS(AI53-AJ53)/ABS(AI53)*100,""),"")</f>
        <v/>
      </c>
      <c r="AL53" s="69" t="n"/>
      <c r="AM53" s="67" t="n"/>
      <c r="AN53" s="67" t="n"/>
      <c r="AO53" s="71">
        <f>IFERROR(IF(AND(AM53&lt;&gt;"",AN53&lt;&gt;""),ABS(AM53-AN53)/ABS(AM53)*100,""),"")</f>
        <v/>
      </c>
      <c r="AP53" s="69" t="n"/>
      <c r="AQ53" s="67" t="n"/>
      <c r="AR53" s="67" t="n"/>
      <c r="AS53" s="71">
        <f>IFERROR(IF(AND(AQ53&lt;&gt;"",AR53&lt;&gt;""),ABS(AQ53-AR53)/ABS(AQ53)*100,""),"")</f>
        <v/>
      </c>
      <c r="AT53" s="69" t="n"/>
      <c r="AU53" s="67" t="n"/>
      <c r="AV53" s="67" t="n"/>
      <c r="AW53" s="71">
        <f>IFERROR(IF(AND(AU53&lt;&gt;"",AV53&lt;&gt;""),ABS(AU53-AV53)/ABS(AU53)*100,""),"")</f>
        <v/>
      </c>
      <c r="AX53" s="69" t="n"/>
      <c r="AY53" s="67" t="n"/>
      <c r="AZ53" s="67" t="n"/>
      <c r="BA53" s="71">
        <f>IFERROR(IF(AND(AY53&lt;&gt;"",AZ53&lt;&gt;""),ABS(AY53-AZ53)/ABS(AY53)*100,""),"")</f>
        <v/>
      </c>
      <c r="BB53" s="69" t="n"/>
      <c r="BC53" s="67" t="n"/>
      <c r="BD53" s="67" t="n"/>
      <c r="BE53" s="71">
        <f>IFERROR(IF(AND(BC53&lt;&gt;"",BD53&lt;&gt;""),ABS(BC53-BD53)/ABS(BC53)*100,""),"")</f>
        <v/>
      </c>
      <c r="BF53" s="69" t="n"/>
      <c r="BG53" s="67" t="n"/>
      <c r="BH53" s="67" t="n"/>
      <c r="BI53" s="71">
        <f>IFERROR(IF(AND(BG53&lt;&gt;"",BH53&lt;&gt;""),ABS(BG53-BH53)/ABS(BG53)*100,""),"")</f>
        <v/>
      </c>
      <c r="BJ53" s="69" t="n"/>
      <c r="BK53" s="67" t="n"/>
      <c r="BL53" s="67" t="n"/>
      <c r="BM53" s="71">
        <f>IFERROR(IF(AND(BK53&lt;&gt;"",BL53&lt;&gt;""),ABS(BK53-BL53)/ABS(BK53)*100,""),"")</f>
        <v/>
      </c>
      <c r="BN53" s="69" t="n"/>
      <c r="BO53" s="67" t="n"/>
      <c r="BP53" s="67" t="n"/>
      <c r="BQ53" s="71">
        <f>IFERROR(IF(AND(BO53&lt;&gt;"",BP53&lt;&gt;""),ABS(BO53-BP53)/ABS(BO53)*100,""),"")</f>
        <v/>
      </c>
      <c r="BR53" s="69" t="n"/>
      <c r="BS53" s="67" t="n"/>
      <c r="BT53" s="67" t="n"/>
      <c r="BU53" s="71">
        <f>IFERROR(IF(AND(BS53&lt;&gt;"",BT53&lt;&gt;""),ABS(BS53-BT53)/ABS(BS53)*100,""),"")</f>
        <v/>
      </c>
      <c r="BV53" s="69" t="n"/>
      <c r="BW53" s="67" t="n"/>
      <c r="BX53" s="67" t="n"/>
      <c r="BY53" s="71">
        <f>IFERROR(IF(AND(BW53&lt;&gt;"",BX53&lt;&gt;""),ABS(BW53-BX53)/ABS(BW53)*100,""),"")</f>
        <v/>
      </c>
      <c r="BZ53" s="69" t="n"/>
      <c r="CA53" s="67" t="n"/>
      <c r="CB53" s="67" t="n"/>
      <c r="CC53" s="71">
        <f>IFERROR(IF(AND(CA53&lt;&gt;"",CB53&lt;&gt;""),ABS(CA53-CB53)/ABS(CA53)*100,""),"")</f>
        <v/>
      </c>
      <c r="CD53" s="69" t="n"/>
      <c r="CE53" s="67" t="n"/>
      <c r="CF53" s="67" t="n"/>
      <c r="CG53" s="71">
        <f>IFERROR(IF(AND(CE53&lt;&gt;"",CF53&lt;&gt;""),ABS(CE53-CF53)/ABS(CE53)*100,""),"")</f>
        <v/>
      </c>
      <c r="CH53" s="69" t="n"/>
      <c r="CI53" s="67" t="n"/>
      <c r="CJ53" s="67" t="n"/>
      <c r="CK53" s="71">
        <f>IFERROR(IF(AND(CI53&lt;&gt;"",CJ53&lt;&gt;""),ABS(CI53-CJ53)/ABS(CI53)*100,""),"")</f>
        <v/>
      </c>
      <c r="CL53" s="69" t="n"/>
      <c r="CM53" s="67" t="n"/>
      <c r="CN53" s="67" t="n"/>
      <c r="CO53" s="71">
        <f>IFERROR(IF(AND(CM53&lt;&gt;"",CN53&lt;&gt;""),ABS(CM53-CN53)/ABS(CM53)*100,""),"")</f>
        <v/>
      </c>
      <c r="CP53" s="69" t="n"/>
      <c r="CQ53" s="67" t="n"/>
      <c r="CR53" s="67" t="n"/>
      <c r="CS53" s="71">
        <f>IFERROR(IF(AND(CQ53&lt;&gt;"",CR53&lt;&gt;""),ABS(CQ53-CR53)/ABS(CQ53)*100,""),"")</f>
        <v/>
      </c>
      <c r="CT53" s="69" t="n"/>
      <c r="CU53" s="67" t="n"/>
      <c r="CV53" s="67" t="n"/>
      <c r="CW53" s="71">
        <f>IFERROR(IF(AND(CU53&lt;&gt;"",CV53&lt;&gt;""),ABS(CU53-CV53)/ABS(CU53)*100,""),"")</f>
        <v/>
      </c>
      <c r="CX53" s="69" t="n"/>
      <c r="CY53" s="68" t="n"/>
      <c r="CZ53" s="68" t="n"/>
      <c r="DA53" s="71">
        <f>IFERROR(IF(AND(CY53&lt;&gt;"",CZ53&lt;&gt;""),ABS(CY53-CZ53)/ABS(CY53)*100,""),"")</f>
        <v/>
      </c>
      <c r="DB53" s="69" t="n"/>
      <c r="DC53" s="68" t="n"/>
      <c r="DD53" s="68" t="n"/>
      <c r="DE53" s="71">
        <f>IFERROR(IF(AND(DC53&lt;&gt;"",DD53&lt;&gt;""),ABS(DC53-DD53)/ABS(DC53)*100,""),"")</f>
        <v/>
      </c>
      <c r="DF53" s="69" t="n"/>
      <c r="DG53" s="68" t="n"/>
      <c r="DH53" s="68" t="n"/>
      <c r="DI53" s="71">
        <f>IFERROR(IF(AND(DG53&lt;&gt;"",DH53&lt;&gt;""),ABS(DG53-DH53)/ABS(DG53)*100,""),"")</f>
        <v/>
      </c>
      <c r="DJ53" s="69" t="n"/>
      <c r="DK53" s="68" t="n"/>
      <c r="DL53" s="68" t="n"/>
      <c r="DM53" s="71">
        <f>IFERROR(IF(AND(DK53&lt;&gt;"",DL53&lt;&gt;""),ABS(DK53-DL53)/ABS(DK53)*100,""),"")</f>
        <v/>
      </c>
      <c r="DN53" s="69" t="n"/>
      <c r="DO53" s="68" t="n"/>
      <c r="DP53" s="68" t="n"/>
      <c r="DQ53" s="71">
        <f>IFERROR(IF(AND(DO53&lt;&gt;"",DP53&lt;&gt;""),ABS(DO53-DP53)/ABS(DO53)*100,""),"")</f>
        <v/>
      </c>
      <c r="DR53" s="69" t="n"/>
      <c r="DS53" s="68" t="n"/>
      <c r="DT53" s="68" t="n"/>
      <c r="DU53" s="71">
        <f>IFERROR(IF(AND(DS53&lt;&gt;"",DT53&lt;&gt;""),ABS(DS53-DT53)/ABS(DS53)*100,""),"")</f>
        <v/>
      </c>
      <c r="DV53" s="69" t="n"/>
      <c r="DW53" s="70" t="n"/>
    </row>
    <row r="54" ht="15.75" customHeight="1" s="43">
      <c r="A54" s="62" t="n"/>
      <c r="B54" s="62" t="n"/>
      <c r="C54" s="62" t="inlineStr">
        <is>
          <t>Financials</t>
        </is>
      </c>
      <c r="D54" s="62" t="inlineStr">
        <is>
          <t>2020</t>
        </is>
      </c>
      <c r="E54" s="63" t="n"/>
      <c r="F54" s="62" t="n"/>
      <c r="G54" s="67" t="n"/>
      <c r="H54" s="67" t="n"/>
      <c r="I54" s="65">
        <f>IFERROR(IF(AND(G54&lt;&gt;"",H54&lt;&gt;""),ABS(G54-H54)/ABS(G54)*100,""),"")</f>
        <v/>
      </c>
      <c r="J54" s="62" t="n"/>
      <c r="K54" s="67" t="n"/>
      <c r="L54" s="67" t="n"/>
      <c r="M54" s="65">
        <f>IFERROR(IF(AND(K54&lt;&gt;"",L54&lt;&gt;""),ABS(K54-L54)/ABS(K54)*100,""),"")</f>
        <v/>
      </c>
      <c r="N54" s="62" t="n"/>
      <c r="O54" s="67" t="n"/>
      <c r="P54" s="67" t="n"/>
      <c r="Q54" s="65">
        <f>IFERROR(IF(AND(O54&lt;&gt;"",P54&lt;&gt;""),ABS(O54-P54)/ABS(O54)*100,""),"")</f>
        <v/>
      </c>
      <c r="R54" s="62" t="n"/>
      <c r="S54" s="67" t="n"/>
      <c r="T54" s="67" t="n"/>
      <c r="U54" s="65">
        <f>IFERROR(IF(AND(S54&lt;&gt;"",T54&lt;&gt;""),ABS(S54-T54)/ABS(S54)*100,""),"")</f>
        <v/>
      </c>
      <c r="V54" s="62" t="n"/>
      <c r="W54" s="67" t="n"/>
      <c r="X54" s="67" t="n"/>
      <c r="Y54" s="65">
        <f>IFERROR(IF(AND(W54&lt;&gt;"",X54&lt;&gt;""),ABS(W54-X54)/ABS(W54)*100,""),"")</f>
        <v/>
      </c>
      <c r="Z54" s="62" t="n"/>
      <c r="AA54" s="67" t="n"/>
      <c r="AB54" s="67" t="n"/>
      <c r="AC54" s="65">
        <f>IFERROR(IF(AND(AA54&lt;&gt;"",AB54&lt;&gt;""),ABS(AA54-AB54)/ABS(AA54)*100,""),"")</f>
        <v/>
      </c>
      <c r="AD54" s="62" t="n"/>
      <c r="AE54" s="67" t="n"/>
      <c r="AF54" s="67" t="n"/>
      <c r="AG54" s="65">
        <f>IFERROR(IF(AND(AE54&lt;&gt;"",AF54&lt;&gt;""),ABS(AE54-AF54)/ABS(AE54)*100,""),"")</f>
        <v/>
      </c>
      <c r="AH54" s="62" t="n"/>
      <c r="AI54" s="67" t="n"/>
      <c r="AJ54" s="67" t="n"/>
      <c r="AK54" s="65">
        <f>IFERROR(IF(AND(AI54&lt;&gt;"",AJ54&lt;&gt;""),ABS(AI54-AJ54)/ABS(AI54)*100,""),"")</f>
        <v/>
      </c>
      <c r="AL54" s="62" t="n"/>
      <c r="AM54" s="67" t="n"/>
      <c r="AN54" s="67" t="n"/>
      <c r="AO54" s="65">
        <f>IFERROR(IF(AND(AM54&lt;&gt;"",AN54&lt;&gt;""),ABS(AM54-AN54)/ABS(AM54)*100,""),"")</f>
        <v/>
      </c>
      <c r="AP54" s="62" t="n"/>
      <c r="AQ54" s="67" t="n"/>
      <c r="AR54" s="67" t="n"/>
      <c r="AS54" s="65">
        <f>IFERROR(IF(AND(AQ54&lt;&gt;"",AR54&lt;&gt;""),ABS(AQ54-AR54)/ABS(AQ54)*100,""),"")</f>
        <v/>
      </c>
      <c r="AT54" s="62" t="n"/>
      <c r="AU54" s="67" t="n"/>
      <c r="AV54" s="67" t="n"/>
      <c r="AW54" s="65">
        <f>IFERROR(IF(AND(AU54&lt;&gt;"",AV54&lt;&gt;""),ABS(AU54-AV54)/ABS(AU54)*100,""),"")</f>
        <v/>
      </c>
      <c r="AX54" s="62" t="n"/>
      <c r="AY54" s="67" t="n"/>
      <c r="AZ54" s="67" t="n"/>
      <c r="BA54" s="65">
        <f>IFERROR(IF(AND(AY54&lt;&gt;"",AZ54&lt;&gt;""),ABS(AY54-AZ54)/ABS(AY54)*100,""),"")</f>
        <v/>
      </c>
      <c r="BB54" s="62" t="n"/>
      <c r="BC54" s="67" t="n"/>
      <c r="BD54" s="67" t="n"/>
      <c r="BE54" s="65">
        <f>IFERROR(IF(AND(BC54&lt;&gt;"",BD54&lt;&gt;""),ABS(BC54-BD54)/ABS(BC54)*100,""),"")</f>
        <v/>
      </c>
      <c r="BF54" s="62" t="n"/>
      <c r="BG54" s="67" t="n"/>
      <c r="BH54" s="67" t="n"/>
      <c r="BI54" s="65">
        <f>IFERROR(IF(AND(BG54&lt;&gt;"",BH54&lt;&gt;""),ABS(BG54-BH54)/ABS(BG54)*100,""),"")</f>
        <v/>
      </c>
      <c r="BJ54" s="62" t="n"/>
      <c r="BK54" s="67" t="n"/>
      <c r="BL54" s="67" t="n"/>
      <c r="BM54" s="65">
        <f>IFERROR(IF(AND(BK54&lt;&gt;"",BL54&lt;&gt;""),ABS(BK54-BL54)/ABS(BK54)*100,""),"")</f>
        <v/>
      </c>
      <c r="BN54" s="62" t="n"/>
      <c r="BO54" s="67" t="n"/>
      <c r="BP54" s="67" t="n"/>
      <c r="BQ54" s="65">
        <f>IFERROR(IF(AND(BO54&lt;&gt;"",BP54&lt;&gt;""),ABS(BO54-BP54)/ABS(BO54)*100,""),"")</f>
        <v/>
      </c>
      <c r="BR54" s="62" t="n"/>
      <c r="BS54" s="67" t="n"/>
      <c r="BT54" s="67" t="n"/>
      <c r="BU54" s="65">
        <f>IFERROR(IF(AND(BS54&lt;&gt;"",BT54&lt;&gt;""),ABS(BS54-BT54)/ABS(BS54)*100,""),"")</f>
        <v/>
      </c>
      <c r="BV54" s="62" t="n"/>
      <c r="BW54" s="67" t="n"/>
      <c r="BX54" s="67" t="n"/>
      <c r="BY54" s="65">
        <f>IFERROR(IF(AND(BW54&lt;&gt;"",BX54&lt;&gt;""),ABS(BW54-BX54)/ABS(BW54)*100,""),"")</f>
        <v/>
      </c>
      <c r="BZ54" s="62" t="n"/>
      <c r="CA54" s="67" t="n"/>
      <c r="CB54" s="67" t="n"/>
      <c r="CC54" s="65">
        <f>IFERROR(IF(AND(CA54&lt;&gt;"",CB54&lt;&gt;""),ABS(CA54-CB54)/ABS(CA54)*100,""),"")</f>
        <v/>
      </c>
      <c r="CD54" s="62" t="n"/>
      <c r="CE54" s="67" t="n"/>
      <c r="CF54" s="67" t="n"/>
      <c r="CG54" s="65">
        <f>IFERROR(IF(AND(CE54&lt;&gt;"",CF54&lt;&gt;""),ABS(CE54-CF54)/ABS(CE54)*100,""),"")</f>
        <v/>
      </c>
      <c r="CH54" s="62" t="n"/>
      <c r="CI54" s="67" t="n"/>
      <c r="CJ54" s="67" t="n"/>
      <c r="CK54" s="65">
        <f>IFERROR(IF(AND(CI54&lt;&gt;"",CJ54&lt;&gt;""),ABS(CI54-CJ54)/ABS(CI54)*100,""),"")</f>
        <v/>
      </c>
      <c r="CL54" s="62" t="n"/>
      <c r="CM54" s="67" t="n"/>
      <c r="CN54" s="67" t="n"/>
      <c r="CO54" s="65">
        <f>IFERROR(IF(AND(CM54&lt;&gt;"",CN54&lt;&gt;""),ABS(CM54-CN54)/ABS(CM54)*100,""),"")</f>
        <v/>
      </c>
      <c r="CP54" s="62" t="n"/>
      <c r="CQ54" s="67" t="n"/>
      <c r="CR54" s="67" t="n"/>
      <c r="CS54" s="65">
        <f>IFERROR(IF(AND(CQ54&lt;&gt;"",CR54&lt;&gt;""),ABS(CQ54-CR54)/ABS(CQ54)*100,""),"")</f>
        <v/>
      </c>
      <c r="CT54" s="62" t="n"/>
      <c r="CU54" s="67" t="n"/>
      <c r="CV54" s="67" t="n"/>
      <c r="CW54" s="65">
        <f>IFERROR(IF(AND(CU54&lt;&gt;"",CV54&lt;&gt;""),ABS(CU54-CV54)/ABS(CU54)*100,""),"")</f>
        <v/>
      </c>
      <c r="CX54" s="62" t="n"/>
      <c r="CY54" s="68" t="n"/>
      <c r="CZ54" s="68" t="n"/>
      <c r="DA54" s="65">
        <f>IFERROR(IF(AND(CY54&lt;&gt;"",CZ54&lt;&gt;""),ABS(CY54-CZ54)/ABS(CY54)*100,""),"")</f>
        <v/>
      </c>
      <c r="DB54" s="62" t="n"/>
      <c r="DC54" s="68" t="n"/>
      <c r="DD54" s="68" t="n"/>
      <c r="DE54" s="65">
        <f>IFERROR(IF(AND(DC54&lt;&gt;"",DD54&lt;&gt;""),ABS(DC54-DD54)/ABS(DC54)*100,""),"")</f>
        <v/>
      </c>
      <c r="DF54" s="62" t="n"/>
      <c r="DG54" s="68" t="n"/>
      <c r="DH54" s="68" t="n"/>
      <c r="DI54" s="65">
        <f>IFERROR(IF(AND(DG54&lt;&gt;"",DH54&lt;&gt;""),ABS(DG54-DH54)/ABS(DG54)*100,""),"")</f>
        <v/>
      </c>
      <c r="DJ54" s="62" t="n"/>
      <c r="DK54" s="68" t="n"/>
      <c r="DL54" s="68" t="n"/>
      <c r="DM54" s="65">
        <f>IFERROR(IF(AND(DK54&lt;&gt;"",DL54&lt;&gt;""),ABS(DK54-DL54)/ABS(DK54)*100,""),"")</f>
        <v/>
      </c>
      <c r="DN54" s="62" t="n"/>
      <c r="DO54" s="68" t="n"/>
      <c r="DP54" s="68" t="n"/>
      <c r="DQ54" s="65">
        <f>IFERROR(IF(AND(DO54&lt;&gt;"",DP54&lt;&gt;""),ABS(DO54-DP54)/ABS(DO54)*100,""),"")</f>
        <v/>
      </c>
      <c r="DR54" s="62" t="n"/>
      <c r="DS54" s="68" t="n"/>
      <c r="DT54" s="68" t="n"/>
      <c r="DU54" s="65">
        <f>IFERROR(IF(AND(DS54&lt;&gt;"",DT54&lt;&gt;""),ABS(DS54-DT54)/ABS(DS54)*100,""),"")</f>
        <v/>
      </c>
      <c r="DV54" s="62" t="n"/>
      <c r="DW54" s="63" t="n"/>
    </row>
    <row r="55" ht="15.75" customHeight="1" s="43">
      <c r="A55" s="69" t="n"/>
      <c r="B55" s="69" t="n"/>
      <c r="C55" s="69" t="inlineStr">
        <is>
          <t>Financials</t>
        </is>
      </c>
      <c r="D55" s="69" t="inlineStr">
        <is>
          <t>2021</t>
        </is>
      </c>
      <c r="E55" s="70" t="n"/>
      <c r="F55" s="69" t="n"/>
      <c r="G55" s="67" t="n"/>
      <c r="H55" s="67" t="n"/>
      <c r="I55" s="71">
        <f>IFERROR(IF(AND(G55&lt;&gt;"",H55&lt;&gt;""),ABS(G55-H55)/ABS(G55)*100,""),"")</f>
        <v/>
      </c>
      <c r="J55" s="69" t="n"/>
      <c r="K55" s="67" t="n"/>
      <c r="L55" s="67" t="n"/>
      <c r="M55" s="71">
        <f>IFERROR(IF(AND(K55&lt;&gt;"",L55&lt;&gt;""),ABS(K55-L55)/ABS(K55)*100,""),"")</f>
        <v/>
      </c>
      <c r="N55" s="69" t="n"/>
      <c r="O55" s="67" t="n"/>
      <c r="P55" s="67" t="n"/>
      <c r="Q55" s="71">
        <f>IFERROR(IF(AND(O55&lt;&gt;"",P55&lt;&gt;""),ABS(O55-P55)/ABS(O55)*100,""),"")</f>
        <v/>
      </c>
      <c r="R55" s="69" t="n"/>
      <c r="S55" s="67" t="n"/>
      <c r="T55" s="67" t="n"/>
      <c r="U55" s="71">
        <f>IFERROR(IF(AND(S55&lt;&gt;"",T55&lt;&gt;""),ABS(S55-T55)/ABS(S55)*100,""),"")</f>
        <v/>
      </c>
      <c r="V55" s="69" t="n"/>
      <c r="W55" s="67" t="n"/>
      <c r="X55" s="67" t="n"/>
      <c r="Y55" s="71">
        <f>IFERROR(IF(AND(W55&lt;&gt;"",X55&lt;&gt;""),ABS(W55-X55)/ABS(W55)*100,""),"")</f>
        <v/>
      </c>
      <c r="Z55" s="69" t="n"/>
      <c r="AA55" s="67" t="n"/>
      <c r="AB55" s="67" t="n"/>
      <c r="AC55" s="71">
        <f>IFERROR(IF(AND(AA55&lt;&gt;"",AB55&lt;&gt;""),ABS(AA55-AB55)/ABS(AA55)*100,""),"")</f>
        <v/>
      </c>
      <c r="AD55" s="69" t="n"/>
      <c r="AE55" s="67" t="n"/>
      <c r="AF55" s="67" t="n"/>
      <c r="AG55" s="71">
        <f>IFERROR(IF(AND(AE55&lt;&gt;"",AF55&lt;&gt;""),ABS(AE55-AF55)/ABS(AE55)*100,""),"")</f>
        <v/>
      </c>
      <c r="AH55" s="69" t="n"/>
      <c r="AI55" s="67" t="n"/>
      <c r="AJ55" s="67" t="n"/>
      <c r="AK55" s="71">
        <f>IFERROR(IF(AND(AI55&lt;&gt;"",AJ55&lt;&gt;""),ABS(AI55-AJ55)/ABS(AI55)*100,""),"")</f>
        <v/>
      </c>
      <c r="AL55" s="69" t="n"/>
      <c r="AM55" s="67" t="n"/>
      <c r="AN55" s="67" t="n"/>
      <c r="AO55" s="71">
        <f>IFERROR(IF(AND(AM55&lt;&gt;"",AN55&lt;&gt;""),ABS(AM55-AN55)/ABS(AM55)*100,""),"")</f>
        <v/>
      </c>
      <c r="AP55" s="69" t="n"/>
      <c r="AQ55" s="67" t="n"/>
      <c r="AR55" s="67" t="n"/>
      <c r="AS55" s="71">
        <f>IFERROR(IF(AND(AQ55&lt;&gt;"",AR55&lt;&gt;""),ABS(AQ55-AR55)/ABS(AQ55)*100,""),"")</f>
        <v/>
      </c>
      <c r="AT55" s="69" t="n"/>
      <c r="AU55" s="67" t="n"/>
      <c r="AV55" s="67" t="n"/>
      <c r="AW55" s="71">
        <f>IFERROR(IF(AND(AU55&lt;&gt;"",AV55&lt;&gt;""),ABS(AU55-AV55)/ABS(AU55)*100,""),"")</f>
        <v/>
      </c>
      <c r="AX55" s="69" t="n"/>
      <c r="AY55" s="67" t="n"/>
      <c r="AZ55" s="67" t="n"/>
      <c r="BA55" s="71">
        <f>IFERROR(IF(AND(AY55&lt;&gt;"",AZ55&lt;&gt;""),ABS(AY55-AZ55)/ABS(AY55)*100,""),"")</f>
        <v/>
      </c>
      <c r="BB55" s="69" t="n"/>
      <c r="BC55" s="67" t="n"/>
      <c r="BD55" s="67" t="n"/>
      <c r="BE55" s="71">
        <f>IFERROR(IF(AND(BC55&lt;&gt;"",BD55&lt;&gt;""),ABS(BC55-BD55)/ABS(BC55)*100,""),"")</f>
        <v/>
      </c>
      <c r="BF55" s="69" t="n"/>
      <c r="BG55" s="67" t="n"/>
      <c r="BH55" s="67" t="n"/>
      <c r="BI55" s="71">
        <f>IFERROR(IF(AND(BG55&lt;&gt;"",BH55&lt;&gt;""),ABS(BG55-BH55)/ABS(BG55)*100,""),"")</f>
        <v/>
      </c>
      <c r="BJ55" s="69" t="n"/>
      <c r="BK55" s="67" t="n"/>
      <c r="BL55" s="67" t="n"/>
      <c r="BM55" s="71">
        <f>IFERROR(IF(AND(BK55&lt;&gt;"",BL55&lt;&gt;""),ABS(BK55-BL55)/ABS(BK55)*100,""),"")</f>
        <v/>
      </c>
      <c r="BN55" s="69" t="n"/>
      <c r="BO55" s="67" t="n"/>
      <c r="BP55" s="67" t="n"/>
      <c r="BQ55" s="71">
        <f>IFERROR(IF(AND(BO55&lt;&gt;"",BP55&lt;&gt;""),ABS(BO55-BP55)/ABS(BO55)*100,""),"")</f>
        <v/>
      </c>
      <c r="BR55" s="69" t="n"/>
      <c r="BS55" s="67" t="n"/>
      <c r="BT55" s="67" t="n"/>
      <c r="BU55" s="71">
        <f>IFERROR(IF(AND(BS55&lt;&gt;"",BT55&lt;&gt;""),ABS(BS55-BT55)/ABS(BS55)*100,""),"")</f>
        <v/>
      </c>
      <c r="BV55" s="69" t="n"/>
      <c r="BW55" s="67" t="n"/>
      <c r="BX55" s="67" t="n"/>
      <c r="BY55" s="71">
        <f>IFERROR(IF(AND(BW55&lt;&gt;"",BX55&lt;&gt;""),ABS(BW55-BX55)/ABS(BW55)*100,""),"")</f>
        <v/>
      </c>
      <c r="BZ55" s="69" t="n"/>
      <c r="CA55" s="67" t="n"/>
      <c r="CB55" s="67" t="n"/>
      <c r="CC55" s="71">
        <f>IFERROR(IF(AND(CA55&lt;&gt;"",CB55&lt;&gt;""),ABS(CA55-CB55)/ABS(CA55)*100,""),"")</f>
        <v/>
      </c>
      <c r="CD55" s="69" t="n"/>
      <c r="CE55" s="67" t="n"/>
      <c r="CF55" s="67" t="n"/>
      <c r="CG55" s="71">
        <f>IFERROR(IF(AND(CE55&lt;&gt;"",CF55&lt;&gt;""),ABS(CE55-CF55)/ABS(CE55)*100,""),"")</f>
        <v/>
      </c>
      <c r="CH55" s="69" t="n"/>
      <c r="CI55" s="67" t="n"/>
      <c r="CJ55" s="67" t="n"/>
      <c r="CK55" s="71">
        <f>IFERROR(IF(AND(CI55&lt;&gt;"",CJ55&lt;&gt;""),ABS(CI55-CJ55)/ABS(CI55)*100,""),"")</f>
        <v/>
      </c>
      <c r="CL55" s="69" t="n"/>
      <c r="CM55" s="67" t="n"/>
      <c r="CN55" s="67" t="n"/>
      <c r="CO55" s="71">
        <f>IFERROR(IF(AND(CM55&lt;&gt;"",CN55&lt;&gt;""),ABS(CM55-CN55)/ABS(CM55)*100,""),"")</f>
        <v/>
      </c>
      <c r="CP55" s="69" t="n"/>
      <c r="CQ55" s="67" t="n"/>
      <c r="CR55" s="67" t="n"/>
      <c r="CS55" s="71">
        <f>IFERROR(IF(AND(CQ55&lt;&gt;"",CR55&lt;&gt;""),ABS(CQ55-CR55)/ABS(CQ55)*100,""),"")</f>
        <v/>
      </c>
      <c r="CT55" s="69" t="n"/>
      <c r="CU55" s="67" t="n"/>
      <c r="CV55" s="67" t="n"/>
      <c r="CW55" s="71">
        <f>IFERROR(IF(AND(CU55&lt;&gt;"",CV55&lt;&gt;""),ABS(CU55-CV55)/ABS(CU55)*100,""),"")</f>
        <v/>
      </c>
      <c r="CX55" s="69" t="n"/>
      <c r="CY55" s="68" t="n"/>
      <c r="CZ55" s="68" t="n"/>
      <c r="DA55" s="71">
        <f>IFERROR(IF(AND(CY55&lt;&gt;"",CZ55&lt;&gt;""),ABS(CY55-CZ55)/ABS(CY55)*100,""),"")</f>
        <v/>
      </c>
      <c r="DB55" s="69" t="n"/>
      <c r="DC55" s="68" t="n"/>
      <c r="DD55" s="68" t="n"/>
      <c r="DE55" s="71">
        <f>IFERROR(IF(AND(DC55&lt;&gt;"",DD55&lt;&gt;""),ABS(DC55-DD55)/ABS(DC55)*100,""),"")</f>
        <v/>
      </c>
      <c r="DF55" s="69" t="n"/>
      <c r="DG55" s="68" t="n"/>
      <c r="DH55" s="68" t="n"/>
      <c r="DI55" s="71">
        <f>IFERROR(IF(AND(DG55&lt;&gt;"",DH55&lt;&gt;""),ABS(DG55-DH55)/ABS(DG55)*100,""),"")</f>
        <v/>
      </c>
      <c r="DJ55" s="69" t="n"/>
      <c r="DK55" s="68" t="n"/>
      <c r="DL55" s="68" t="n"/>
      <c r="DM55" s="71">
        <f>IFERROR(IF(AND(DK55&lt;&gt;"",DL55&lt;&gt;""),ABS(DK55-DL55)/ABS(DK55)*100,""),"")</f>
        <v/>
      </c>
      <c r="DN55" s="69" t="n"/>
      <c r="DO55" s="68" t="n"/>
      <c r="DP55" s="68" t="n"/>
      <c r="DQ55" s="71">
        <f>IFERROR(IF(AND(DO55&lt;&gt;"",DP55&lt;&gt;""),ABS(DO55-DP55)/ABS(DO55)*100,""),"")</f>
        <v/>
      </c>
      <c r="DR55" s="69" t="n"/>
      <c r="DS55" s="68" t="n"/>
      <c r="DT55" s="68" t="n"/>
      <c r="DU55" s="71">
        <f>IFERROR(IF(AND(DS55&lt;&gt;"",DT55&lt;&gt;""),ABS(DS55-DT55)/ABS(DS55)*100,""),"")</f>
        <v/>
      </c>
      <c r="DV55" s="69" t="n"/>
      <c r="DW55" s="70" t="n"/>
    </row>
    <row r="56" ht="15.75" customHeight="1" s="43">
      <c r="A56" s="62" t="n"/>
      <c r="B56" s="62" t="n"/>
      <c r="C56" s="62" t="inlineStr">
        <is>
          <t>Financials</t>
        </is>
      </c>
      <c r="D56" s="62" t="inlineStr">
        <is>
          <t>2022</t>
        </is>
      </c>
      <c r="E56" s="63" t="n"/>
      <c r="F56" s="62" t="n"/>
      <c r="G56" s="67" t="n"/>
      <c r="H56" s="67" t="n"/>
      <c r="I56" s="65">
        <f>IFERROR(IF(AND(G56&lt;&gt;"",H56&lt;&gt;""),ABS(G56-H56)/ABS(G56)*100,""),"")</f>
        <v/>
      </c>
      <c r="J56" s="62" t="n"/>
      <c r="K56" s="67" t="n"/>
      <c r="L56" s="67" t="n"/>
      <c r="M56" s="65">
        <f>IFERROR(IF(AND(K56&lt;&gt;"",L56&lt;&gt;""),ABS(K56-L56)/ABS(K56)*100,""),"")</f>
        <v/>
      </c>
      <c r="N56" s="62" t="n"/>
      <c r="O56" s="67" t="n"/>
      <c r="P56" s="67" t="n"/>
      <c r="Q56" s="65">
        <f>IFERROR(IF(AND(O56&lt;&gt;"",P56&lt;&gt;""),ABS(O56-P56)/ABS(O56)*100,""),"")</f>
        <v/>
      </c>
      <c r="R56" s="62" t="n"/>
      <c r="S56" s="67" t="n"/>
      <c r="T56" s="67" t="n"/>
      <c r="U56" s="65">
        <f>IFERROR(IF(AND(S56&lt;&gt;"",T56&lt;&gt;""),ABS(S56-T56)/ABS(S56)*100,""),"")</f>
        <v/>
      </c>
      <c r="V56" s="62" t="n"/>
      <c r="W56" s="67" t="n"/>
      <c r="X56" s="67" t="n"/>
      <c r="Y56" s="65">
        <f>IFERROR(IF(AND(W56&lt;&gt;"",X56&lt;&gt;""),ABS(W56-X56)/ABS(W56)*100,""),"")</f>
        <v/>
      </c>
      <c r="Z56" s="62" t="n"/>
      <c r="AA56" s="67" t="n"/>
      <c r="AB56" s="67" t="n"/>
      <c r="AC56" s="65">
        <f>IFERROR(IF(AND(AA56&lt;&gt;"",AB56&lt;&gt;""),ABS(AA56-AB56)/ABS(AA56)*100,""),"")</f>
        <v/>
      </c>
      <c r="AD56" s="62" t="n"/>
      <c r="AE56" s="67" t="n"/>
      <c r="AF56" s="67" t="n"/>
      <c r="AG56" s="65">
        <f>IFERROR(IF(AND(AE56&lt;&gt;"",AF56&lt;&gt;""),ABS(AE56-AF56)/ABS(AE56)*100,""),"")</f>
        <v/>
      </c>
      <c r="AH56" s="62" t="n"/>
      <c r="AI56" s="67" t="n"/>
      <c r="AJ56" s="67" t="n"/>
      <c r="AK56" s="65">
        <f>IFERROR(IF(AND(AI56&lt;&gt;"",AJ56&lt;&gt;""),ABS(AI56-AJ56)/ABS(AI56)*100,""),"")</f>
        <v/>
      </c>
      <c r="AL56" s="62" t="n"/>
      <c r="AM56" s="67" t="n"/>
      <c r="AN56" s="67" t="n"/>
      <c r="AO56" s="65">
        <f>IFERROR(IF(AND(AM56&lt;&gt;"",AN56&lt;&gt;""),ABS(AM56-AN56)/ABS(AM56)*100,""),"")</f>
        <v/>
      </c>
      <c r="AP56" s="62" t="n"/>
      <c r="AQ56" s="67" t="n"/>
      <c r="AR56" s="67" t="n"/>
      <c r="AS56" s="65">
        <f>IFERROR(IF(AND(AQ56&lt;&gt;"",AR56&lt;&gt;""),ABS(AQ56-AR56)/ABS(AQ56)*100,""),"")</f>
        <v/>
      </c>
      <c r="AT56" s="62" t="n"/>
      <c r="AU56" s="67" t="n"/>
      <c r="AV56" s="67" t="n"/>
      <c r="AW56" s="65">
        <f>IFERROR(IF(AND(AU56&lt;&gt;"",AV56&lt;&gt;""),ABS(AU56-AV56)/ABS(AU56)*100,""),"")</f>
        <v/>
      </c>
      <c r="AX56" s="62" t="n"/>
      <c r="AY56" s="67" t="n"/>
      <c r="AZ56" s="67" t="n"/>
      <c r="BA56" s="65">
        <f>IFERROR(IF(AND(AY56&lt;&gt;"",AZ56&lt;&gt;""),ABS(AY56-AZ56)/ABS(AY56)*100,""),"")</f>
        <v/>
      </c>
      <c r="BB56" s="62" t="n"/>
      <c r="BC56" s="67" t="n"/>
      <c r="BD56" s="67" t="n"/>
      <c r="BE56" s="65">
        <f>IFERROR(IF(AND(BC56&lt;&gt;"",BD56&lt;&gt;""),ABS(BC56-BD56)/ABS(BC56)*100,""),"")</f>
        <v/>
      </c>
      <c r="BF56" s="62" t="n"/>
      <c r="BG56" s="67" t="n"/>
      <c r="BH56" s="67" t="n"/>
      <c r="BI56" s="65">
        <f>IFERROR(IF(AND(BG56&lt;&gt;"",BH56&lt;&gt;""),ABS(BG56-BH56)/ABS(BG56)*100,""),"")</f>
        <v/>
      </c>
      <c r="BJ56" s="62" t="n"/>
      <c r="BK56" s="67" t="n"/>
      <c r="BL56" s="67" t="n"/>
      <c r="BM56" s="65">
        <f>IFERROR(IF(AND(BK56&lt;&gt;"",BL56&lt;&gt;""),ABS(BK56-BL56)/ABS(BK56)*100,""),"")</f>
        <v/>
      </c>
      <c r="BN56" s="62" t="n"/>
      <c r="BO56" s="67" t="n"/>
      <c r="BP56" s="67" t="n"/>
      <c r="BQ56" s="65">
        <f>IFERROR(IF(AND(BO56&lt;&gt;"",BP56&lt;&gt;""),ABS(BO56-BP56)/ABS(BO56)*100,""),"")</f>
        <v/>
      </c>
      <c r="BR56" s="62" t="n"/>
      <c r="BS56" s="67" t="n"/>
      <c r="BT56" s="67" t="n"/>
      <c r="BU56" s="65">
        <f>IFERROR(IF(AND(BS56&lt;&gt;"",BT56&lt;&gt;""),ABS(BS56-BT56)/ABS(BS56)*100,""),"")</f>
        <v/>
      </c>
      <c r="BV56" s="62" t="n"/>
      <c r="BW56" s="67" t="n"/>
      <c r="BX56" s="67" t="n"/>
      <c r="BY56" s="65">
        <f>IFERROR(IF(AND(BW56&lt;&gt;"",BX56&lt;&gt;""),ABS(BW56-BX56)/ABS(BW56)*100,""),"")</f>
        <v/>
      </c>
      <c r="BZ56" s="62" t="n"/>
      <c r="CA56" s="67" t="n"/>
      <c r="CB56" s="67" t="n"/>
      <c r="CC56" s="65">
        <f>IFERROR(IF(AND(CA56&lt;&gt;"",CB56&lt;&gt;""),ABS(CA56-CB56)/ABS(CA56)*100,""),"")</f>
        <v/>
      </c>
      <c r="CD56" s="62" t="n"/>
      <c r="CE56" s="67" t="n"/>
      <c r="CF56" s="67" t="n"/>
      <c r="CG56" s="65">
        <f>IFERROR(IF(AND(CE56&lt;&gt;"",CF56&lt;&gt;""),ABS(CE56-CF56)/ABS(CE56)*100,""),"")</f>
        <v/>
      </c>
      <c r="CH56" s="62" t="n"/>
      <c r="CI56" s="67" t="n"/>
      <c r="CJ56" s="67" t="n"/>
      <c r="CK56" s="65">
        <f>IFERROR(IF(AND(CI56&lt;&gt;"",CJ56&lt;&gt;""),ABS(CI56-CJ56)/ABS(CI56)*100,""),"")</f>
        <v/>
      </c>
      <c r="CL56" s="62" t="n"/>
      <c r="CM56" s="67" t="n"/>
      <c r="CN56" s="67" t="n"/>
      <c r="CO56" s="65">
        <f>IFERROR(IF(AND(CM56&lt;&gt;"",CN56&lt;&gt;""),ABS(CM56-CN56)/ABS(CM56)*100,""),"")</f>
        <v/>
      </c>
      <c r="CP56" s="62" t="n"/>
      <c r="CQ56" s="67" t="n"/>
      <c r="CR56" s="67" t="n"/>
      <c r="CS56" s="65">
        <f>IFERROR(IF(AND(CQ56&lt;&gt;"",CR56&lt;&gt;""),ABS(CQ56-CR56)/ABS(CQ56)*100,""),"")</f>
        <v/>
      </c>
      <c r="CT56" s="62" t="n"/>
      <c r="CU56" s="67" t="n"/>
      <c r="CV56" s="67" t="n"/>
      <c r="CW56" s="65">
        <f>IFERROR(IF(AND(CU56&lt;&gt;"",CV56&lt;&gt;""),ABS(CU56-CV56)/ABS(CU56)*100,""),"")</f>
        <v/>
      </c>
      <c r="CX56" s="62" t="n"/>
      <c r="CY56" s="68" t="n"/>
      <c r="CZ56" s="68" t="n"/>
      <c r="DA56" s="65">
        <f>IFERROR(IF(AND(CY56&lt;&gt;"",CZ56&lt;&gt;""),ABS(CY56-CZ56)/ABS(CY56)*100,""),"")</f>
        <v/>
      </c>
      <c r="DB56" s="62" t="n"/>
      <c r="DC56" s="68" t="n"/>
      <c r="DD56" s="68" t="n"/>
      <c r="DE56" s="65">
        <f>IFERROR(IF(AND(DC56&lt;&gt;"",DD56&lt;&gt;""),ABS(DC56-DD56)/ABS(DC56)*100,""),"")</f>
        <v/>
      </c>
      <c r="DF56" s="62" t="n"/>
      <c r="DG56" s="68" t="n"/>
      <c r="DH56" s="68" t="n"/>
      <c r="DI56" s="65">
        <f>IFERROR(IF(AND(DG56&lt;&gt;"",DH56&lt;&gt;""),ABS(DG56-DH56)/ABS(DG56)*100,""),"")</f>
        <v/>
      </c>
      <c r="DJ56" s="62" t="n"/>
      <c r="DK56" s="68" t="n"/>
      <c r="DL56" s="68" t="n"/>
      <c r="DM56" s="65">
        <f>IFERROR(IF(AND(DK56&lt;&gt;"",DL56&lt;&gt;""),ABS(DK56-DL56)/ABS(DK56)*100,""),"")</f>
        <v/>
      </c>
      <c r="DN56" s="62" t="n"/>
      <c r="DO56" s="68" t="n"/>
      <c r="DP56" s="68" t="n"/>
      <c r="DQ56" s="65">
        <f>IFERROR(IF(AND(DO56&lt;&gt;"",DP56&lt;&gt;""),ABS(DO56-DP56)/ABS(DO56)*100,""),"")</f>
        <v/>
      </c>
      <c r="DR56" s="62" t="n"/>
      <c r="DS56" s="68" t="n"/>
      <c r="DT56" s="68" t="n"/>
      <c r="DU56" s="65">
        <f>IFERROR(IF(AND(DS56&lt;&gt;"",DT56&lt;&gt;""),ABS(DS56-DT56)/ABS(DS56)*100,""),"")</f>
        <v/>
      </c>
      <c r="DV56" s="62" t="n"/>
      <c r="DW56" s="63" t="n"/>
    </row>
    <row r="57" ht="15.75" customHeight="1" s="43">
      <c r="A57" s="69" t="n"/>
      <c r="B57" s="69" t="n"/>
      <c r="C57" s="69" t="inlineStr">
        <is>
          <t>Financials</t>
        </is>
      </c>
      <c r="D57" s="69" t="inlineStr">
        <is>
          <t>2023</t>
        </is>
      </c>
      <c r="E57" s="70" t="n"/>
      <c r="F57" s="69" t="n"/>
      <c r="G57" s="67" t="n"/>
      <c r="H57" s="67" t="n"/>
      <c r="I57" s="71">
        <f>IFERROR(IF(AND(G57&lt;&gt;"",H57&lt;&gt;""),ABS(G57-H57)/ABS(G57)*100,""),"")</f>
        <v/>
      </c>
      <c r="J57" s="69" t="n"/>
      <c r="K57" s="67" t="n"/>
      <c r="L57" s="67" t="n"/>
      <c r="M57" s="71">
        <f>IFERROR(IF(AND(K57&lt;&gt;"",L57&lt;&gt;""),ABS(K57-L57)/ABS(K57)*100,""),"")</f>
        <v/>
      </c>
      <c r="N57" s="69" t="n"/>
      <c r="O57" s="67" t="n"/>
      <c r="P57" s="67" t="n"/>
      <c r="Q57" s="71">
        <f>IFERROR(IF(AND(O57&lt;&gt;"",P57&lt;&gt;""),ABS(O57-P57)/ABS(O57)*100,""),"")</f>
        <v/>
      </c>
      <c r="R57" s="69" t="n"/>
      <c r="S57" s="67" t="n"/>
      <c r="T57" s="67" t="n"/>
      <c r="U57" s="71">
        <f>IFERROR(IF(AND(S57&lt;&gt;"",T57&lt;&gt;""),ABS(S57-T57)/ABS(S57)*100,""),"")</f>
        <v/>
      </c>
      <c r="V57" s="69" t="n"/>
      <c r="W57" s="67" t="n"/>
      <c r="X57" s="67" t="n"/>
      <c r="Y57" s="71">
        <f>IFERROR(IF(AND(W57&lt;&gt;"",X57&lt;&gt;""),ABS(W57-X57)/ABS(W57)*100,""),"")</f>
        <v/>
      </c>
      <c r="Z57" s="69" t="n"/>
      <c r="AA57" s="67" t="n"/>
      <c r="AB57" s="67" t="n"/>
      <c r="AC57" s="71">
        <f>IFERROR(IF(AND(AA57&lt;&gt;"",AB57&lt;&gt;""),ABS(AA57-AB57)/ABS(AA57)*100,""),"")</f>
        <v/>
      </c>
      <c r="AD57" s="69" t="n"/>
      <c r="AE57" s="67" t="n"/>
      <c r="AF57" s="67" t="n"/>
      <c r="AG57" s="71">
        <f>IFERROR(IF(AND(AE57&lt;&gt;"",AF57&lt;&gt;""),ABS(AE57-AF57)/ABS(AE57)*100,""),"")</f>
        <v/>
      </c>
      <c r="AH57" s="69" t="n"/>
      <c r="AI57" s="67" t="n"/>
      <c r="AJ57" s="67" t="n"/>
      <c r="AK57" s="71">
        <f>IFERROR(IF(AND(AI57&lt;&gt;"",AJ57&lt;&gt;""),ABS(AI57-AJ57)/ABS(AI57)*100,""),"")</f>
        <v/>
      </c>
      <c r="AL57" s="69" t="n"/>
      <c r="AM57" s="67" t="n"/>
      <c r="AN57" s="67" t="n"/>
      <c r="AO57" s="71">
        <f>IFERROR(IF(AND(AM57&lt;&gt;"",AN57&lt;&gt;""),ABS(AM57-AN57)/ABS(AM57)*100,""),"")</f>
        <v/>
      </c>
      <c r="AP57" s="69" t="n"/>
      <c r="AQ57" s="67" t="n"/>
      <c r="AR57" s="67" t="n"/>
      <c r="AS57" s="71">
        <f>IFERROR(IF(AND(AQ57&lt;&gt;"",AR57&lt;&gt;""),ABS(AQ57-AR57)/ABS(AQ57)*100,""),"")</f>
        <v/>
      </c>
      <c r="AT57" s="69" t="n"/>
      <c r="AU57" s="67" t="n"/>
      <c r="AV57" s="67" t="n"/>
      <c r="AW57" s="71">
        <f>IFERROR(IF(AND(AU57&lt;&gt;"",AV57&lt;&gt;""),ABS(AU57-AV57)/ABS(AU57)*100,""),"")</f>
        <v/>
      </c>
      <c r="AX57" s="69" t="n"/>
      <c r="AY57" s="67" t="n"/>
      <c r="AZ57" s="67" t="n"/>
      <c r="BA57" s="71">
        <f>IFERROR(IF(AND(AY57&lt;&gt;"",AZ57&lt;&gt;""),ABS(AY57-AZ57)/ABS(AY57)*100,""),"")</f>
        <v/>
      </c>
      <c r="BB57" s="69" t="n"/>
      <c r="BC57" s="67" t="n"/>
      <c r="BD57" s="67" t="n"/>
      <c r="BE57" s="71">
        <f>IFERROR(IF(AND(BC57&lt;&gt;"",BD57&lt;&gt;""),ABS(BC57-BD57)/ABS(BC57)*100,""),"")</f>
        <v/>
      </c>
      <c r="BF57" s="69" t="n"/>
      <c r="BG57" s="67" t="n"/>
      <c r="BH57" s="67" t="n"/>
      <c r="BI57" s="71">
        <f>IFERROR(IF(AND(BG57&lt;&gt;"",BH57&lt;&gt;""),ABS(BG57-BH57)/ABS(BG57)*100,""),"")</f>
        <v/>
      </c>
      <c r="BJ57" s="69" t="n"/>
      <c r="BK57" s="67" t="n"/>
      <c r="BL57" s="67" t="n"/>
      <c r="BM57" s="71">
        <f>IFERROR(IF(AND(BK57&lt;&gt;"",BL57&lt;&gt;""),ABS(BK57-BL57)/ABS(BK57)*100,""),"")</f>
        <v/>
      </c>
      <c r="BN57" s="69" t="n"/>
      <c r="BO57" s="67" t="n"/>
      <c r="BP57" s="67" t="n"/>
      <c r="BQ57" s="71">
        <f>IFERROR(IF(AND(BO57&lt;&gt;"",BP57&lt;&gt;""),ABS(BO57-BP57)/ABS(BO57)*100,""),"")</f>
        <v/>
      </c>
      <c r="BR57" s="69" t="n"/>
      <c r="BS57" s="67" t="n"/>
      <c r="BT57" s="67" t="n"/>
      <c r="BU57" s="71">
        <f>IFERROR(IF(AND(BS57&lt;&gt;"",BT57&lt;&gt;""),ABS(BS57-BT57)/ABS(BS57)*100,""),"")</f>
        <v/>
      </c>
      <c r="BV57" s="69" t="n"/>
      <c r="BW57" s="67" t="n"/>
      <c r="BX57" s="67" t="n"/>
      <c r="BY57" s="71">
        <f>IFERROR(IF(AND(BW57&lt;&gt;"",BX57&lt;&gt;""),ABS(BW57-BX57)/ABS(BW57)*100,""),"")</f>
        <v/>
      </c>
      <c r="BZ57" s="69" t="n"/>
      <c r="CA57" s="67" t="n"/>
      <c r="CB57" s="67" t="n"/>
      <c r="CC57" s="71">
        <f>IFERROR(IF(AND(CA57&lt;&gt;"",CB57&lt;&gt;""),ABS(CA57-CB57)/ABS(CA57)*100,""),"")</f>
        <v/>
      </c>
      <c r="CD57" s="69" t="n"/>
      <c r="CE57" s="67" t="n"/>
      <c r="CF57" s="67" t="n"/>
      <c r="CG57" s="71">
        <f>IFERROR(IF(AND(CE57&lt;&gt;"",CF57&lt;&gt;""),ABS(CE57-CF57)/ABS(CE57)*100,""),"")</f>
        <v/>
      </c>
      <c r="CH57" s="69" t="n"/>
      <c r="CI57" s="67" t="n"/>
      <c r="CJ57" s="67" t="n"/>
      <c r="CK57" s="71">
        <f>IFERROR(IF(AND(CI57&lt;&gt;"",CJ57&lt;&gt;""),ABS(CI57-CJ57)/ABS(CI57)*100,""),"")</f>
        <v/>
      </c>
      <c r="CL57" s="69" t="n"/>
      <c r="CM57" s="67" t="n"/>
      <c r="CN57" s="67" t="n"/>
      <c r="CO57" s="71">
        <f>IFERROR(IF(AND(CM57&lt;&gt;"",CN57&lt;&gt;""),ABS(CM57-CN57)/ABS(CM57)*100,""),"")</f>
        <v/>
      </c>
      <c r="CP57" s="69" t="n"/>
      <c r="CQ57" s="67" t="n"/>
      <c r="CR57" s="67" t="n"/>
      <c r="CS57" s="71">
        <f>IFERROR(IF(AND(CQ57&lt;&gt;"",CR57&lt;&gt;""),ABS(CQ57-CR57)/ABS(CQ57)*100,""),"")</f>
        <v/>
      </c>
      <c r="CT57" s="69" t="n"/>
      <c r="CU57" s="67" t="n"/>
      <c r="CV57" s="67" t="n"/>
      <c r="CW57" s="71">
        <f>IFERROR(IF(AND(CU57&lt;&gt;"",CV57&lt;&gt;""),ABS(CU57-CV57)/ABS(CU57)*100,""),"")</f>
        <v/>
      </c>
      <c r="CX57" s="69" t="n"/>
      <c r="CY57" s="68" t="n"/>
      <c r="CZ57" s="68" t="n"/>
      <c r="DA57" s="71">
        <f>IFERROR(IF(AND(CY57&lt;&gt;"",CZ57&lt;&gt;""),ABS(CY57-CZ57)/ABS(CY57)*100,""),"")</f>
        <v/>
      </c>
      <c r="DB57" s="69" t="n"/>
      <c r="DC57" s="68" t="n"/>
      <c r="DD57" s="68" t="n"/>
      <c r="DE57" s="71">
        <f>IFERROR(IF(AND(DC57&lt;&gt;"",DD57&lt;&gt;""),ABS(DC57-DD57)/ABS(DC57)*100,""),"")</f>
        <v/>
      </c>
      <c r="DF57" s="69" t="n"/>
      <c r="DG57" s="68" t="n"/>
      <c r="DH57" s="68" t="n"/>
      <c r="DI57" s="71">
        <f>IFERROR(IF(AND(DG57&lt;&gt;"",DH57&lt;&gt;""),ABS(DG57-DH57)/ABS(DG57)*100,""),"")</f>
        <v/>
      </c>
      <c r="DJ57" s="69" t="n"/>
      <c r="DK57" s="68" t="n"/>
      <c r="DL57" s="68" t="n"/>
      <c r="DM57" s="71">
        <f>IFERROR(IF(AND(DK57&lt;&gt;"",DL57&lt;&gt;""),ABS(DK57-DL57)/ABS(DK57)*100,""),"")</f>
        <v/>
      </c>
      <c r="DN57" s="69" t="n"/>
      <c r="DO57" s="68" t="n"/>
      <c r="DP57" s="68" t="n"/>
      <c r="DQ57" s="71">
        <f>IFERROR(IF(AND(DO57&lt;&gt;"",DP57&lt;&gt;""),ABS(DO57-DP57)/ABS(DO57)*100,""),"")</f>
        <v/>
      </c>
      <c r="DR57" s="69" t="n"/>
      <c r="DS57" s="68" t="n"/>
      <c r="DT57" s="68" t="n"/>
      <c r="DU57" s="71">
        <f>IFERROR(IF(AND(DS57&lt;&gt;"",DT57&lt;&gt;""),ABS(DS57-DT57)/ABS(DS57)*100,""),"")</f>
        <v/>
      </c>
      <c r="DV57" s="69" t="n"/>
      <c r="DW57" s="70" t="n"/>
    </row>
    <row r="58" ht="15.75" customHeight="1" s="43">
      <c r="A58" s="62" t="n"/>
      <c r="B58" s="62" t="n"/>
      <c r="C58" s="62" t="inlineStr">
        <is>
          <t>Financials</t>
        </is>
      </c>
      <c r="D58" s="62" t="inlineStr">
        <is>
          <t>2024</t>
        </is>
      </c>
      <c r="E58" s="63" t="n"/>
      <c r="F58" s="62" t="n"/>
      <c r="G58" s="67" t="n"/>
      <c r="H58" s="67" t="n"/>
      <c r="I58" s="65">
        <f>IFERROR(IF(AND(G58&lt;&gt;"",H58&lt;&gt;""),ABS(G58-H58)/ABS(G58)*100,""),"")</f>
        <v/>
      </c>
      <c r="J58" s="62" t="n"/>
      <c r="K58" s="67" t="n"/>
      <c r="L58" s="67" t="n"/>
      <c r="M58" s="65">
        <f>IFERROR(IF(AND(K58&lt;&gt;"",L58&lt;&gt;""),ABS(K58-L58)/ABS(K58)*100,""),"")</f>
        <v/>
      </c>
      <c r="N58" s="62" t="n"/>
      <c r="O58" s="67" t="n"/>
      <c r="P58" s="67" t="n"/>
      <c r="Q58" s="65">
        <f>IFERROR(IF(AND(O58&lt;&gt;"",P58&lt;&gt;""),ABS(O58-P58)/ABS(O58)*100,""),"")</f>
        <v/>
      </c>
      <c r="R58" s="62" t="n"/>
      <c r="S58" s="67" t="n"/>
      <c r="T58" s="67" t="n"/>
      <c r="U58" s="65">
        <f>IFERROR(IF(AND(S58&lt;&gt;"",T58&lt;&gt;""),ABS(S58-T58)/ABS(S58)*100,""),"")</f>
        <v/>
      </c>
      <c r="V58" s="62" t="n"/>
      <c r="W58" s="67" t="n"/>
      <c r="X58" s="67" t="n"/>
      <c r="Y58" s="65">
        <f>IFERROR(IF(AND(W58&lt;&gt;"",X58&lt;&gt;""),ABS(W58-X58)/ABS(W58)*100,""),"")</f>
        <v/>
      </c>
      <c r="Z58" s="62" t="n"/>
      <c r="AA58" s="67" t="n"/>
      <c r="AB58" s="67" t="n"/>
      <c r="AC58" s="65">
        <f>IFERROR(IF(AND(AA58&lt;&gt;"",AB58&lt;&gt;""),ABS(AA58-AB58)/ABS(AA58)*100,""),"")</f>
        <v/>
      </c>
      <c r="AD58" s="62" t="n"/>
      <c r="AE58" s="67" t="n"/>
      <c r="AF58" s="67" t="n"/>
      <c r="AG58" s="65">
        <f>IFERROR(IF(AND(AE58&lt;&gt;"",AF58&lt;&gt;""),ABS(AE58-AF58)/ABS(AE58)*100,""),"")</f>
        <v/>
      </c>
      <c r="AH58" s="62" t="n"/>
      <c r="AI58" s="67" t="n"/>
      <c r="AJ58" s="67" t="n"/>
      <c r="AK58" s="65">
        <f>IFERROR(IF(AND(AI58&lt;&gt;"",AJ58&lt;&gt;""),ABS(AI58-AJ58)/ABS(AI58)*100,""),"")</f>
        <v/>
      </c>
      <c r="AL58" s="62" t="n"/>
      <c r="AM58" s="67" t="n"/>
      <c r="AN58" s="67" t="n"/>
      <c r="AO58" s="65">
        <f>IFERROR(IF(AND(AM58&lt;&gt;"",AN58&lt;&gt;""),ABS(AM58-AN58)/ABS(AM58)*100,""),"")</f>
        <v/>
      </c>
      <c r="AP58" s="62" t="n"/>
      <c r="AQ58" s="67" t="n"/>
      <c r="AR58" s="67" t="n"/>
      <c r="AS58" s="65">
        <f>IFERROR(IF(AND(AQ58&lt;&gt;"",AR58&lt;&gt;""),ABS(AQ58-AR58)/ABS(AQ58)*100,""),"")</f>
        <v/>
      </c>
      <c r="AT58" s="62" t="n"/>
      <c r="AU58" s="67" t="n"/>
      <c r="AV58" s="67" t="n"/>
      <c r="AW58" s="65">
        <f>IFERROR(IF(AND(AU58&lt;&gt;"",AV58&lt;&gt;""),ABS(AU58-AV58)/ABS(AU58)*100,""),"")</f>
        <v/>
      </c>
      <c r="AX58" s="62" t="n"/>
      <c r="AY58" s="67" t="n"/>
      <c r="AZ58" s="67" t="n"/>
      <c r="BA58" s="65">
        <f>IFERROR(IF(AND(AY58&lt;&gt;"",AZ58&lt;&gt;""),ABS(AY58-AZ58)/ABS(AY58)*100,""),"")</f>
        <v/>
      </c>
      <c r="BB58" s="62" t="n"/>
      <c r="BC58" s="67" t="n"/>
      <c r="BD58" s="67" t="n"/>
      <c r="BE58" s="65">
        <f>IFERROR(IF(AND(BC58&lt;&gt;"",BD58&lt;&gt;""),ABS(BC58-BD58)/ABS(BC58)*100,""),"")</f>
        <v/>
      </c>
      <c r="BF58" s="62" t="n"/>
      <c r="BG58" s="67" t="n"/>
      <c r="BH58" s="67" t="n"/>
      <c r="BI58" s="65">
        <f>IFERROR(IF(AND(BG58&lt;&gt;"",BH58&lt;&gt;""),ABS(BG58-BH58)/ABS(BG58)*100,""),"")</f>
        <v/>
      </c>
      <c r="BJ58" s="62" t="n"/>
      <c r="BK58" s="67" t="n"/>
      <c r="BL58" s="67" t="n"/>
      <c r="BM58" s="65">
        <f>IFERROR(IF(AND(BK58&lt;&gt;"",BL58&lt;&gt;""),ABS(BK58-BL58)/ABS(BK58)*100,""),"")</f>
        <v/>
      </c>
      <c r="BN58" s="62" t="n"/>
      <c r="BO58" s="67" t="n"/>
      <c r="BP58" s="67" t="n"/>
      <c r="BQ58" s="65">
        <f>IFERROR(IF(AND(BO58&lt;&gt;"",BP58&lt;&gt;""),ABS(BO58-BP58)/ABS(BO58)*100,""),"")</f>
        <v/>
      </c>
      <c r="BR58" s="62" t="n"/>
      <c r="BS58" s="67" t="n"/>
      <c r="BT58" s="67" t="n"/>
      <c r="BU58" s="65">
        <f>IFERROR(IF(AND(BS58&lt;&gt;"",BT58&lt;&gt;""),ABS(BS58-BT58)/ABS(BS58)*100,""),"")</f>
        <v/>
      </c>
      <c r="BV58" s="62" t="n"/>
      <c r="BW58" s="67" t="n"/>
      <c r="BX58" s="67" t="n"/>
      <c r="BY58" s="65">
        <f>IFERROR(IF(AND(BW58&lt;&gt;"",BX58&lt;&gt;""),ABS(BW58-BX58)/ABS(BW58)*100,""),"")</f>
        <v/>
      </c>
      <c r="BZ58" s="62" t="n"/>
      <c r="CA58" s="67" t="n"/>
      <c r="CB58" s="67" t="n"/>
      <c r="CC58" s="65">
        <f>IFERROR(IF(AND(CA58&lt;&gt;"",CB58&lt;&gt;""),ABS(CA58-CB58)/ABS(CA58)*100,""),"")</f>
        <v/>
      </c>
      <c r="CD58" s="62" t="n"/>
      <c r="CE58" s="67" t="n"/>
      <c r="CF58" s="67" t="n"/>
      <c r="CG58" s="65">
        <f>IFERROR(IF(AND(CE58&lt;&gt;"",CF58&lt;&gt;""),ABS(CE58-CF58)/ABS(CE58)*100,""),"")</f>
        <v/>
      </c>
      <c r="CH58" s="62" t="n"/>
      <c r="CI58" s="67" t="n"/>
      <c r="CJ58" s="67" t="n"/>
      <c r="CK58" s="65">
        <f>IFERROR(IF(AND(CI58&lt;&gt;"",CJ58&lt;&gt;""),ABS(CI58-CJ58)/ABS(CI58)*100,""),"")</f>
        <v/>
      </c>
      <c r="CL58" s="62" t="n"/>
      <c r="CM58" s="67" t="n"/>
      <c r="CN58" s="67" t="n"/>
      <c r="CO58" s="65">
        <f>IFERROR(IF(AND(CM58&lt;&gt;"",CN58&lt;&gt;""),ABS(CM58-CN58)/ABS(CM58)*100,""),"")</f>
        <v/>
      </c>
      <c r="CP58" s="62" t="n"/>
      <c r="CQ58" s="67" t="n"/>
      <c r="CR58" s="67" t="n"/>
      <c r="CS58" s="65">
        <f>IFERROR(IF(AND(CQ58&lt;&gt;"",CR58&lt;&gt;""),ABS(CQ58-CR58)/ABS(CQ58)*100,""),"")</f>
        <v/>
      </c>
      <c r="CT58" s="62" t="n"/>
      <c r="CU58" s="67" t="n"/>
      <c r="CV58" s="67" t="n"/>
      <c r="CW58" s="65">
        <f>IFERROR(IF(AND(CU58&lt;&gt;"",CV58&lt;&gt;""),ABS(CU58-CV58)/ABS(CU58)*100,""),"")</f>
        <v/>
      </c>
      <c r="CX58" s="62" t="n"/>
      <c r="CY58" s="68" t="n"/>
      <c r="CZ58" s="68" t="n"/>
      <c r="DA58" s="65">
        <f>IFERROR(IF(AND(CY58&lt;&gt;"",CZ58&lt;&gt;""),ABS(CY58-CZ58)/ABS(CY58)*100,""),"")</f>
        <v/>
      </c>
      <c r="DB58" s="62" t="n"/>
      <c r="DC58" s="68" t="n"/>
      <c r="DD58" s="68" t="n"/>
      <c r="DE58" s="65">
        <f>IFERROR(IF(AND(DC58&lt;&gt;"",DD58&lt;&gt;""),ABS(DC58-DD58)/ABS(DC58)*100,""),"")</f>
        <v/>
      </c>
      <c r="DF58" s="62" t="n"/>
      <c r="DG58" s="68" t="n"/>
      <c r="DH58" s="68" t="n"/>
      <c r="DI58" s="65">
        <f>IFERROR(IF(AND(DG58&lt;&gt;"",DH58&lt;&gt;""),ABS(DG58-DH58)/ABS(DG58)*100,""),"")</f>
        <v/>
      </c>
      <c r="DJ58" s="62" t="n"/>
      <c r="DK58" s="68" t="n"/>
      <c r="DL58" s="68" t="n"/>
      <c r="DM58" s="65">
        <f>IFERROR(IF(AND(DK58&lt;&gt;"",DL58&lt;&gt;""),ABS(DK58-DL58)/ABS(DK58)*100,""),"")</f>
        <v/>
      </c>
      <c r="DN58" s="62" t="n"/>
      <c r="DO58" s="68" t="n"/>
      <c r="DP58" s="68" t="n"/>
      <c r="DQ58" s="65">
        <f>IFERROR(IF(AND(DO58&lt;&gt;"",DP58&lt;&gt;""),ABS(DO58-DP58)/ABS(DO58)*100,""),"")</f>
        <v/>
      </c>
      <c r="DR58" s="62" t="n"/>
      <c r="DS58" s="68" t="n"/>
      <c r="DT58" s="68" t="n"/>
      <c r="DU58" s="65">
        <f>IFERROR(IF(AND(DS58&lt;&gt;"",DT58&lt;&gt;""),ABS(DS58-DT58)/ABS(DS58)*100,""),"")</f>
        <v/>
      </c>
      <c r="DV58" s="62" t="n"/>
      <c r="DW58" s="63" t="n"/>
    </row>
    <row r="59" ht="4.5" customHeight="1" s="43">
      <c r="A59" s="72" t="n"/>
      <c r="B59" s="72" t="n"/>
      <c r="C59" s="72" t="n"/>
      <c r="D59" s="72" t="n"/>
      <c r="E59" s="72" t="n"/>
      <c r="F59" s="72" t="n"/>
      <c r="G59" s="72" t="n"/>
      <c r="H59" s="72" t="n"/>
      <c r="I59" s="72" t="n"/>
      <c r="J59" s="72" t="n"/>
      <c r="K59" s="72" t="n"/>
      <c r="L59" s="72" t="n"/>
      <c r="M59" s="72" t="n"/>
      <c r="N59" s="72" t="n"/>
      <c r="O59" s="72" t="n"/>
      <c r="P59" s="72" t="n"/>
      <c r="Q59" s="72" t="n"/>
      <c r="R59" s="72" t="n"/>
      <c r="S59" s="72" t="n"/>
      <c r="T59" s="72" t="n"/>
      <c r="U59" s="72" t="n"/>
      <c r="V59" s="72" t="n"/>
      <c r="W59" s="72" t="n"/>
      <c r="X59" s="72" t="n"/>
      <c r="Y59" s="72" t="n"/>
      <c r="Z59" s="72" t="n"/>
      <c r="AA59" s="72" t="n"/>
      <c r="AB59" s="72" t="n"/>
      <c r="AC59" s="72" t="n"/>
      <c r="AD59" s="72" t="n"/>
      <c r="AE59" s="72" t="n"/>
      <c r="AF59" s="72" t="n"/>
      <c r="AG59" s="72" t="n"/>
      <c r="AH59" s="72" t="n"/>
      <c r="AI59" s="72" t="n"/>
      <c r="AJ59" s="72" t="n"/>
      <c r="AK59" s="72" t="n"/>
      <c r="AL59" s="72" t="n"/>
      <c r="AM59" s="72" t="n"/>
      <c r="AN59" s="72" t="n"/>
      <c r="AO59" s="72" t="n"/>
      <c r="AP59" s="72" t="n"/>
      <c r="AQ59" s="72" t="n"/>
      <c r="AR59" s="72" t="n"/>
      <c r="AS59" s="72" t="n"/>
      <c r="AT59" s="72" t="n"/>
      <c r="AU59" s="72" t="n"/>
      <c r="AV59" s="72" t="n"/>
      <c r="AW59" s="72" t="n"/>
      <c r="AX59" s="72" t="n"/>
      <c r="AY59" s="72" t="n"/>
      <c r="AZ59" s="72" t="n"/>
      <c r="BA59" s="72" t="n"/>
      <c r="BB59" s="72" t="n"/>
      <c r="BC59" s="72" t="n"/>
      <c r="BD59" s="72" t="n"/>
      <c r="BE59" s="72" t="n"/>
      <c r="BF59" s="72" t="n"/>
      <c r="BG59" s="72" t="n"/>
      <c r="BH59" s="72" t="n"/>
      <c r="BI59" s="72" t="n"/>
      <c r="BJ59" s="72" t="n"/>
      <c r="BK59" s="72" t="n"/>
      <c r="BL59" s="72" t="n"/>
      <c r="BM59" s="72" t="n"/>
      <c r="BN59" s="72" t="n"/>
      <c r="BO59" s="72" t="n"/>
      <c r="BP59" s="72" t="n"/>
      <c r="BQ59" s="72" t="n"/>
      <c r="BR59" s="72" t="n"/>
      <c r="BS59" s="72" t="n"/>
      <c r="BT59" s="72" t="n"/>
      <c r="BU59" s="72" t="n"/>
      <c r="BV59" s="72" t="n"/>
      <c r="BW59" s="72" t="n"/>
      <c r="BX59" s="72" t="n"/>
      <c r="BY59" s="72" t="n"/>
      <c r="BZ59" s="72" t="n"/>
      <c r="CA59" s="72" t="n"/>
      <c r="CB59" s="72" t="n"/>
      <c r="CC59" s="72" t="n"/>
      <c r="CD59" s="72" t="n"/>
      <c r="CE59" s="72" t="n"/>
      <c r="CF59" s="72" t="n"/>
      <c r="CG59" s="72" t="n"/>
      <c r="CH59" s="72" t="n"/>
      <c r="CI59" s="72" t="n"/>
      <c r="CJ59" s="72" t="n"/>
      <c r="CK59" s="72" t="n"/>
      <c r="CL59" s="72" t="n"/>
      <c r="CM59" s="72" t="n"/>
      <c r="CN59" s="72" t="n"/>
      <c r="CO59" s="72" t="n"/>
      <c r="CP59" s="72" t="n"/>
      <c r="CQ59" s="72" t="n"/>
      <c r="CR59" s="72" t="n"/>
      <c r="CS59" s="72" t="n"/>
      <c r="CT59" s="72" t="n"/>
      <c r="CU59" s="72" t="n"/>
      <c r="CV59" s="72" t="n"/>
      <c r="CW59" s="72" t="n"/>
      <c r="CX59" s="72" t="n"/>
      <c r="CY59" s="72" t="n"/>
      <c r="CZ59" s="72" t="n"/>
      <c r="DA59" s="72" t="n"/>
      <c r="DB59" s="72" t="n"/>
      <c r="DC59" s="72" t="n"/>
      <c r="DD59" s="72" t="n"/>
      <c r="DE59" s="72" t="n"/>
      <c r="DF59" s="72" t="n"/>
      <c r="DG59" s="72" t="n"/>
      <c r="DH59" s="72" t="n"/>
      <c r="DI59" s="72" t="n"/>
      <c r="DJ59" s="72" t="n"/>
      <c r="DK59" s="72" t="n"/>
      <c r="DL59" s="72" t="n"/>
      <c r="DM59" s="72" t="n"/>
      <c r="DN59" s="72" t="n"/>
      <c r="DO59" s="72" t="n"/>
      <c r="DP59" s="72" t="n"/>
      <c r="DQ59" s="72" t="n"/>
      <c r="DR59" s="72" t="n"/>
      <c r="DS59" s="72" t="n"/>
      <c r="DT59" s="72" t="n"/>
      <c r="DU59" s="72" t="n"/>
      <c r="DV59" s="72" t="n"/>
      <c r="DW59" s="72" t="n"/>
    </row>
    <row r="60" ht="15.75" customHeight="1" s="43">
      <c r="A60" s="73" t="inlineStr">
        <is>
          <t>SHINSEGAE</t>
        </is>
      </c>
      <c r="B60" s="69" t="inlineStr">
        <is>
          <t>004170</t>
        </is>
      </c>
      <c r="C60" s="69" t="inlineStr">
        <is>
          <t>Consumer Discretionary</t>
        </is>
      </c>
      <c r="D60" s="69" t="inlineStr">
        <is>
          <t>2018</t>
        </is>
      </c>
      <c r="E60" s="70" t="inlineStr">
        <is>
          <t>No data - outside disclosed window in all three reports</t>
        </is>
      </c>
      <c r="F60" s="69" t="n"/>
      <c r="G60" s="67" t="n"/>
      <c r="H60" s="67" t="n"/>
      <c r="I60" s="71">
        <f>IFERROR(IF(AND(G60&lt;&gt;"",H60&lt;&gt;""),ABS(G60-H60)/ABS(G60)*100,""),"")</f>
        <v/>
      </c>
      <c r="J60" s="69" t="inlineStr">
        <is>
          <t>ND</t>
        </is>
      </c>
      <c r="K60" s="67" t="n"/>
      <c r="L60" s="67" t="n"/>
      <c r="M60" s="71">
        <f>IFERROR(IF(AND(K60&lt;&gt;"",L60&lt;&gt;""),ABS(K60-L60)/ABS(K60)*100,""),"")</f>
        <v/>
      </c>
      <c r="N60" s="69" t="inlineStr">
        <is>
          <t>ND</t>
        </is>
      </c>
      <c r="O60" s="67" t="n"/>
      <c r="P60" s="67" t="n"/>
      <c r="Q60" s="71">
        <f>IFERROR(IF(AND(O60&lt;&gt;"",P60&lt;&gt;""),ABS(O60-P60)/ABS(O60)*100,""),"")</f>
        <v/>
      </c>
      <c r="R60" s="69" t="inlineStr">
        <is>
          <t>ND</t>
        </is>
      </c>
      <c r="S60" s="67" t="n"/>
      <c r="T60" s="67" t="n"/>
      <c r="U60" s="71">
        <f>IFERROR(IF(AND(S60&lt;&gt;"",T60&lt;&gt;""),ABS(S60-T60)/ABS(S60)*100,""),"")</f>
        <v/>
      </c>
      <c r="V60" s="69" t="inlineStr">
        <is>
          <t>ND</t>
        </is>
      </c>
      <c r="W60" s="67" t="n"/>
      <c r="X60" s="67" t="n"/>
      <c r="Y60" s="71">
        <f>IFERROR(IF(AND(W60&lt;&gt;"",X60&lt;&gt;""),ABS(W60-X60)/ABS(W60)*100,""),"")</f>
        <v/>
      </c>
      <c r="Z60" s="69" t="inlineStr">
        <is>
          <t>ND</t>
        </is>
      </c>
      <c r="AA60" s="67" t="n"/>
      <c r="AB60" s="67" t="n"/>
      <c r="AC60" s="71">
        <f>IFERROR(IF(AND(AA60&lt;&gt;"",AB60&lt;&gt;""),ABS(AA60-AB60)/ABS(AA60)*100,""),"")</f>
        <v/>
      </c>
      <c r="AD60" s="69" t="inlineStr">
        <is>
          <t>ND</t>
        </is>
      </c>
      <c r="AE60" s="67" t="n"/>
      <c r="AF60" s="67" t="n"/>
      <c r="AG60" s="71">
        <f>IFERROR(IF(AND(AE60&lt;&gt;"",AF60&lt;&gt;""),ABS(AE60-AF60)/ABS(AE60)*100,""),"")</f>
        <v/>
      </c>
      <c r="AH60" s="69" t="inlineStr">
        <is>
          <t>ND</t>
        </is>
      </c>
      <c r="AI60" s="67" t="n"/>
      <c r="AJ60" s="67" t="n"/>
      <c r="AK60" s="71">
        <f>IFERROR(IF(AND(AI60&lt;&gt;"",AJ60&lt;&gt;""),ABS(AI60-AJ60)/ABS(AI60)*100,""),"")</f>
        <v/>
      </c>
      <c r="AL60" s="69" t="inlineStr">
        <is>
          <t>ND</t>
        </is>
      </c>
      <c r="AM60" s="67" t="n"/>
      <c r="AN60" s="67" t="n"/>
      <c r="AO60" s="71">
        <f>IFERROR(IF(AND(AM60&lt;&gt;"",AN60&lt;&gt;""),ABS(AM60-AN60)/ABS(AM60)*100,""),"")</f>
        <v/>
      </c>
      <c r="AP60" s="69" t="inlineStr">
        <is>
          <t>ND</t>
        </is>
      </c>
      <c r="AQ60" s="67" t="n"/>
      <c r="AR60" s="67" t="n"/>
      <c r="AS60" s="71">
        <f>IFERROR(IF(AND(AQ60&lt;&gt;"",AR60&lt;&gt;""),ABS(AQ60-AR60)/ABS(AQ60)*100,""),"")</f>
        <v/>
      </c>
      <c r="AT60" s="69" t="inlineStr">
        <is>
          <t>ND</t>
        </is>
      </c>
      <c r="AU60" s="67" t="n"/>
      <c r="AV60" s="67" t="n"/>
      <c r="AW60" s="71">
        <f>IFERROR(IF(AND(AU60&lt;&gt;"",AV60&lt;&gt;""),ABS(AU60-AV60)/ABS(AU60)*100,""),"")</f>
        <v/>
      </c>
      <c r="AX60" s="69" t="inlineStr">
        <is>
          <t>ND</t>
        </is>
      </c>
      <c r="AY60" s="67" t="n"/>
      <c r="AZ60" s="67" t="n"/>
      <c r="BA60" s="71">
        <f>IFERROR(IF(AND(AY60&lt;&gt;"",AZ60&lt;&gt;""),ABS(AY60-AZ60)/ABS(AY60)*100,""),"")</f>
        <v/>
      </c>
      <c r="BB60" s="69" t="inlineStr">
        <is>
          <t>ND</t>
        </is>
      </c>
      <c r="BC60" s="67" t="n"/>
      <c r="BD60" s="67" t="n"/>
      <c r="BE60" s="71">
        <f>IFERROR(IF(AND(BC60&lt;&gt;"",BD60&lt;&gt;""),ABS(BC60-BD60)/ABS(BC60)*100,""),"")</f>
        <v/>
      </c>
      <c r="BF60" s="69" t="inlineStr">
        <is>
          <t>ND</t>
        </is>
      </c>
      <c r="BG60" s="67" t="n"/>
      <c r="BH60" s="67" t="n"/>
      <c r="BI60" s="71">
        <f>IFERROR(IF(AND(BG60&lt;&gt;"",BH60&lt;&gt;""),ABS(BG60-BH60)/ABS(BG60)*100,""),"")</f>
        <v/>
      </c>
      <c r="BJ60" s="69" t="inlineStr">
        <is>
          <t>ND</t>
        </is>
      </c>
      <c r="BK60" s="67" t="n"/>
      <c r="BL60" s="67" t="n"/>
      <c r="BM60" s="71">
        <f>IFERROR(IF(AND(BK60&lt;&gt;"",BL60&lt;&gt;""),ABS(BK60-BL60)/ABS(BK60)*100,""),"")</f>
        <v/>
      </c>
      <c r="BN60" s="69" t="inlineStr">
        <is>
          <t>ND</t>
        </is>
      </c>
      <c r="BO60" s="67" t="n"/>
      <c r="BP60" s="67" t="n"/>
      <c r="BQ60" s="71">
        <f>IFERROR(IF(AND(BO60&lt;&gt;"",BP60&lt;&gt;""),ABS(BO60-BP60)/ABS(BO60)*100,""),"")</f>
        <v/>
      </c>
      <c r="BR60" s="69" t="inlineStr">
        <is>
          <t>ND</t>
        </is>
      </c>
      <c r="BS60" s="67" t="n"/>
      <c r="BT60" s="67" t="n"/>
      <c r="BU60" s="71">
        <f>IFERROR(IF(AND(BS60&lt;&gt;"",BT60&lt;&gt;""),ABS(BS60-BT60)/ABS(BS60)*100,""),"")</f>
        <v/>
      </c>
      <c r="BV60" s="69" t="inlineStr">
        <is>
          <t>ND</t>
        </is>
      </c>
      <c r="BW60" s="67" t="n"/>
      <c r="BX60" s="67" t="n"/>
      <c r="BY60" s="71">
        <f>IFERROR(IF(AND(BW60&lt;&gt;"",BX60&lt;&gt;""),ABS(BW60-BX60)/ABS(BW60)*100,""),"")</f>
        <v/>
      </c>
      <c r="BZ60" s="69" t="inlineStr">
        <is>
          <t>ND</t>
        </is>
      </c>
      <c r="CA60" s="67" t="n"/>
      <c r="CB60" s="67" t="n"/>
      <c r="CC60" s="71">
        <f>IFERROR(IF(AND(CA60&lt;&gt;"",CB60&lt;&gt;""),ABS(CA60-CB60)/ABS(CA60)*100,""),"")</f>
        <v/>
      </c>
      <c r="CD60" s="69" t="inlineStr">
        <is>
          <t>ND</t>
        </is>
      </c>
      <c r="CE60" s="67" t="n"/>
      <c r="CF60" s="67" t="n"/>
      <c r="CG60" s="71">
        <f>IFERROR(IF(AND(CE60&lt;&gt;"",CF60&lt;&gt;""),ABS(CE60-CF60)/ABS(CE60)*100,""),"")</f>
        <v/>
      </c>
      <c r="CH60" s="69" t="inlineStr">
        <is>
          <t>ND</t>
        </is>
      </c>
      <c r="CI60" s="67" t="n"/>
      <c r="CJ60" s="67" t="n"/>
      <c r="CK60" s="71">
        <f>IFERROR(IF(AND(CI60&lt;&gt;"",CJ60&lt;&gt;""),ABS(CI60-CJ60)/ABS(CI60)*100,""),"")</f>
        <v/>
      </c>
      <c r="CL60" s="69" t="inlineStr">
        <is>
          <t>ND</t>
        </is>
      </c>
      <c r="CM60" s="67" t="n"/>
      <c r="CN60" s="67" t="n"/>
      <c r="CO60" s="71">
        <f>IFERROR(IF(AND(CM60&lt;&gt;"",CN60&lt;&gt;""),ABS(CM60-CN60)/ABS(CM60)*100,""),"")</f>
        <v/>
      </c>
      <c r="CP60" s="69" t="inlineStr">
        <is>
          <t>ND</t>
        </is>
      </c>
      <c r="CQ60" s="67" t="n"/>
      <c r="CR60" s="67" t="n"/>
      <c r="CS60" s="71">
        <f>IFERROR(IF(AND(CQ60&lt;&gt;"",CR60&lt;&gt;""),ABS(CQ60-CR60)/ABS(CQ60)*100,""),"")</f>
        <v/>
      </c>
      <c r="CT60" s="69" t="inlineStr">
        <is>
          <t>ND</t>
        </is>
      </c>
      <c r="CU60" s="67" t="n"/>
      <c r="CV60" s="67" t="n"/>
      <c r="CW60" s="71">
        <f>IFERROR(IF(AND(CU60&lt;&gt;"",CV60&lt;&gt;""),ABS(CU60-CV60)/ABS(CU60)*100,""),"")</f>
        <v/>
      </c>
      <c r="CX60" s="69" t="inlineStr">
        <is>
          <t>ND</t>
        </is>
      </c>
      <c r="CY60" s="68" t="n"/>
      <c r="CZ60" s="68" t="n"/>
      <c r="DA60" s="71">
        <f>IFERROR(IF(AND(CY60&lt;&gt;"",CZ60&lt;&gt;""),ABS(CY60-CZ60)/ABS(CY60)*100,""),"")</f>
        <v/>
      </c>
      <c r="DB60" s="69" t="inlineStr">
        <is>
          <t>ND</t>
        </is>
      </c>
      <c r="DC60" s="68" t="n"/>
      <c r="DD60" s="68" t="n"/>
      <c r="DE60" s="71">
        <f>IFERROR(IF(AND(DC60&lt;&gt;"",DD60&lt;&gt;""),ABS(DC60-DD60)/ABS(DC60)*100,""),"")</f>
        <v/>
      </c>
      <c r="DF60" s="69" t="inlineStr">
        <is>
          <t>ND</t>
        </is>
      </c>
      <c r="DG60" s="68" t="n"/>
      <c r="DH60" s="68" t="n"/>
      <c r="DI60" s="71">
        <f>IFERROR(IF(AND(DG60&lt;&gt;"",DH60&lt;&gt;""),ABS(DG60-DH60)/ABS(DG60)*100,""),"")</f>
        <v/>
      </c>
      <c r="DJ60" s="69" t="inlineStr">
        <is>
          <t>ND</t>
        </is>
      </c>
      <c r="DK60" s="68" t="n"/>
      <c r="DL60" s="68" t="n"/>
      <c r="DM60" s="71">
        <f>IFERROR(IF(AND(DK60&lt;&gt;"",DL60&lt;&gt;""),ABS(DK60-DL60)/ABS(DK60)*100,""),"")</f>
        <v/>
      </c>
      <c r="DN60" s="69" t="inlineStr">
        <is>
          <t>ND</t>
        </is>
      </c>
      <c r="DO60" s="68" t="n"/>
      <c r="DP60" s="68" t="n"/>
      <c r="DQ60" s="71">
        <f>IFERROR(IF(AND(DO60&lt;&gt;"",DP60&lt;&gt;""),ABS(DO60-DP60)/ABS(DO60)*100,""),"")</f>
        <v/>
      </c>
      <c r="DR60" s="69" t="inlineStr">
        <is>
          <t>ND</t>
        </is>
      </c>
      <c r="DS60" s="68" t="n"/>
      <c r="DT60" s="68" t="n"/>
      <c r="DU60" s="71">
        <f>IFERROR(IF(AND(DS60&lt;&gt;"",DT60&lt;&gt;""),ABS(DS60-DT60)/ABS(DS60)*100,""),"")</f>
        <v/>
      </c>
      <c r="DV60" s="69" t="inlineStr">
        <is>
          <t>ND</t>
        </is>
      </c>
      <c r="DW60" s="70" t="inlineStr">
        <is>
          <t>No data available in any of the 3 report batches. ND throughout.</t>
        </is>
      </c>
    </row>
    <row r="61" ht="15.75" customHeight="1" s="43">
      <c r="A61" s="62" t="n"/>
      <c r="B61" s="62" t="n"/>
      <c r="C61" s="62" t="inlineStr">
        <is>
          <t>Consumer Discretionary</t>
        </is>
      </c>
      <c r="D61" s="62" t="inlineStr">
        <is>
          <t>2019</t>
        </is>
      </c>
      <c r="E61" s="63" t="inlineStr">
        <is>
          <t>Shinsegae_2021.pdf (only report covering 2019)</t>
        </is>
      </c>
      <c r="F61" s="62" t="n"/>
      <c r="G61" s="64" t="n">
        <v>0.25</v>
      </c>
      <c r="H61" s="64" t="n">
        <v>1.3</v>
      </c>
      <c r="I61" s="65">
        <f>IFERROR(IF(AND(G61&lt;&gt;"",H61&lt;&gt;""),ABS(G61-H61)/ABS(G61)*100,""),"")</f>
        <v/>
      </c>
      <c r="J61" s="66" t="inlineStr">
        <is>
          <t>MANUAL FLAG</t>
        </is>
      </c>
      <c r="K61" s="67" t="n">
        <v>69.81</v>
      </c>
      <c r="L61" s="67" t="n">
        <v>69.81</v>
      </c>
      <c r="M61" s="65">
        <f>IFERROR(IF(AND(K61&lt;&gt;"",L61&lt;&gt;""),ABS(K61-L61)/ABS(K61)*100,""),"")</f>
        <v/>
      </c>
      <c r="N61" s="62" t="inlineStr">
        <is>
          <t>Claude</t>
        </is>
      </c>
      <c r="O61" s="64" t="n">
        <v>50</v>
      </c>
      <c r="P61" s="64" t="n">
        <v>19.51</v>
      </c>
      <c r="Q61" s="65">
        <f>IFERROR(IF(AND(O61&lt;&gt;"",P61&lt;&gt;""),ABS(O61-P61)/ABS(O61)*100,""),"")</f>
        <v/>
      </c>
      <c r="R61" s="66" t="inlineStr">
        <is>
          <t>MANUAL FLAG</t>
        </is>
      </c>
      <c r="S61" s="67" t="n"/>
      <c r="T61" s="67" t="n"/>
      <c r="U61" s="65">
        <f>IFERROR(IF(AND(S61&lt;&gt;"",T61&lt;&gt;""),ABS(S61-T61)/ABS(S61)*100,""),"")</f>
        <v/>
      </c>
      <c r="V61" s="62" t="inlineStr">
        <is>
          <t>ND</t>
        </is>
      </c>
      <c r="W61" s="67" t="n"/>
      <c r="X61" s="67" t="n"/>
      <c r="Y61" s="65">
        <f>IFERROR(IF(AND(W61&lt;&gt;"",X61&lt;&gt;""),ABS(W61-X61)/ABS(W61)*100,""),"")</f>
        <v/>
      </c>
      <c r="Z61" s="62" t="inlineStr">
        <is>
          <t>ND</t>
        </is>
      </c>
      <c r="AA61" s="67" t="n"/>
      <c r="AB61" s="67" t="n"/>
      <c r="AC61" s="65">
        <f>IFERROR(IF(AND(AA61&lt;&gt;"",AB61&lt;&gt;""),ABS(AA61-AB61)/ABS(AA61)*100,""),"")</f>
        <v/>
      </c>
      <c r="AD61" s="62" t="inlineStr">
        <is>
          <t>ND</t>
        </is>
      </c>
      <c r="AE61" s="67" t="n">
        <v>1.675</v>
      </c>
      <c r="AF61" s="67" t="n"/>
      <c r="AG61" s="65">
        <f>IFERROR(IF(AND(AE61&lt;&gt;"",AF61&lt;&gt;""),ABS(AE61-AF61)/ABS(AE61)*100,""),"")</f>
        <v/>
      </c>
      <c r="AH61" s="62" t="inlineStr">
        <is>
          <t>Claude</t>
        </is>
      </c>
      <c r="AI61" s="67" t="n"/>
      <c r="AJ61" s="67" t="n"/>
      <c r="AK61" s="65">
        <f>IFERROR(IF(AND(AI61&lt;&gt;"",AJ61&lt;&gt;""),ABS(AI61-AJ61)/ABS(AI61)*100,""),"")</f>
        <v/>
      </c>
      <c r="AL61" s="62" t="inlineStr">
        <is>
          <t>ND</t>
        </is>
      </c>
      <c r="AM61" s="64" t="n">
        <v>16.25</v>
      </c>
      <c r="AN61" s="64" t="n">
        <v>66.67</v>
      </c>
      <c r="AO61" s="65">
        <f>IFERROR(IF(AND(AM61&lt;&gt;"",AN61&lt;&gt;""),ABS(AM61-AN61)/ABS(AM61)*100,""),"")</f>
        <v/>
      </c>
      <c r="AP61" s="66" t="inlineStr">
        <is>
          <t>MANUAL FLAG</t>
        </is>
      </c>
      <c r="AQ61" s="67" t="n">
        <v>12.12</v>
      </c>
      <c r="AR61" s="67" t="n">
        <v>12.12</v>
      </c>
      <c r="AS61" s="65">
        <f>IFERROR(IF(AND(AQ61&lt;&gt;"",AR61&lt;&gt;""),ABS(AQ61-AR61)/ABS(AQ61)*100,""),"")</f>
        <v/>
      </c>
      <c r="AT61" s="62" t="inlineStr">
        <is>
          <t>Claude</t>
        </is>
      </c>
      <c r="AU61" s="67" t="n"/>
      <c r="AV61" s="67" t="n">
        <v>0</v>
      </c>
      <c r="AW61" s="65">
        <f>IFERROR(IF(AND(AU61&lt;&gt;"",AV61&lt;&gt;""),ABS(AU61-AV61)/ABS(AU61)*100,""),"")</f>
        <v/>
      </c>
      <c r="AX61" s="62" t="inlineStr">
        <is>
          <t>DeepSeek</t>
        </is>
      </c>
      <c r="AY61" s="67" t="n">
        <v>54500000</v>
      </c>
      <c r="AZ61" s="67" t="n">
        <v>54502370</v>
      </c>
      <c r="BA61" s="65">
        <f>IFERROR(IF(AND(AY61&lt;&gt;"",AZ61&lt;&gt;""),ABS(AY61-AZ61)/ABS(AY61)*100,""),"")</f>
        <v/>
      </c>
      <c r="BB61" s="62" t="inlineStr">
        <is>
          <t>Claude</t>
        </is>
      </c>
      <c r="BC61" s="67" t="n"/>
      <c r="BD61" s="67" t="n"/>
      <c r="BE61" s="65">
        <f>IFERROR(IF(AND(BC61&lt;&gt;"",BD61&lt;&gt;""),ABS(BC61-BD61)/ABS(BC61)*100,""),"")</f>
        <v/>
      </c>
      <c r="BF61" s="62" t="inlineStr">
        <is>
          <t>ND</t>
        </is>
      </c>
      <c r="BG61" s="67" t="n">
        <v>720000</v>
      </c>
      <c r="BH61" s="67" t="n">
        <v>709320</v>
      </c>
      <c r="BI61" s="65">
        <f>IFERROR(IF(AND(BG61&lt;&gt;"",BH61&lt;&gt;""),ABS(BG61-BH61)/ABS(BG61)*100,""),"")</f>
        <v/>
      </c>
      <c r="BJ61" s="62" t="inlineStr">
        <is>
          <t>Claude</t>
        </is>
      </c>
      <c r="BK61" s="67" t="n">
        <v>48</v>
      </c>
      <c r="BL61" s="67" t="n">
        <v>48</v>
      </c>
      <c r="BM61" s="65">
        <f>IFERROR(IF(AND(BK61&lt;&gt;"",BL61&lt;&gt;""),ABS(BK61-BL61)/ABS(BK61)*100,""),"")</f>
        <v/>
      </c>
      <c r="BN61" s="62" t="inlineStr">
        <is>
          <t>Claude</t>
        </is>
      </c>
      <c r="BO61" s="67" t="n">
        <v>58</v>
      </c>
      <c r="BP61" s="67" t="n"/>
      <c r="BQ61" s="65">
        <f>IFERROR(IF(AND(BO61&lt;&gt;"",BP61&lt;&gt;""),ABS(BO61-BP61)/ABS(BO61)*100,""),"")</f>
        <v/>
      </c>
      <c r="BR61" s="62" t="inlineStr">
        <is>
          <t>Claude</t>
        </is>
      </c>
      <c r="BS61" s="67" t="n">
        <v>0</v>
      </c>
      <c r="BT61" s="67" t="n"/>
      <c r="BU61" s="65">
        <f>IFERROR(IF(AND(BS61&lt;&gt;"",BT61&lt;&gt;""),ABS(BS61-BT61)/ABS(BS61)*100,""),"")</f>
        <v/>
      </c>
      <c r="BV61" s="62" t="inlineStr">
        <is>
          <t>Claude</t>
        </is>
      </c>
      <c r="BW61" s="67" t="n"/>
      <c r="BX61" s="67" t="n">
        <v>92</v>
      </c>
      <c r="BY61" s="65">
        <f>IFERROR(IF(AND(BW61&lt;&gt;"",BX61&lt;&gt;""),ABS(BW61-BX61)/ABS(BW61)*100,""),"")</f>
        <v/>
      </c>
      <c r="BZ61" s="62" t="inlineStr">
        <is>
          <t>DeepSeek</t>
        </is>
      </c>
      <c r="CA61" s="67" t="n"/>
      <c r="CB61" s="67" t="n"/>
      <c r="CC61" s="65">
        <f>IFERROR(IF(AND(CA61&lt;&gt;"",CB61&lt;&gt;""),ABS(CA61-CB61)/ABS(CA61)*100,""),"")</f>
        <v/>
      </c>
      <c r="CD61" s="62" t="inlineStr">
        <is>
          <t>ND</t>
        </is>
      </c>
      <c r="CE61" s="67" t="n"/>
      <c r="CF61" s="67" t="n"/>
      <c r="CG61" s="65">
        <f>IFERROR(IF(AND(CE61&lt;&gt;"",CF61&lt;&gt;""),ABS(CE61-CF61)/ABS(CE61)*100,""),"")</f>
        <v/>
      </c>
      <c r="CH61" s="62" t="inlineStr">
        <is>
          <t>ND</t>
        </is>
      </c>
      <c r="CI61" s="67" t="n"/>
      <c r="CJ61" s="67" t="n"/>
      <c r="CK61" s="65">
        <f>IFERROR(IF(AND(CI61&lt;&gt;"",CJ61&lt;&gt;""),ABS(CI61-CJ61)/ABS(CI61)*100,""),"")</f>
        <v/>
      </c>
      <c r="CL61" s="62" t="inlineStr">
        <is>
          <t>ND</t>
        </is>
      </c>
      <c r="CM61" s="67" t="n"/>
      <c r="CN61" s="67" t="n"/>
      <c r="CO61" s="65">
        <f>IFERROR(IF(AND(CM61&lt;&gt;"",CN61&lt;&gt;""),ABS(CM61-CN61)/ABS(CM61)*100,""),"")</f>
        <v/>
      </c>
      <c r="CP61" s="62" t="inlineStr">
        <is>
          <t>ND</t>
        </is>
      </c>
      <c r="CQ61" s="67" t="n">
        <v>0.03</v>
      </c>
      <c r="CR61" s="67" t="n">
        <v>0.03</v>
      </c>
      <c r="CS61" s="65">
        <f>IFERROR(IF(AND(CQ61&lt;&gt;"",CR61&lt;&gt;""),ABS(CQ61-CR61)/ABS(CQ61)*100,""),"")</f>
        <v/>
      </c>
      <c r="CT61" s="62" t="inlineStr">
        <is>
          <t>Claude</t>
        </is>
      </c>
      <c r="CU61" s="67" t="n"/>
      <c r="CV61" s="67" t="n"/>
      <c r="CW61" s="65">
        <f>IFERROR(IF(AND(CU61&lt;&gt;"",CV61&lt;&gt;""),ABS(CU61-CV61)/ABS(CU61)*100,""),"")</f>
        <v/>
      </c>
      <c r="CX61" s="62" t="inlineStr">
        <is>
          <t>ND</t>
        </is>
      </c>
      <c r="CY61" s="68" t="n"/>
      <c r="CZ61" s="68" t="n"/>
      <c r="DA61" s="65">
        <f>IFERROR(IF(AND(CY61&lt;&gt;"",CZ61&lt;&gt;""),ABS(CY61-CZ61)/ABS(CY61)*100,""),"")</f>
        <v/>
      </c>
      <c r="DB61" s="62" t="inlineStr">
        <is>
          <t>ND</t>
        </is>
      </c>
      <c r="DC61" s="68" t="n"/>
      <c r="DD61" s="68" t="n"/>
      <c r="DE61" s="65">
        <f>IFERROR(IF(AND(DC61&lt;&gt;"",DD61&lt;&gt;""),ABS(DC61-DD61)/ABS(DC61)*100,""),"")</f>
        <v/>
      </c>
      <c r="DF61" s="62" t="inlineStr">
        <is>
          <t>ND</t>
        </is>
      </c>
      <c r="DG61" s="68" t="n"/>
      <c r="DH61" s="68" t="n"/>
      <c r="DI61" s="65">
        <f>IFERROR(IF(AND(DG61&lt;&gt;"",DH61&lt;&gt;""),ABS(DG61-DH61)/ABS(DG61)*100,""),"")</f>
        <v/>
      </c>
      <c r="DJ61" s="62" t="inlineStr">
        <is>
          <t>ND</t>
        </is>
      </c>
      <c r="DK61" s="68" t="n"/>
      <c r="DL61" s="68" t="n"/>
      <c r="DM61" s="65">
        <f>IFERROR(IF(AND(DK61&lt;&gt;"",DL61&lt;&gt;""),ABS(DK61-DL61)/ABS(DK61)*100,""),"")</f>
        <v/>
      </c>
      <c r="DN61" s="62" t="inlineStr">
        <is>
          <t>ND</t>
        </is>
      </c>
      <c r="DO61" s="68" t="n"/>
      <c r="DP61" s="68" t="n"/>
      <c r="DQ61" s="65">
        <f>IFERROR(IF(AND(DO61&lt;&gt;"",DP61&lt;&gt;""),ABS(DO61-DP61)/ABS(DO61)*100,""),"")</f>
        <v/>
      </c>
      <c r="DR61" s="62" t="inlineStr">
        <is>
          <t>ND</t>
        </is>
      </c>
      <c r="DS61" s="68" t="n"/>
      <c r="DT61" s="68" t="n"/>
      <c r="DU61" s="65">
        <f>IFERROR(IF(AND(DS61&lt;&gt;"",DT61&lt;&gt;""),ABS(DS61-DT61)/ABS(DS61)*100,""),"")</f>
        <v/>
      </c>
      <c r="DV61" s="62" t="inlineStr">
        <is>
          <t>ND</t>
        </is>
      </c>
      <c r="DW61" s="63" t="inlineStr">
        <is>
          <t>Claude only (DeepSeek pending). Source=2021 report (only report covering 2019, Shinsegae's first ESG report). Ind.7=1.675 computed from disability headcount 53 / total workforce 3,165. Ind.8=ND (foreign na disclosed). Ind.16=58, PROXY ('scheduled to return within the year' used as stand-in for actual leave-taker headcount). Ind.17=0, PROXY (inferred '-'=0 convention). Ind.18=ND: only Female return-to-work rate (95%) disclosed, no Male or combined figure - recorded for reference. Ind.23=0.03, reported as a PERCENTAGE (not standard cases/million-hours LTIFR unit) - not comparable to later editions' recalculated LTIFR. Ind.24=na (silence not assumed as zero per indicator's own rule, unlike later editions which found an explicit zero). || DEEPSEEK RECONCILIATION - MANUAL FLAGS: Ind.1 (Contract Workers%): Claude=0.25, DeepSeek=1.3, Diff=420.0%; Ind.3 (Female Contract%): Claude=50, DeepSeek=19.51, Diff=61.0%; Ind.9 (Female Middle Mgrs): Claude=16.25, DeepSeek=66.67, Diff=310.3%</t>
        </is>
      </c>
    </row>
    <row r="62" ht="15.75" customHeight="1" s="43">
      <c r="A62" s="69" t="n"/>
      <c r="B62" s="69" t="n"/>
      <c r="C62" s="69" t="inlineStr">
        <is>
          <t>Consumer Discretionary</t>
        </is>
      </c>
      <c r="D62" s="69" t="inlineStr">
        <is>
          <t>2020</t>
        </is>
      </c>
      <c r="E62" s="70" t="inlineStr">
        <is>
          <t>Shinsegae_2023.pdf (most recent covering 2020)</t>
        </is>
      </c>
      <c r="F62" s="69" t="n"/>
      <c r="G62" s="64" t="n">
        <v>0.07000000000000001</v>
      </c>
      <c r="H62" s="64" t="n">
        <v>0.066</v>
      </c>
      <c r="I62" s="71">
        <f>IFERROR(IF(AND(G62&lt;&gt;"",H62&lt;&gt;""),ABS(G62-H62)/ABS(G62)*100,""),"")</f>
        <v/>
      </c>
      <c r="J62" s="66" t="inlineStr">
        <is>
          <t>MANUAL FLAG</t>
        </is>
      </c>
      <c r="K62" s="67" t="n">
        <v>69.37</v>
      </c>
      <c r="L62" s="67" t="n">
        <v>69.37</v>
      </c>
      <c r="M62" s="71">
        <f>IFERROR(IF(AND(K62&lt;&gt;"",L62&lt;&gt;""),ABS(K62-L62)/ABS(K62)*100,""),"")</f>
        <v/>
      </c>
      <c r="N62" s="69" t="inlineStr">
        <is>
          <t>Claude</t>
        </is>
      </c>
      <c r="O62" s="67" t="n">
        <v>0</v>
      </c>
      <c r="P62" s="67" t="n">
        <v>0</v>
      </c>
      <c r="Q62" s="71">
        <f>IFERROR(IF(AND(O62&lt;&gt;"",P62&lt;&gt;""),ABS(O62-P62)/ABS(O62)*100,""),"")</f>
        <v/>
      </c>
      <c r="R62" s="69" t="inlineStr">
        <is>
          <t>Claude</t>
        </is>
      </c>
      <c r="S62" s="67" t="n">
        <v>2.3</v>
      </c>
      <c r="T62" s="67" t="n">
        <v>2.3</v>
      </c>
      <c r="U62" s="71">
        <f>IFERROR(IF(AND(S62&lt;&gt;"",T62&lt;&gt;""),ABS(S62-T62)/ABS(S62)*100,""),"")</f>
        <v/>
      </c>
      <c r="V62" s="69" t="inlineStr">
        <is>
          <t>Claude</t>
        </is>
      </c>
      <c r="W62" s="67" t="n">
        <v>2.86</v>
      </c>
      <c r="X62" s="67" t="n">
        <v>2.86</v>
      </c>
      <c r="Y62" s="71">
        <f>IFERROR(IF(AND(W62&lt;&gt;"",X62&lt;&gt;""),ABS(W62-X62)/ABS(W62)*100,""),"")</f>
        <v/>
      </c>
      <c r="Z62" s="69" t="inlineStr">
        <is>
          <t>Claude</t>
        </is>
      </c>
      <c r="AA62" s="67" t="n">
        <v>58.57</v>
      </c>
      <c r="AB62" s="67" t="n">
        <v>58.57</v>
      </c>
      <c r="AC62" s="71">
        <f>IFERROR(IF(AND(AA62&lt;&gt;"",AB62&lt;&gt;""),ABS(AA62-AB62)/ABS(AA62)*100,""),"")</f>
        <v/>
      </c>
      <c r="AD62" s="69" t="inlineStr">
        <is>
          <t>Claude</t>
        </is>
      </c>
      <c r="AE62" s="67" t="n">
        <v>1.739</v>
      </c>
      <c r="AF62" s="67" t="n"/>
      <c r="AG62" s="71">
        <f>IFERROR(IF(AND(AE62&lt;&gt;"",AF62&lt;&gt;""),ABS(AE62-AF62)/ABS(AE62)*100,""),"")</f>
        <v/>
      </c>
      <c r="AH62" s="69" t="inlineStr">
        <is>
          <t>Claude</t>
        </is>
      </c>
      <c r="AI62" s="67" t="n"/>
      <c r="AJ62" s="67" t="n"/>
      <c r="AK62" s="71">
        <f>IFERROR(IF(AND(AI62&lt;&gt;"",AJ62&lt;&gt;""),ABS(AI62-AJ62)/ABS(AI62)*100,""),"")</f>
        <v/>
      </c>
      <c r="AL62" s="69" t="inlineStr">
        <is>
          <t>ND</t>
        </is>
      </c>
      <c r="AM62" s="64" t="n">
        <v>17.9</v>
      </c>
      <c r="AN62" s="64" t="n">
        <v>54.55</v>
      </c>
      <c r="AO62" s="71">
        <f>IFERROR(IF(AND(AM62&lt;&gt;"",AN62&lt;&gt;""),ABS(AM62-AN62)/ABS(AM62)*100,""),"")</f>
        <v/>
      </c>
      <c r="AP62" s="66" t="inlineStr">
        <is>
          <t>MANUAL FLAG</t>
        </is>
      </c>
      <c r="AQ62" s="67" t="n">
        <v>7.1</v>
      </c>
      <c r="AR62" s="67" t="n">
        <v>7.1</v>
      </c>
      <c r="AS62" s="71">
        <f>IFERROR(IF(AND(AQ62&lt;&gt;"",AR62&lt;&gt;""),ABS(AQ62-AR62)/ABS(AQ62)*100,""),"")</f>
        <v/>
      </c>
      <c r="AT62" s="69" t="inlineStr">
        <is>
          <t>Claude</t>
        </is>
      </c>
      <c r="AU62" s="67" t="n"/>
      <c r="AV62" s="67" t="n">
        <v>0</v>
      </c>
      <c r="AW62" s="71">
        <f>IFERROR(IF(AND(AU62&lt;&gt;"",AV62&lt;&gt;""),ABS(AU62-AV62)/ABS(AU62)*100,""),"")</f>
        <v/>
      </c>
      <c r="AX62" s="69" t="inlineStr">
        <is>
          <t>DeepSeek</t>
        </is>
      </c>
      <c r="AY62" s="67" t="n"/>
      <c r="AZ62" s="67" t="n">
        <v>126978176</v>
      </c>
      <c r="BA62" s="71">
        <f>IFERROR(IF(AND(AY62&lt;&gt;"",AZ62&lt;&gt;""),ABS(AY62-AZ62)/ABS(AY62)*100,""),"")</f>
        <v/>
      </c>
      <c r="BB62" s="69" t="inlineStr">
        <is>
          <t>DeepSeek</t>
        </is>
      </c>
      <c r="BC62" s="67" t="n"/>
      <c r="BD62" s="67" t="n"/>
      <c r="BE62" s="71">
        <f>IFERROR(IF(AND(BC62&lt;&gt;"",BD62&lt;&gt;""),ABS(BC62-BD62)/ABS(BC62)*100,""),"")</f>
        <v/>
      </c>
      <c r="BF62" s="69" t="inlineStr">
        <is>
          <t>ND</t>
        </is>
      </c>
      <c r="BG62" s="67" t="n">
        <v>350000</v>
      </c>
      <c r="BH62" s="67" t="n">
        <v>351493</v>
      </c>
      <c r="BI62" s="71">
        <f>IFERROR(IF(AND(BG62&lt;&gt;"",BH62&lt;&gt;""),ABS(BG62-BH62)/ABS(BG62)*100,""),"")</f>
        <v/>
      </c>
      <c r="BJ62" s="69" t="inlineStr">
        <is>
          <t>Claude</t>
        </is>
      </c>
      <c r="BK62" s="67" t="n">
        <v>33</v>
      </c>
      <c r="BL62" s="67" t="n">
        <v>33.14</v>
      </c>
      <c r="BM62" s="71">
        <f>IFERROR(IF(AND(BK62&lt;&gt;"",BL62&lt;&gt;""),ABS(BK62-BL62)/ABS(BK62)*100,""),"")</f>
        <v/>
      </c>
      <c r="BN62" s="69" t="inlineStr">
        <is>
          <t>Claude</t>
        </is>
      </c>
      <c r="BO62" s="67" t="n"/>
      <c r="BP62" s="67" t="n">
        <v>8</v>
      </c>
      <c r="BQ62" s="71">
        <f>IFERROR(IF(AND(BO62&lt;&gt;"",BP62&lt;&gt;""),ABS(BO62-BP62)/ABS(BO62)*100,""),"")</f>
        <v/>
      </c>
      <c r="BR62" s="69" t="inlineStr">
        <is>
          <t>DeepSeek</t>
        </is>
      </c>
      <c r="BS62" s="67" t="n"/>
      <c r="BT62" s="67" t="n">
        <v>0</v>
      </c>
      <c r="BU62" s="71">
        <f>IFERROR(IF(AND(BS62&lt;&gt;"",BT62&lt;&gt;""),ABS(BS62-BT62)/ABS(BS62)*100,""),"")</f>
        <v/>
      </c>
      <c r="BV62" s="69" t="inlineStr">
        <is>
          <t>DeepSeek</t>
        </is>
      </c>
      <c r="BW62" s="67" t="n"/>
      <c r="BX62" s="67" t="n">
        <v>88.8</v>
      </c>
      <c r="BY62" s="71">
        <f>IFERROR(IF(AND(BW62&lt;&gt;"",BX62&lt;&gt;""),ABS(BW62-BX62)/ABS(BW62)*100,""),"")</f>
        <v/>
      </c>
      <c r="BZ62" s="69" t="inlineStr">
        <is>
          <t>DeepSeek</t>
        </is>
      </c>
      <c r="CA62" s="67" t="n"/>
      <c r="CB62" s="67" t="n"/>
      <c r="CC62" s="71">
        <f>IFERROR(IF(AND(CA62&lt;&gt;"",CB62&lt;&gt;""),ABS(CA62-CB62)/ABS(CA62)*100,""),"")</f>
        <v/>
      </c>
      <c r="CD62" s="69" t="inlineStr">
        <is>
          <t>ND</t>
        </is>
      </c>
      <c r="CE62" s="67" t="n"/>
      <c r="CF62" s="67" t="n">
        <v>2.2</v>
      </c>
      <c r="CG62" s="71">
        <f>IFERROR(IF(AND(CE62&lt;&gt;"",CF62&lt;&gt;""),ABS(CE62-CF62)/ABS(CE62)*100,""),"")</f>
        <v/>
      </c>
      <c r="CH62" s="69" t="inlineStr">
        <is>
          <t>DeepSeek</t>
        </is>
      </c>
      <c r="CI62" s="67" t="n"/>
      <c r="CJ62" s="67" t="n">
        <v>1.54</v>
      </c>
      <c r="CK62" s="71">
        <f>IFERROR(IF(AND(CI62&lt;&gt;"",CJ62&lt;&gt;""),ABS(CI62-CJ62)/ABS(CI62)*100,""),"")</f>
        <v/>
      </c>
      <c r="CL62" s="69" t="inlineStr">
        <is>
          <t>DeepSeek</t>
        </is>
      </c>
      <c r="CM62" s="67" t="n"/>
      <c r="CN62" s="67" t="n"/>
      <c r="CO62" s="71">
        <f>IFERROR(IF(AND(CM62&lt;&gt;"",CN62&lt;&gt;""),ABS(CM62-CN62)/ABS(CM62)*100,""),"")</f>
        <v/>
      </c>
      <c r="CP62" s="69" t="inlineStr">
        <is>
          <t>ND</t>
        </is>
      </c>
      <c r="CQ62" s="67" t="n">
        <v>0.33</v>
      </c>
      <c r="CR62" s="67" t="n"/>
      <c r="CS62" s="71">
        <f>IFERROR(IF(AND(CQ62&lt;&gt;"",CR62&lt;&gt;""),ABS(CQ62-CR62)/ABS(CQ62)*100,""),"")</f>
        <v/>
      </c>
      <c r="CT62" s="69" t="inlineStr">
        <is>
          <t>Claude</t>
        </is>
      </c>
      <c r="CU62" s="67" t="n">
        <v>0</v>
      </c>
      <c r="CV62" s="67" t="n">
        <v>0</v>
      </c>
      <c r="CW62" s="71">
        <f>IFERROR(IF(AND(CU62&lt;&gt;"",CV62&lt;&gt;""),ABS(CU62-CV62)/ABS(CU62)*100,""),"")</f>
        <v/>
      </c>
      <c r="CX62" s="69" t="inlineStr">
        <is>
          <t>Claude</t>
        </is>
      </c>
      <c r="CY62" s="68" t="n"/>
      <c r="CZ62" s="68" t="n"/>
      <c r="DA62" s="71">
        <f>IFERROR(IF(AND(CY62&lt;&gt;"",CZ62&lt;&gt;""),ABS(CY62-CZ62)/ABS(CY62)*100,""),"")</f>
        <v/>
      </c>
      <c r="DB62" s="69" t="inlineStr">
        <is>
          <t>ND</t>
        </is>
      </c>
      <c r="DC62" s="68" t="n"/>
      <c r="DD62" s="68" t="n">
        <v>4</v>
      </c>
      <c r="DE62" s="71">
        <f>IFERROR(IF(AND(DC62&lt;&gt;"",DD62&lt;&gt;""),ABS(DC62-DD62)/ABS(DC62)*100,""),"")</f>
        <v/>
      </c>
      <c r="DF62" s="69" t="inlineStr">
        <is>
          <t>DeepSeek</t>
        </is>
      </c>
      <c r="DG62" s="68" t="n"/>
      <c r="DH62" s="68" t="n"/>
      <c r="DI62" s="71">
        <f>IFERROR(IF(AND(DG62&lt;&gt;"",DH62&lt;&gt;""),ABS(DG62-DH62)/ABS(DG62)*100,""),"")</f>
        <v/>
      </c>
      <c r="DJ62" s="69" t="inlineStr">
        <is>
          <t>ND</t>
        </is>
      </c>
      <c r="DK62" s="68" t="n"/>
      <c r="DL62" s="68" t="n"/>
      <c r="DM62" s="71">
        <f>IFERROR(IF(AND(DK62&lt;&gt;"",DL62&lt;&gt;""),ABS(DK62-DL62)/ABS(DK62)*100,""),"")</f>
        <v/>
      </c>
      <c r="DN62" s="69" t="inlineStr">
        <is>
          <t>ND</t>
        </is>
      </c>
      <c r="DO62" s="68" t="n"/>
      <c r="DP62" s="68" t="n"/>
      <c r="DQ62" s="71">
        <f>IFERROR(IF(AND(DO62&lt;&gt;"",DP62&lt;&gt;""),ABS(DO62-DP62)/ABS(DO62)*100,""),"")</f>
        <v/>
      </c>
      <c r="DR62" s="69" t="inlineStr">
        <is>
          <t>ND</t>
        </is>
      </c>
      <c r="DS62" s="68" t="n"/>
      <c r="DT62" s="68" t="n"/>
      <c r="DU62" s="71">
        <f>IFERROR(IF(AND(DS62&lt;&gt;"",DT62&lt;&gt;""),ABS(DS62-DT62)/ABS(DS62)*100,""),"")</f>
        <v/>
      </c>
      <c r="DV62" s="69" t="inlineStr">
        <is>
          <t>ND</t>
        </is>
      </c>
      <c r="DW62" s="70" t="inlineStr">
        <is>
          <t>Claude only (DeepSeek pending). Source=2023 ed. (more recent than 2021 ed., used per 'most recent' rule). Ind.1/2/3/4(disability headcount) all MATCH the 2021 ed. exactly for this year - good consistency. Ind.7=1.740 computed from disability headcount 53 (matches 2021 ed.) / total workforce 3,047 (only available from 2021 ed., since 2023 ed. doesn't restate total workforce - reasonable combination given exact headcount match). Ind.10=7.1, NEWLY FLAGGED PROXY this edition ('Management' tier as stand-in for 'executives') - 2021 ed. used same definition without a proxy flag; treat as proxy from here forward. Ind.12=ND: 2023 ed. RETRACTS 2021 ed.'s 54,050,000 KRW figure entirely (GRI index now explicitly says 'Not disclosed due to incomplete data') - real data loss, flag. Ind.16/17=ND: 2023 ed. RETRACTS 2021 ed.'s proxy values (80/0) as unconfirmed - flag. Ind.18=ND: gendered breakdown only (F=88.8%/M=0.0%) - close to 2021 ed.'s F=89% (no real conflict on the female figure). Ind.20=ND: gendered breakdown only (F=2.2%/M=2.6%), first time this data appears. Ind.23=0.33 - MAJOR METHODOLOGY/UNIT SHIFT vs 2021 ed.'s 0.06% (different unit: cases/1M hours vs a raw percentage) - NOT directly comparable, flag heavily. Ind.24=0, UPGRADED from 'na' in 2021 ed. to a confirmed direct zero (table's own footnote) - methodological improvement. Ind.25=ND: 2023 ed. RETRACTS 2021 ed.'s COVID count of 11 (this later-published edition has no itemized pandemic section at all) - flag. || DEEPSEEK RECONCILIATION - MANUAL FLAGS: Ind.1 (Contract Workers%): Claude=0.07, DeepSeek=0.066, Diff=5.7%; Ind.9 (Female Middle Mgrs): Claude=17.9, DeepSeek=54.55, Diff=204.7%</t>
        </is>
      </c>
    </row>
    <row r="63" ht="15.75" customHeight="1" s="43">
      <c r="A63" s="62" t="n"/>
      <c r="B63" s="62" t="n"/>
      <c r="C63" s="62" t="inlineStr">
        <is>
          <t>Consumer Discretionary</t>
        </is>
      </c>
      <c r="D63" s="62" t="inlineStr">
        <is>
          <t>2021</t>
        </is>
      </c>
      <c r="E63" s="63" t="inlineStr">
        <is>
          <t>Shinsegae_2023.pdf (only report covering 2021)</t>
        </is>
      </c>
      <c r="F63" s="62" t="n"/>
      <c r="G63" s="67" t="n">
        <v>0.1</v>
      </c>
      <c r="H63" s="67" t="n">
        <v>0.096</v>
      </c>
      <c r="I63" s="65">
        <f>IFERROR(IF(AND(G63&lt;&gt;"",H63&lt;&gt;""),ABS(G63-H63)/ABS(G63)*100,""),"")</f>
        <v/>
      </c>
      <c r="J63" s="62" t="inlineStr">
        <is>
          <t>Claude</t>
        </is>
      </c>
      <c r="K63" s="67" t="n">
        <v>69.73</v>
      </c>
      <c r="L63" s="67" t="n">
        <v>69.73</v>
      </c>
      <c r="M63" s="65">
        <f>IFERROR(IF(AND(K63&lt;&gt;"",L63&lt;&gt;""),ABS(K63-L63)/ABS(K63)*100,""),"")</f>
        <v/>
      </c>
      <c r="N63" s="62" t="inlineStr">
        <is>
          <t>Claude</t>
        </is>
      </c>
      <c r="O63" s="64" t="n">
        <v>33.33</v>
      </c>
      <c r="P63" s="64" t="n">
        <v>66.67</v>
      </c>
      <c r="Q63" s="65">
        <f>IFERROR(IF(AND(O63&lt;&gt;"",P63&lt;&gt;""),ABS(O63-P63)/ABS(O63)*100,""),"")</f>
        <v/>
      </c>
      <c r="R63" s="66" t="inlineStr">
        <is>
          <t>MANUAL FLAG</t>
        </is>
      </c>
      <c r="S63" s="64" t="n">
        <v>7.59</v>
      </c>
      <c r="T63" s="64" t="n">
        <v>3.6</v>
      </c>
      <c r="U63" s="65">
        <f>IFERROR(IF(AND(S63&lt;&gt;"",T63&lt;&gt;""),ABS(S63-T63)/ABS(S63)*100,""),"")</f>
        <v/>
      </c>
      <c r="V63" s="66" t="inlineStr">
        <is>
          <t>MANUAL FLAG</t>
        </is>
      </c>
      <c r="W63" s="64" t="n">
        <v>0.85</v>
      </c>
      <c r="X63" s="64" t="n">
        <v>1.79</v>
      </c>
      <c r="Y63" s="65">
        <f>IFERROR(IF(AND(W63&lt;&gt;"",X63&lt;&gt;""),ABS(W63-X63)/ABS(W63)*100,""),"")</f>
        <v/>
      </c>
      <c r="Z63" s="66" t="inlineStr">
        <is>
          <t>MANUAL FLAG</t>
        </is>
      </c>
      <c r="AA63" s="64" t="n">
        <v>71.61</v>
      </c>
      <c r="AB63" s="64" t="n">
        <v>14.29</v>
      </c>
      <c r="AC63" s="65">
        <f>IFERROR(IF(AND(AA63&lt;&gt;"",AB63&lt;&gt;""),ABS(AA63-AB63)/ABS(AA63)*100,""),"")</f>
        <v/>
      </c>
      <c r="AD63" s="66" t="inlineStr">
        <is>
          <t>MANUAL FLAG</t>
        </is>
      </c>
      <c r="AE63" s="67" t="n"/>
      <c r="AF63" s="67" t="n"/>
      <c r="AG63" s="65">
        <f>IFERROR(IF(AND(AE63&lt;&gt;"",AF63&lt;&gt;""),ABS(AE63-AF63)/ABS(AE63)*100,""),"")</f>
        <v/>
      </c>
      <c r="AH63" s="62" t="inlineStr">
        <is>
          <t>ND</t>
        </is>
      </c>
      <c r="AI63" s="67" t="n"/>
      <c r="AJ63" s="67" t="n"/>
      <c r="AK63" s="65">
        <f>IFERROR(IF(AND(AI63&lt;&gt;"",AJ63&lt;&gt;""),ABS(AI63-AJ63)/ABS(AI63)*100,""),"")</f>
        <v/>
      </c>
      <c r="AL63" s="62" t="inlineStr">
        <is>
          <t>ND</t>
        </is>
      </c>
      <c r="AM63" s="64" t="n">
        <v>17.5</v>
      </c>
      <c r="AN63" s="64" t="n">
        <v>55.76</v>
      </c>
      <c r="AO63" s="65">
        <f>IFERROR(IF(AND(AM63&lt;&gt;"",AN63&lt;&gt;""),ABS(AM63-AN63)/ABS(AM63)*100,""),"")</f>
        <v/>
      </c>
      <c r="AP63" s="66" t="inlineStr">
        <is>
          <t>MANUAL FLAG</t>
        </is>
      </c>
      <c r="AQ63" s="67" t="n">
        <v>11.8</v>
      </c>
      <c r="AR63" s="67" t="n">
        <v>11.8</v>
      </c>
      <c r="AS63" s="65">
        <f>IFERROR(IF(AND(AQ63&lt;&gt;"",AR63&lt;&gt;""),ABS(AQ63-AR63)/ABS(AQ63)*100,""),"")</f>
        <v/>
      </c>
      <c r="AT63" s="62" t="inlineStr">
        <is>
          <t>Claude</t>
        </is>
      </c>
      <c r="AU63" s="67" t="n"/>
      <c r="AV63" s="67" t="n">
        <v>0</v>
      </c>
      <c r="AW63" s="65">
        <f>IFERROR(IF(AND(AU63&lt;&gt;"",AV63&lt;&gt;""),ABS(AU63-AV63)/ABS(AU63)*100,""),"")</f>
        <v/>
      </c>
      <c r="AX63" s="62" t="inlineStr">
        <is>
          <t>DeepSeek</t>
        </is>
      </c>
      <c r="AY63" s="67" t="n"/>
      <c r="AZ63" s="67" t="n">
        <v>134351560</v>
      </c>
      <c r="BA63" s="65">
        <f>IFERROR(IF(AND(AY63&lt;&gt;"",AZ63&lt;&gt;""),ABS(AY63-AZ63)/ABS(AY63)*100,""),"")</f>
        <v/>
      </c>
      <c r="BB63" s="62" t="inlineStr">
        <is>
          <t>DeepSeek</t>
        </is>
      </c>
      <c r="BC63" s="67" t="n"/>
      <c r="BD63" s="67" t="n"/>
      <c r="BE63" s="65">
        <f>IFERROR(IF(AND(BC63&lt;&gt;"",BD63&lt;&gt;""),ABS(BC63-BD63)/ABS(BC63)*100,""),"")</f>
        <v/>
      </c>
      <c r="BF63" s="62" t="inlineStr">
        <is>
          <t>ND</t>
        </is>
      </c>
      <c r="BG63" s="67" t="n">
        <v>510000</v>
      </c>
      <c r="BH63" s="67" t="n">
        <v>500482</v>
      </c>
      <c r="BI63" s="65">
        <f>IFERROR(IF(AND(BG63&lt;&gt;"",BH63&lt;&gt;""),ABS(BG63-BH63)/ABS(BG63)*100,""),"")</f>
        <v/>
      </c>
      <c r="BJ63" s="62" t="inlineStr">
        <is>
          <t>Claude</t>
        </is>
      </c>
      <c r="BK63" s="67" t="n">
        <v>40</v>
      </c>
      <c r="BL63" s="67" t="n">
        <v>39.14</v>
      </c>
      <c r="BM63" s="65">
        <f>IFERROR(IF(AND(BK63&lt;&gt;"",BL63&lt;&gt;""),ABS(BK63-BL63)/ABS(BK63)*100,""),"")</f>
        <v/>
      </c>
      <c r="BN63" s="62" t="inlineStr">
        <is>
          <t>Claude</t>
        </is>
      </c>
      <c r="BO63" s="67" t="n"/>
      <c r="BP63" s="67" t="n">
        <v>18</v>
      </c>
      <c r="BQ63" s="65">
        <f>IFERROR(IF(AND(BO63&lt;&gt;"",BP63&lt;&gt;""),ABS(BO63-BP63)/ABS(BO63)*100,""),"")</f>
        <v/>
      </c>
      <c r="BR63" s="62" t="inlineStr">
        <is>
          <t>DeepSeek</t>
        </is>
      </c>
      <c r="BS63" s="67" t="n"/>
      <c r="BT63" s="67" t="n">
        <v>0</v>
      </c>
      <c r="BU63" s="65">
        <f>IFERROR(IF(AND(BS63&lt;&gt;"",BT63&lt;&gt;""),ABS(BS63-BT63)/ABS(BS63)*100,""),"")</f>
        <v/>
      </c>
      <c r="BV63" s="62" t="inlineStr">
        <is>
          <t>DeepSeek</t>
        </is>
      </c>
      <c r="BW63" s="67" t="n"/>
      <c r="BX63" s="67" t="n">
        <v>95.2</v>
      </c>
      <c r="BY63" s="65">
        <f>IFERROR(IF(AND(BW63&lt;&gt;"",BX63&lt;&gt;""),ABS(BW63-BX63)/ABS(BW63)*100,""),"")</f>
        <v/>
      </c>
      <c r="BZ63" s="62" t="inlineStr">
        <is>
          <t>DeepSeek</t>
        </is>
      </c>
      <c r="CA63" s="67" t="n"/>
      <c r="CB63" s="67" t="n"/>
      <c r="CC63" s="65">
        <f>IFERROR(IF(AND(CA63&lt;&gt;"",CB63&lt;&gt;""),ABS(CA63-CB63)/ABS(CA63)*100,""),"")</f>
        <v/>
      </c>
      <c r="CD63" s="62" t="inlineStr">
        <is>
          <t>ND</t>
        </is>
      </c>
      <c r="CE63" s="67" t="n"/>
      <c r="CF63" s="67" t="n">
        <v>3.8</v>
      </c>
      <c r="CG63" s="65">
        <f>IFERROR(IF(AND(CE63&lt;&gt;"",CF63&lt;&gt;""),ABS(CE63-CF63)/ABS(CE63)*100,""),"")</f>
        <v/>
      </c>
      <c r="CH63" s="62" t="inlineStr">
        <is>
          <t>DeepSeek</t>
        </is>
      </c>
      <c r="CI63" s="67" t="n"/>
      <c r="CJ63" s="67" t="n">
        <v>0.9</v>
      </c>
      <c r="CK63" s="65">
        <f>IFERROR(IF(AND(CI63&lt;&gt;"",CJ63&lt;&gt;""),ABS(CI63-CJ63)/ABS(CI63)*100,""),"")</f>
        <v/>
      </c>
      <c r="CL63" s="62" t="inlineStr">
        <is>
          <t>DeepSeek</t>
        </is>
      </c>
      <c r="CM63" s="67" t="n"/>
      <c r="CN63" s="67" t="n"/>
      <c r="CO63" s="65">
        <f>IFERROR(IF(AND(CM63&lt;&gt;"",CN63&lt;&gt;""),ABS(CM63-CN63)/ABS(CM63)*100,""),"")</f>
        <v/>
      </c>
      <c r="CP63" s="62" t="inlineStr">
        <is>
          <t>ND</t>
        </is>
      </c>
      <c r="CQ63" s="67" t="n">
        <v>0.48</v>
      </c>
      <c r="CR63" s="67" t="n"/>
      <c r="CS63" s="65">
        <f>IFERROR(IF(AND(CQ63&lt;&gt;"",CR63&lt;&gt;""),ABS(CQ63-CR63)/ABS(CQ63)*100,""),"")</f>
        <v/>
      </c>
      <c r="CT63" s="62" t="inlineStr">
        <is>
          <t>Claude</t>
        </is>
      </c>
      <c r="CU63" s="67" t="n">
        <v>0</v>
      </c>
      <c r="CV63" s="67" t="n">
        <v>0</v>
      </c>
      <c r="CW63" s="65">
        <f>IFERROR(IF(AND(CU63&lt;&gt;"",CV63&lt;&gt;""),ABS(CU63-CV63)/ABS(CU63)*100,""),"")</f>
        <v/>
      </c>
      <c r="CX63" s="62" t="inlineStr">
        <is>
          <t>Claude</t>
        </is>
      </c>
      <c r="CY63" s="68" t="n"/>
      <c r="CZ63" s="68" t="n"/>
      <c r="DA63" s="65">
        <f>IFERROR(IF(AND(CY63&lt;&gt;"",CZ63&lt;&gt;""),ABS(CY63-CZ63)/ABS(CY63)*100,""),"")</f>
        <v/>
      </c>
      <c r="DB63" s="62" t="inlineStr">
        <is>
          <t>ND</t>
        </is>
      </c>
      <c r="DC63" s="68" t="n"/>
      <c r="DD63" s="68" t="n">
        <v>4</v>
      </c>
      <c r="DE63" s="65">
        <f>IFERROR(IF(AND(DC63&lt;&gt;"",DD63&lt;&gt;""),ABS(DC63-DD63)/ABS(DC63)*100,""),"")</f>
        <v/>
      </c>
      <c r="DF63" s="62" t="inlineStr">
        <is>
          <t>DeepSeek</t>
        </is>
      </c>
      <c r="DG63" s="68" t="n"/>
      <c r="DH63" s="68" t="n"/>
      <c r="DI63" s="65">
        <f>IFERROR(IF(AND(DG63&lt;&gt;"",DH63&lt;&gt;""),ABS(DG63-DH63)/ABS(DG63)*100,""),"")</f>
        <v/>
      </c>
      <c r="DJ63" s="62" t="inlineStr">
        <is>
          <t>ND</t>
        </is>
      </c>
      <c r="DK63" s="68" t="n"/>
      <c r="DL63" s="68" t="n"/>
      <c r="DM63" s="65">
        <f>IFERROR(IF(AND(DK63&lt;&gt;"",DL63&lt;&gt;""),ABS(DK63-DL63)/ABS(DK63)*100,""),"")</f>
        <v/>
      </c>
      <c r="DN63" s="62" t="inlineStr">
        <is>
          <t>ND</t>
        </is>
      </c>
      <c r="DO63" s="68" t="n"/>
      <c r="DP63" s="68" t="n"/>
      <c r="DQ63" s="65">
        <f>IFERROR(IF(AND(DO63&lt;&gt;"",DP63&lt;&gt;""),ABS(DO63-DP63)/ABS(DO63)*100,""),"")</f>
        <v/>
      </c>
      <c r="DR63" s="62" t="inlineStr">
        <is>
          <t>ND</t>
        </is>
      </c>
      <c r="DS63" s="68" t="n"/>
      <c r="DT63" s="68" t="n"/>
      <c r="DU63" s="65">
        <f>IFERROR(IF(AND(DS63&lt;&gt;"",DT63&lt;&gt;""),ABS(DS63-DT63)/ABS(DS63)*100,""),"")</f>
        <v/>
      </c>
      <c r="DV63" s="62" t="inlineStr">
        <is>
          <t>ND</t>
        </is>
      </c>
      <c r="DW63" s="63" t="inlineStr">
        <is>
          <t>Claude only (DeepSeek pending). Source=2023 ed., only report covering 2021. Ind.7/8=ND (headcount 52 disabled, no total workforce given this edition). Ind.10=11.8, PROXY ('Management' tier). Ind.18=ND: breakdown F=95.2%/M=100.0%. Ind.20=ND: breakdown F=3.8%/M=3.2%. || DEEPSEEK RECONCILIATION - MANUAL FLAGS: Ind.3 (Female Contract%): Claude=33.33, DeepSeek=66.67, Diff=100.0%; Ind.4 (New Hire Rate): Claude=7.59, DeepSeek=3.6, Diff=52.6%; Ind.5 (New Hires Contract%): Claude=0.85, DeepSeek=1.79, Diff=110.6%; Ind.6 (New Hires Female%): Claude=71.61, DeepSeek=14.29, Diff=80.0%; Ind.9 (Female Middle Mgrs): Claude=17.5, DeepSeek=55.76, Diff=218.6%</t>
        </is>
      </c>
    </row>
    <row r="64" ht="15.75" customHeight="1" s="43">
      <c r="A64" s="69" t="n"/>
      <c r="B64" s="69" t="n"/>
      <c r="C64" s="69" t="inlineStr">
        <is>
          <t>Consumer Discretionary</t>
        </is>
      </c>
      <c r="D64" s="69" t="inlineStr">
        <is>
          <t>2022</t>
        </is>
      </c>
      <c r="E64" s="70" t="inlineStr">
        <is>
          <t>Shinsegae_2023.pdf (only report covering 2022)</t>
        </is>
      </c>
      <c r="F64" s="69" t="n"/>
      <c r="G64" s="64" t="n">
        <v>0.16</v>
      </c>
      <c r="H64" s="64" t="n">
        <v>0.097</v>
      </c>
      <c r="I64" s="71">
        <f>IFERROR(IF(AND(G64&lt;&gt;"",H64&lt;&gt;""),ABS(G64-H64)/ABS(G64)*100,""),"")</f>
        <v/>
      </c>
      <c r="J64" s="66" t="inlineStr">
        <is>
          <t>MANUAL FLAG</t>
        </is>
      </c>
      <c r="K64" s="67" t="n">
        <v>69.19</v>
      </c>
      <c r="L64" s="67" t="n">
        <v>69.19</v>
      </c>
      <c r="M64" s="71">
        <f>IFERROR(IF(AND(K64&lt;&gt;"",L64&lt;&gt;""),ABS(K64-L64)/ABS(K64)*100,""),"")</f>
        <v/>
      </c>
      <c r="N64" s="69" t="inlineStr">
        <is>
          <t>Claude</t>
        </is>
      </c>
      <c r="O64" s="64" t="n">
        <v>40</v>
      </c>
      <c r="P64" s="64" t="n">
        <v>66.67</v>
      </c>
      <c r="Q64" s="71">
        <f>IFERROR(IF(AND(O64&lt;&gt;"",P64&lt;&gt;""),ABS(O64-P64)/ABS(O64)*100,""),"")</f>
        <v/>
      </c>
      <c r="R64" s="66" t="inlineStr">
        <is>
          <t>MANUAL FLAG</t>
        </is>
      </c>
      <c r="S64" s="64" t="n">
        <v>8.44</v>
      </c>
      <c r="T64" s="64" t="n">
        <v>4.48</v>
      </c>
      <c r="U64" s="71">
        <f>IFERROR(IF(AND(S64&lt;&gt;"",T64&lt;&gt;""),ABS(S64-T64)/ABS(S64)*100,""),"")</f>
        <v/>
      </c>
      <c r="V64" s="66" t="inlineStr">
        <is>
          <t>MANUAL FLAG</t>
        </is>
      </c>
      <c r="W64" s="64" t="n">
        <v>1.15</v>
      </c>
      <c r="X64" s="64" t="n">
        <v>2.16</v>
      </c>
      <c r="Y64" s="71">
        <f>IFERROR(IF(AND(W64&lt;&gt;"",X64&lt;&gt;""),ABS(W64-X64)/ABS(W64)*100,""),"")</f>
        <v/>
      </c>
      <c r="Z64" s="66" t="inlineStr">
        <is>
          <t>MANUAL FLAG</t>
        </is>
      </c>
      <c r="AA64" s="64" t="n">
        <v>64.12</v>
      </c>
      <c r="AB64" s="64" t="n">
        <v>51.08</v>
      </c>
      <c r="AC64" s="71">
        <f>IFERROR(IF(AND(AA64&lt;&gt;"",AB64&lt;&gt;""),ABS(AA64-AB64)/ABS(AA64)*100,""),"")</f>
        <v/>
      </c>
      <c r="AD64" s="66" t="inlineStr">
        <is>
          <t>MANUAL FLAG</t>
        </is>
      </c>
      <c r="AE64" s="67" t="n"/>
      <c r="AF64" s="67" t="n"/>
      <c r="AG64" s="71">
        <f>IFERROR(IF(AND(AE64&lt;&gt;"",AF64&lt;&gt;""),ABS(AE64-AF64)/ABS(AE64)*100,""),"")</f>
        <v/>
      </c>
      <c r="AH64" s="69" t="inlineStr">
        <is>
          <t>ND</t>
        </is>
      </c>
      <c r="AI64" s="67" t="n"/>
      <c r="AJ64" s="67" t="n"/>
      <c r="AK64" s="71">
        <f>IFERROR(IF(AND(AI64&lt;&gt;"",AJ64&lt;&gt;""),ABS(AI64-AJ64)/ABS(AI64)*100,""),"")</f>
        <v/>
      </c>
      <c r="AL64" s="69" t="inlineStr">
        <is>
          <t>ND</t>
        </is>
      </c>
      <c r="AM64" s="64" t="n">
        <v>19.4</v>
      </c>
      <c r="AN64" s="64" t="n">
        <v>54.81</v>
      </c>
      <c r="AO64" s="71">
        <f>IFERROR(IF(AND(AM64&lt;&gt;"",AN64&lt;&gt;""),ABS(AM64-AN64)/ABS(AM64)*100,""),"")</f>
        <v/>
      </c>
      <c r="AP64" s="66" t="inlineStr">
        <is>
          <t>MANUAL FLAG</t>
        </is>
      </c>
      <c r="AQ64" s="67" t="n">
        <v>17.5</v>
      </c>
      <c r="AR64" s="67" t="n">
        <v>17.5</v>
      </c>
      <c r="AS64" s="71">
        <f>IFERROR(IF(AND(AQ64&lt;&gt;"",AR64&lt;&gt;""),ABS(AQ64-AR64)/ABS(AQ64)*100,""),"")</f>
        <v/>
      </c>
      <c r="AT64" s="69" t="inlineStr">
        <is>
          <t>Claude</t>
        </is>
      </c>
      <c r="AU64" s="67" t="n"/>
      <c r="AV64" s="67" t="n">
        <v>14.29</v>
      </c>
      <c r="AW64" s="71">
        <f>IFERROR(IF(AND(AU64&lt;&gt;"",AV64&lt;&gt;""),ABS(AU64-AV64)/ABS(AU64)*100,""),"")</f>
        <v/>
      </c>
      <c r="AX64" s="69" t="inlineStr">
        <is>
          <t>DeepSeek</t>
        </is>
      </c>
      <c r="AY64" s="67" t="n"/>
      <c r="AZ64" s="67" t="n">
        <v>154121699</v>
      </c>
      <c r="BA64" s="71">
        <f>IFERROR(IF(AND(AY64&lt;&gt;"",AZ64&lt;&gt;""),ABS(AY64-AZ64)/ABS(AY64)*100,""),"")</f>
        <v/>
      </c>
      <c r="BB64" s="69" t="inlineStr">
        <is>
          <t>DeepSeek</t>
        </is>
      </c>
      <c r="BC64" s="67" t="n"/>
      <c r="BD64" s="67" t="n"/>
      <c r="BE64" s="71">
        <f>IFERROR(IF(AND(BC64&lt;&gt;"",BD64&lt;&gt;""),ABS(BC64-BD64)/ABS(BC64)*100,""),"")</f>
        <v/>
      </c>
      <c r="BF64" s="69" t="inlineStr">
        <is>
          <t>ND</t>
        </is>
      </c>
      <c r="BG64" s="67" t="n">
        <v>830000</v>
      </c>
      <c r="BH64" s="67" t="n">
        <v>822279</v>
      </c>
      <c r="BI64" s="71">
        <f>IFERROR(IF(AND(BG64&lt;&gt;"",BH64&lt;&gt;""),ABS(BG64-BH64)/ABS(BG64)*100,""),"")</f>
        <v/>
      </c>
      <c r="BJ64" s="69" t="inlineStr">
        <is>
          <t>Claude</t>
        </is>
      </c>
      <c r="BK64" s="67" t="n">
        <v>47</v>
      </c>
      <c r="BL64" s="67" t="n">
        <v>46.35</v>
      </c>
      <c r="BM64" s="71">
        <f>IFERROR(IF(AND(BK64&lt;&gt;"",BL64&lt;&gt;""),ABS(BK64-BL64)/ABS(BK64)*100,""),"")</f>
        <v/>
      </c>
      <c r="BN64" s="69" t="inlineStr">
        <is>
          <t>Claude</t>
        </is>
      </c>
      <c r="BO64" s="67" t="n"/>
      <c r="BP64" s="67" t="n">
        <v>19</v>
      </c>
      <c r="BQ64" s="71">
        <f>IFERROR(IF(AND(BO64&lt;&gt;"",BP64&lt;&gt;""),ABS(BO64-BP64)/ABS(BO64)*100,""),"")</f>
        <v/>
      </c>
      <c r="BR64" s="69" t="inlineStr">
        <is>
          <t>DeepSeek</t>
        </is>
      </c>
      <c r="BS64" s="67" t="n"/>
      <c r="BT64" s="67" t="n">
        <v>2</v>
      </c>
      <c r="BU64" s="71">
        <f>IFERROR(IF(AND(BS64&lt;&gt;"",BT64&lt;&gt;""),ABS(BS64-BT64)/ABS(BS64)*100,""),"")</f>
        <v/>
      </c>
      <c r="BV64" s="69" t="inlineStr">
        <is>
          <t>DeepSeek</t>
        </is>
      </c>
      <c r="BW64" s="67" t="n"/>
      <c r="BX64" s="67" t="n">
        <v>100</v>
      </c>
      <c r="BY64" s="71">
        <f>IFERROR(IF(AND(BW64&lt;&gt;"",BX64&lt;&gt;""),ABS(BW64-BX64)/ABS(BW64)*100,""),"")</f>
        <v/>
      </c>
      <c r="BZ64" s="69" t="inlineStr">
        <is>
          <t>DeepSeek</t>
        </is>
      </c>
      <c r="CA64" s="67" t="n"/>
      <c r="CB64" s="67" t="n"/>
      <c r="CC64" s="71">
        <f>IFERROR(IF(AND(CA64&lt;&gt;"",CB64&lt;&gt;""),ABS(CA64-CB64)/ABS(CA64)*100,""),"")</f>
        <v/>
      </c>
      <c r="CD64" s="69" t="inlineStr">
        <is>
          <t>ND</t>
        </is>
      </c>
      <c r="CE64" s="67" t="n"/>
      <c r="CF64" s="67" t="n">
        <v>5.2</v>
      </c>
      <c r="CG64" s="71">
        <f>IFERROR(IF(AND(CE64&lt;&gt;"",CF64&lt;&gt;""),ABS(CE64-CF64)/ABS(CE64)*100,""),"")</f>
        <v/>
      </c>
      <c r="CH64" s="69" t="inlineStr">
        <is>
          <t>DeepSeek</t>
        </is>
      </c>
      <c r="CI64" s="67" t="n"/>
      <c r="CJ64" s="67" t="n">
        <v>0.61</v>
      </c>
      <c r="CK64" s="71">
        <f>IFERROR(IF(AND(CI64&lt;&gt;"",CJ64&lt;&gt;""),ABS(CI64-CJ64)/ABS(CI64)*100,""),"")</f>
        <v/>
      </c>
      <c r="CL64" s="69" t="inlineStr">
        <is>
          <t>DeepSeek</t>
        </is>
      </c>
      <c r="CM64" s="67" t="n"/>
      <c r="CN64" s="67" t="n"/>
      <c r="CO64" s="71">
        <f>IFERROR(IF(AND(CM64&lt;&gt;"",CN64&lt;&gt;""),ABS(CM64-CN64)/ABS(CM64)*100,""),"")</f>
        <v/>
      </c>
      <c r="CP64" s="69" t="inlineStr">
        <is>
          <t>ND</t>
        </is>
      </c>
      <c r="CQ64" s="67" t="n">
        <v>0</v>
      </c>
      <c r="CR64" s="67" t="n"/>
      <c r="CS64" s="71">
        <f>IFERROR(IF(AND(CQ64&lt;&gt;"",CR64&lt;&gt;""),ABS(CQ64-CR64)/ABS(CQ64)*100,""),"")</f>
        <v/>
      </c>
      <c r="CT64" s="69" t="inlineStr">
        <is>
          <t>Claude</t>
        </is>
      </c>
      <c r="CU64" s="67" t="n">
        <v>0</v>
      </c>
      <c r="CV64" s="67" t="n">
        <v>0</v>
      </c>
      <c r="CW64" s="71">
        <f>IFERROR(IF(AND(CU64&lt;&gt;"",CV64&lt;&gt;""),ABS(CU64-CV64)/ABS(CU64)*100,""),"")</f>
        <v/>
      </c>
      <c r="CX64" s="69" t="inlineStr">
        <is>
          <t>Claude</t>
        </is>
      </c>
      <c r="CY64" s="68" t="n"/>
      <c r="CZ64" s="68" t="n"/>
      <c r="DA64" s="71">
        <f>IFERROR(IF(AND(CY64&lt;&gt;"",CZ64&lt;&gt;""),ABS(CY64-CZ64)/ABS(CY64)*100,""),"")</f>
        <v/>
      </c>
      <c r="DB64" s="69" t="inlineStr">
        <is>
          <t>ND</t>
        </is>
      </c>
      <c r="DC64" s="68" t="n"/>
      <c r="DD64" s="68" t="n">
        <v>4</v>
      </c>
      <c r="DE64" s="71">
        <f>IFERROR(IF(AND(DC64&lt;&gt;"",DD64&lt;&gt;""),ABS(DC64-DD64)/ABS(DC64)*100,""),"")</f>
        <v/>
      </c>
      <c r="DF64" s="69" t="inlineStr">
        <is>
          <t>DeepSeek</t>
        </is>
      </c>
      <c r="DG64" s="68" t="n"/>
      <c r="DH64" s="68" t="n"/>
      <c r="DI64" s="71">
        <f>IFERROR(IF(AND(DG64&lt;&gt;"",DH64&lt;&gt;""),ABS(DG64-DH64)/ABS(DG64)*100,""),"")</f>
        <v/>
      </c>
      <c r="DJ64" s="69" t="inlineStr">
        <is>
          <t>ND</t>
        </is>
      </c>
      <c r="DK64" s="68" t="n"/>
      <c r="DL64" s="68" t="n">
        <v>2</v>
      </c>
      <c r="DM64" s="71">
        <f>IFERROR(IF(AND(DK64&lt;&gt;"",DL64&lt;&gt;""),ABS(DK64-DL64)/ABS(DK64)*100,""),"")</f>
        <v/>
      </c>
      <c r="DN64" s="69" t="inlineStr">
        <is>
          <t>DeepSeek</t>
        </is>
      </c>
      <c r="DO64" s="68" t="n"/>
      <c r="DP64" s="68" t="n"/>
      <c r="DQ64" s="71">
        <f>IFERROR(IF(AND(DO64&lt;&gt;"",DP64&lt;&gt;""),ABS(DO64-DP64)/ABS(DO64)*100,""),"")</f>
        <v/>
      </c>
      <c r="DR64" s="69" t="inlineStr">
        <is>
          <t>ND</t>
        </is>
      </c>
      <c r="DS64" s="68" t="n"/>
      <c r="DT64" s="68" t="n"/>
      <c r="DU64" s="71">
        <f>IFERROR(IF(AND(DS64&lt;&gt;"",DT64&lt;&gt;""),ABS(DS64-DT64)/ABS(DS64)*100,""),"")</f>
        <v/>
      </c>
      <c r="DV64" s="69" t="inlineStr">
        <is>
          <t>ND</t>
        </is>
      </c>
      <c r="DW64" s="70" t="inlineStr">
        <is>
          <t>Claude only (DeepSeek pending). Source=2023 ed., only report covering 2022. Ind.7/8=ND (headcount 46 disabled, no total workforce). Ind.10=17.5, PROXY. Ind.18=ND: breakdown F=57.8%/M=300.0% - SOURCE ITSELF FLAGS the 300% male figure as a cross-cohort mismatch (data-quality issue in the original report, not an extraction error) - treat with caution. Ind.20=ND: breakdown F=4.7%/M=5.2%. || DEEPSEEK RECONCILIATION - MANUAL FLAGS: Ind.1 (Contract Workers%): Claude=0.16, DeepSeek=0.097, Diff=39.4%; Ind.3 (Female Contract%): Claude=40, DeepSeek=66.67, Diff=66.7%; Ind.4 (New Hire Rate): Claude=8.44, DeepSeek=4.48, Diff=46.9%; Ind.5 (New Hires Contract%): Claude=1.15, DeepSeek=2.16, Diff=87.8%; Ind.6 (New Hires Female%): Claude=64.12, DeepSeek=51.08, Diff=20.3%; Ind.9 (Female Middle Mgrs): Claude=19.4, DeepSeek=54.81, Diff=182.5%</t>
        </is>
      </c>
    </row>
    <row r="65" ht="15.75" customHeight="1" s="43">
      <c r="A65" s="62" t="n"/>
      <c r="B65" s="62" t="n"/>
      <c r="C65" s="62" t="inlineStr">
        <is>
          <t>Consumer Discretionary</t>
        </is>
      </c>
      <c r="D65" s="62" t="inlineStr">
        <is>
          <t>2023</t>
        </is>
      </c>
      <c r="E65" s="63" t="inlineStr">
        <is>
          <t>Shinsegae 2025 ed. (most recent covering 2023)</t>
        </is>
      </c>
      <c r="F65" s="62" t="n"/>
      <c r="G65" s="67" t="n">
        <v>0.1</v>
      </c>
      <c r="H65" s="67" t="n"/>
      <c r="I65" s="65">
        <f>IFERROR(IF(AND(G65&lt;&gt;"",H65&lt;&gt;""),ABS(G65-H65)/ABS(G65)*100,""),"")</f>
        <v/>
      </c>
      <c r="J65" s="62" t="inlineStr">
        <is>
          <t>Claude</t>
        </is>
      </c>
      <c r="K65" s="67" t="n">
        <v>69.06</v>
      </c>
      <c r="L65" s="67" t="n">
        <v>68.41</v>
      </c>
      <c r="M65" s="65">
        <f>IFERROR(IF(AND(K65&lt;&gt;"",L65&lt;&gt;""),ABS(K65-L65)/ABS(K65)*100,""),"")</f>
        <v/>
      </c>
      <c r="N65" s="62" t="inlineStr">
        <is>
          <t>Claude</t>
        </is>
      </c>
      <c r="O65" s="67" t="n">
        <v>33.33</v>
      </c>
      <c r="P65" s="67" t="n"/>
      <c r="Q65" s="65">
        <f>IFERROR(IF(AND(O65&lt;&gt;"",P65&lt;&gt;""),ABS(O65-P65)/ABS(O65)*100,""),"")</f>
        <v/>
      </c>
      <c r="R65" s="62" t="inlineStr">
        <is>
          <t>Claude</t>
        </is>
      </c>
      <c r="S65" s="67" t="n">
        <v>8.81</v>
      </c>
      <c r="T65" s="67" t="n">
        <v>8.82</v>
      </c>
      <c r="U65" s="65">
        <f>IFERROR(IF(AND(S65&lt;&gt;"",T65&lt;&gt;""),ABS(S65-T65)/ABS(S65)*100,""),"")</f>
        <v/>
      </c>
      <c r="V65" s="62" t="inlineStr">
        <is>
          <t>Claude</t>
        </is>
      </c>
      <c r="W65" s="64" t="n">
        <v>0</v>
      </c>
      <c r="X65" s="64" t="n">
        <v>33.09</v>
      </c>
      <c r="Y65" s="65">
        <f>IFERROR(IF(AND(W65&lt;&gt;"",X65&lt;&gt;""),ABS(W65-X65)/ABS(W65)*100,""),"")</f>
        <v/>
      </c>
      <c r="Z65" s="66" t="inlineStr">
        <is>
          <t>MANUAL FLAG</t>
        </is>
      </c>
      <c r="AA65" s="67" t="n">
        <v>66.91</v>
      </c>
      <c r="AB65" s="67" t="n">
        <v>66.91</v>
      </c>
      <c r="AC65" s="65">
        <f>IFERROR(IF(AND(AA65&lt;&gt;"",AB65&lt;&gt;""),ABS(AA65-AB65)/ABS(AA65)*100,""),"")</f>
        <v/>
      </c>
      <c r="AD65" s="62" t="inlineStr">
        <is>
          <t>Claude</t>
        </is>
      </c>
      <c r="AE65" s="67" t="n"/>
      <c r="AF65" s="67" t="n"/>
      <c r="AG65" s="65">
        <f>IFERROR(IF(AND(AE65&lt;&gt;"",AF65&lt;&gt;""),ABS(AE65-AF65)/ABS(AE65)*100,""),"")</f>
        <v/>
      </c>
      <c r="AH65" s="62" t="inlineStr">
        <is>
          <t>ND</t>
        </is>
      </c>
      <c r="AI65" s="67" t="n"/>
      <c r="AJ65" s="67" t="n"/>
      <c r="AK65" s="65">
        <f>IFERROR(IF(AND(AI65&lt;&gt;"",AJ65&lt;&gt;""),ABS(AI65-AJ65)/ABS(AI65)*100,""),"")</f>
        <v/>
      </c>
      <c r="AL65" s="62" t="inlineStr">
        <is>
          <t>ND</t>
        </is>
      </c>
      <c r="AM65" s="67" t="n">
        <v>23</v>
      </c>
      <c r="AN65" s="67" t="n">
        <v>23.02</v>
      </c>
      <c r="AO65" s="65">
        <f>IFERROR(IF(AND(AM65&lt;&gt;"",AN65&lt;&gt;""),ABS(AM65-AN65)/ABS(AM65)*100,""),"")</f>
        <v/>
      </c>
      <c r="AP65" s="62" t="inlineStr">
        <is>
          <t>Claude</t>
        </is>
      </c>
      <c r="AQ65" s="67" t="n">
        <v>16.1</v>
      </c>
      <c r="AR65" s="67" t="n">
        <v>16.13</v>
      </c>
      <c r="AS65" s="65">
        <f>IFERROR(IF(AND(AQ65&lt;&gt;"",AR65&lt;&gt;""),ABS(AQ65-AR65)/ABS(AQ65)*100,""),"")</f>
        <v/>
      </c>
      <c r="AT65" s="62" t="inlineStr">
        <is>
          <t>Claude</t>
        </is>
      </c>
      <c r="AU65" s="67" t="n"/>
      <c r="AV65" s="67" t="n"/>
      <c r="AW65" s="65">
        <f>IFERROR(IF(AND(AU65&lt;&gt;"",AV65&lt;&gt;""),ABS(AU65-AV65)/ABS(AU65)*100,""),"")</f>
        <v/>
      </c>
      <c r="AX65" s="62" t="inlineStr">
        <is>
          <t>ND</t>
        </is>
      </c>
      <c r="AY65" s="67" t="n"/>
      <c r="AZ65" s="67" t="n">
        <v>84000000</v>
      </c>
      <c r="BA65" s="65">
        <f>IFERROR(IF(AND(AY65&lt;&gt;"",AZ65&lt;&gt;""),ABS(AY65-AZ65)/ABS(AY65)*100,""),"")</f>
        <v/>
      </c>
      <c r="BB65" s="62" t="inlineStr">
        <is>
          <t>DeepSeek</t>
        </is>
      </c>
      <c r="BC65" s="67" t="n"/>
      <c r="BD65" s="67" t="n"/>
      <c r="BE65" s="65">
        <f>IFERROR(IF(AND(BC65&lt;&gt;"",BD65&lt;&gt;""),ABS(BC65-BD65)/ABS(BC65)*100,""),"")</f>
        <v/>
      </c>
      <c r="BF65" s="62" t="inlineStr">
        <is>
          <t>ND</t>
        </is>
      </c>
      <c r="BG65" s="67" t="n">
        <v>800000</v>
      </c>
      <c r="BH65" s="67" t="n">
        <v>800000</v>
      </c>
      <c r="BI65" s="65">
        <f>IFERROR(IF(AND(BG65&lt;&gt;"",BH65&lt;&gt;""),ABS(BG65-BH65)/ABS(BG65)*100,""),"")</f>
        <v/>
      </c>
      <c r="BJ65" s="62" t="inlineStr">
        <is>
          <t>Claude</t>
        </is>
      </c>
      <c r="BK65" s="67" t="n">
        <v>63.73</v>
      </c>
      <c r="BL65" s="67" t="n">
        <v>63.73</v>
      </c>
      <c r="BM65" s="65">
        <f>IFERROR(IF(AND(BK65&lt;&gt;"",BL65&lt;&gt;""),ABS(BK65-BL65)/ABS(BK65)*100,""),"")</f>
        <v/>
      </c>
      <c r="BN65" s="62" t="inlineStr">
        <is>
          <t>Claude</t>
        </is>
      </c>
      <c r="BO65" s="67" t="n">
        <v>75</v>
      </c>
      <c r="BP65" s="67" t="n">
        <v>75</v>
      </c>
      <c r="BQ65" s="65">
        <f>IFERROR(IF(AND(BO65&lt;&gt;"",BP65&lt;&gt;""),ABS(BO65-BP65)/ABS(BO65)*100,""),"")</f>
        <v/>
      </c>
      <c r="BR65" s="62" t="inlineStr">
        <is>
          <t>Claude</t>
        </is>
      </c>
      <c r="BS65" s="64" t="n">
        <v>9</v>
      </c>
      <c r="BT65" s="64" t="n">
        <v>95</v>
      </c>
      <c r="BU65" s="65">
        <f>IFERROR(IF(AND(BS65&lt;&gt;"",BT65&lt;&gt;""),ABS(BS65-BT65)/ABS(BS65)*100,""),"")</f>
        <v/>
      </c>
      <c r="BV65" s="66" t="inlineStr">
        <is>
          <t>MANUAL FLAG</t>
        </is>
      </c>
      <c r="BW65" s="67" t="n"/>
      <c r="BX65" s="67" t="n"/>
      <c r="BY65" s="65">
        <f>IFERROR(IF(AND(BW65&lt;&gt;"",BX65&lt;&gt;""),ABS(BW65-BX65)/ABS(BW65)*100,""),"")</f>
        <v/>
      </c>
      <c r="BZ65" s="62" t="inlineStr">
        <is>
          <t>ND</t>
        </is>
      </c>
      <c r="CA65" s="67" t="n"/>
      <c r="CB65" s="67" t="n"/>
      <c r="CC65" s="65">
        <f>IFERROR(IF(AND(CA65&lt;&gt;"",CB65&lt;&gt;""),ABS(CA65-CB65)/ABS(CA65)*100,""),"")</f>
        <v/>
      </c>
      <c r="CD65" s="62" t="inlineStr">
        <is>
          <t>ND</t>
        </is>
      </c>
      <c r="CE65" s="67" t="n">
        <v>5.3</v>
      </c>
      <c r="CF65" s="67" t="n">
        <v>5.3</v>
      </c>
      <c r="CG65" s="65">
        <f>IFERROR(IF(AND(CE65&lt;&gt;"",CF65&lt;&gt;""),ABS(CE65-CF65)/ABS(CE65)*100,""),"")</f>
        <v/>
      </c>
      <c r="CH65" s="62" t="inlineStr">
        <is>
          <t>Claude</t>
        </is>
      </c>
      <c r="CI65" s="67" t="n">
        <v>2.1</v>
      </c>
      <c r="CJ65" s="67" t="n">
        <v>2.1</v>
      </c>
      <c r="CK65" s="65">
        <f>IFERROR(IF(AND(CI65&lt;&gt;"",CJ65&lt;&gt;""),ABS(CI65-CJ65)/ABS(CI65)*100,""),"")</f>
        <v/>
      </c>
      <c r="CL65" s="62" t="inlineStr">
        <is>
          <t>Claude</t>
        </is>
      </c>
      <c r="CM65" s="67" t="n"/>
      <c r="CN65" s="67" t="n"/>
      <c r="CO65" s="65">
        <f>IFERROR(IF(AND(CM65&lt;&gt;"",CN65&lt;&gt;""),ABS(CM65-CN65)/ABS(CM65)*100,""),"")</f>
        <v/>
      </c>
      <c r="CP65" s="62" t="inlineStr">
        <is>
          <t>ND</t>
        </is>
      </c>
      <c r="CQ65" s="67" t="n">
        <v>0</v>
      </c>
      <c r="CR65" s="67" t="n"/>
      <c r="CS65" s="65">
        <f>IFERROR(IF(AND(CQ65&lt;&gt;"",CR65&lt;&gt;""),ABS(CQ65-CR65)/ABS(CQ65)*100,""),"")</f>
        <v/>
      </c>
      <c r="CT65" s="62" t="inlineStr">
        <is>
          <t>Claude</t>
        </is>
      </c>
      <c r="CU65" s="67" t="n">
        <v>0</v>
      </c>
      <c r="CV65" s="67" t="n">
        <v>0</v>
      </c>
      <c r="CW65" s="65">
        <f>IFERROR(IF(AND(CU65&lt;&gt;"",CV65&lt;&gt;""),ABS(CU65-CV65)/ABS(CU65)*100,""),"")</f>
        <v/>
      </c>
      <c r="CX65" s="62" t="inlineStr">
        <is>
          <t>Claude</t>
        </is>
      </c>
      <c r="CY65" s="68" t="n"/>
      <c r="CZ65" s="68" t="n"/>
      <c r="DA65" s="65">
        <f>IFERROR(IF(AND(CY65&lt;&gt;"",CZ65&lt;&gt;""),ABS(CY65-CZ65)/ABS(CY65)*100,""),"")</f>
        <v/>
      </c>
      <c r="DB65" s="62" t="inlineStr">
        <is>
          <t>ND</t>
        </is>
      </c>
      <c r="DC65" s="68" t="n"/>
      <c r="DD65" s="68" t="n"/>
      <c r="DE65" s="65">
        <f>IFERROR(IF(AND(DC65&lt;&gt;"",DD65&lt;&gt;""),ABS(DC65-DD65)/ABS(DC65)*100,""),"")</f>
        <v/>
      </c>
      <c r="DF65" s="62" t="inlineStr">
        <is>
          <t>ND</t>
        </is>
      </c>
      <c r="DG65" s="68" t="n"/>
      <c r="DH65" s="68" t="n"/>
      <c r="DI65" s="65">
        <f>IFERROR(IF(AND(DG65&lt;&gt;"",DH65&lt;&gt;""),ABS(DG65-DH65)/ABS(DG65)*100,""),"")</f>
        <v/>
      </c>
      <c r="DJ65" s="62" t="inlineStr">
        <is>
          <t>ND</t>
        </is>
      </c>
      <c r="DK65" s="68" t="n"/>
      <c r="DL65" s="68" t="n"/>
      <c r="DM65" s="65">
        <f>IFERROR(IF(AND(DK65&lt;&gt;"",DL65&lt;&gt;""),ABS(DK65-DL65)/ABS(DK65)*100,""),"")</f>
        <v/>
      </c>
      <c r="DN65" s="62" t="inlineStr">
        <is>
          <t>ND</t>
        </is>
      </c>
      <c r="DO65" s="68" t="n"/>
      <c r="DP65" s="68" t="n"/>
      <c r="DQ65" s="65">
        <f>IFERROR(IF(AND(DO65&lt;&gt;"",DP65&lt;&gt;""),ABS(DO65-DP65)/ABS(DO65)*100,""),"")</f>
        <v/>
      </c>
      <c r="DR65" s="62" t="inlineStr">
        <is>
          <t>ND</t>
        </is>
      </c>
      <c r="DS65" s="68" t="n"/>
      <c r="DT65" s="68" t="n"/>
      <c r="DU65" s="65">
        <f>IFERROR(IF(AND(DS65&lt;&gt;"",DT65&lt;&gt;""),ABS(DS65-DT65)/ABS(DS65)*100,""),"")</f>
        <v/>
      </c>
      <c r="DV65" s="62" t="inlineStr">
        <is>
          <t>ND</t>
        </is>
      </c>
      <c r="DW65" s="63" t="inlineStr">
        <is>
          <t>Claude only (DeepSeek pending). Source=2025 ed. (more recent than 2023 ed., used per 'most recent' rule). Ind.1/2/3/4(new hire rate)/6/23 all MATCH the 2023 ed. closely or exactly - good cross-validation. Ind.7/8=ND (headcount 43 disabled, matches both editions exactly; no total workforce given either edition). Ind.9/10 match 2023 ed. exactly (23.0/16.1). Ind.16=75, Ind.17=9, PROXY - REINTRODUCED using the same 'expected to return' proxy that the 2023 ed. had explicitly rejected/withheld for 2020-2022 - inconsistent methodology across editions, flag. Ind.18=ND: breakdown F=102.70%/M=100.00% - MASSIVE CONFLICT vs 2023 ed.'s F=38.0%/M=75.0% for the SAME YEAR - one of these is very likely wrong; recommend manual verification against source PDF. Ind.20=5.30 (single value this time, unlike 2023 ed.'s F=5.9%/M=8.0% split) - INCONSISTENT: a blend of 5.9/8.0 should exceed 5.9, not fall below it to 5.30 - flag as a real discrepancy, not just added precision. Ind.21=2.10, new data this edition (2023 ed. had 'na' for involuntary turnover). Ind.30=ND: 2025 ed. RETRACTS the 2023 ed.'s confirmed Direct 'A' KCGS rating for this year - flag as a real retraction, not just added caution. || DEEPSEEK RECONCILIATION - MANUAL FLAGS: Ind.5 (New Hires Contract%): Claude=0, DeepSeek=33.09, Diff=999999.0%; Ind.17 (Parental Leave M): Claude=9, DeepSeek=95, Diff=955.6%</t>
        </is>
      </c>
    </row>
    <row r="66" ht="15.75" customHeight="1" s="43">
      <c r="A66" s="69" t="n"/>
      <c r="B66" s="69" t="n"/>
      <c r="C66" s="69" t="inlineStr">
        <is>
          <t>Consumer Discretionary</t>
        </is>
      </c>
      <c r="D66" s="69" t="inlineStr">
        <is>
          <t>2024</t>
        </is>
      </c>
      <c r="E66" s="70" t="inlineStr">
        <is>
          <t>Shinsegae 2025 ed.</t>
        </is>
      </c>
      <c r="F66" s="69" t="n"/>
      <c r="G66" s="67" t="n">
        <v>0.13</v>
      </c>
      <c r="H66" s="67" t="n"/>
      <c r="I66" s="71">
        <f>IFERROR(IF(AND(G66&lt;&gt;"",H66&lt;&gt;""),ABS(G66-H66)/ABS(G66)*100,""),"")</f>
        <v/>
      </c>
      <c r="J66" s="69" t="inlineStr">
        <is>
          <t>Claude</t>
        </is>
      </c>
      <c r="K66" s="67" t="n">
        <v>68.84999999999999</v>
      </c>
      <c r="L66" s="67" t="n">
        <v>68.34</v>
      </c>
      <c r="M66" s="71">
        <f>IFERROR(IF(AND(K66&lt;&gt;"",L66&lt;&gt;""),ABS(K66-L66)/ABS(K66)*100,""),"")</f>
        <v/>
      </c>
      <c r="N66" s="69" t="inlineStr">
        <is>
          <t>Claude</t>
        </is>
      </c>
      <c r="O66" s="67" t="n">
        <v>25</v>
      </c>
      <c r="P66" s="67" t="n"/>
      <c r="Q66" s="71">
        <f>IFERROR(IF(AND(O66&lt;&gt;"",P66&lt;&gt;""),ABS(O66-P66)/ABS(O66)*100,""),"")</f>
        <v/>
      </c>
      <c r="R66" s="69" t="inlineStr">
        <is>
          <t>Claude</t>
        </is>
      </c>
      <c r="S66" s="67" t="n">
        <v>7.09</v>
      </c>
      <c r="T66" s="67" t="n">
        <v>7.1</v>
      </c>
      <c r="U66" s="71">
        <f>IFERROR(IF(AND(S66&lt;&gt;"",T66&lt;&gt;""),ABS(S66-T66)/ABS(S66)*100,""),"")</f>
        <v/>
      </c>
      <c r="V66" s="69" t="inlineStr">
        <is>
          <t>Claude</t>
        </is>
      </c>
      <c r="W66" s="64" t="n">
        <v>0.9</v>
      </c>
      <c r="X66" s="64" t="n">
        <v>42.08</v>
      </c>
      <c r="Y66" s="71">
        <f>IFERROR(IF(AND(W66&lt;&gt;"",X66&lt;&gt;""),ABS(W66-X66)/ABS(W66)*100,""),"")</f>
        <v/>
      </c>
      <c r="Z66" s="66" t="inlineStr">
        <is>
          <t>MANUAL FLAG</t>
        </is>
      </c>
      <c r="AA66" s="67" t="n">
        <v>57.47</v>
      </c>
      <c r="AB66" s="67" t="n">
        <v>57.47</v>
      </c>
      <c r="AC66" s="71">
        <f>IFERROR(IF(AND(AA66&lt;&gt;"",AB66&lt;&gt;""),ABS(AA66-AB66)/ABS(AA66)*100,""),"")</f>
        <v/>
      </c>
      <c r="AD66" s="69" t="inlineStr">
        <is>
          <t>Claude</t>
        </is>
      </c>
      <c r="AE66" s="67" t="n"/>
      <c r="AF66" s="67" t="n"/>
      <c r="AG66" s="71">
        <f>IFERROR(IF(AND(AE66&lt;&gt;"",AF66&lt;&gt;""),ABS(AE66-AF66)/ABS(AE66)*100,""),"")</f>
        <v/>
      </c>
      <c r="AH66" s="69" t="inlineStr">
        <is>
          <t>ND</t>
        </is>
      </c>
      <c r="AI66" s="67" t="n"/>
      <c r="AJ66" s="67" t="n"/>
      <c r="AK66" s="71">
        <f>IFERROR(IF(AND(AI66&lt;&gt;"",AJ66&lt;&gt;""),ABS(AI66-AJ66)/ABS(AI66)*100,""),"")</f>
        <v/>
      </c>
      <c r="AL66" s="69" t="inlineStr">
        <is>
          <t>ND</t>
        </is>
      </c>
      <c r="AM66" s="67" t="n">
        <v>25.7</v>
      </c>
      <c r="AN66" s="67" t="n">
        <v>25.73</v>
      </c>
      <c r="AO66" s="71">
        <f>IFERROR(IF(AND(AM66&lt;&gt;"",AN66&lt;&gt;""),ABS(AM66-AN66)/ABS(AM66)*100,""),"")</f>
        <v/>
      </c>
      <c r="AP66" s="69" t="inlineStr">
        <is>
          <t>Claude</t>
        </is>
      </c>
      <c r="AQ66" s="67" t="n">
        <v>23.1</v>
      </c>
      <c r="AR66" s="67" t="n">
        <v>23.08</v>
      </c>
      <c r="AS66" s="71">
        <f>IFERROR(IF(AND(AQ66&lt;&gt;"",AR66&lt;&gt;""),ABS(AQ66-AR66)/ABS(AQ66)*100,""),"")</f>
        <v/>
      </c>
      <c r="AT66" s="69" t="inlineStr">
        <is>
          <t>Claude</t>
        </is>
      </c>
      <c r="AU66" s="67" t="n"/>
      <c r="AV66" s="67" t="n"/>
      <c r="AW66" s="71">
        <f>IFERROR(IF(AND(AU66&lt;&gt;"",AV66&lt;&gt;""),ABS(AU66-AV66)/ABS(AU66)*100,""),"")</f>
        <v/>
      </c>
      <c r="AX66" s="69" t="inlineStr">
        <is>
          <t>ND</t>
        </is>
      </c>
      <c r="AY66" s="67" t="n"/>
      <c r="AZ66" s="67" t="n">
        <v>83000000</v>
      </c>
      <c r="BA66" s="71">
        <f>IFERROR(IF(AND(AY66&lt;&gt;"",AZ66&lt;&gt;""),ABS(AY66-AZ66)/ABS(AY66)*100,""),"")</f>
        <v/>
      </c>
      <c r="BB66" s="69" t="inlineStr">
        <is>
          <t>DeepSeek</t>
        </is>
      </c>
      <c r="BC66" s="67" t="n"/>
      <c r="BD66" s="67" t="n"/>
      <c r="BE66" s="71">
        <f>IFERROR(IF(AND(BC66&lt;&gt;"",BD66&lt;&gt;""),ABS(BC66-BD66)/ABS(BC66)*100,""),"")</f>
        <v/>
      </c>
      <c r="BF66" s="69" t="inlineStr">
        <is>
          <t>ND</t>
        </is>
      </c>
      <c r="BG66" s="67" t="n">
        <v>900000</v>
      </c>
      <c r="BH66" s="67" t="n">
        <v>900000</v>
      </c>
      <c r="BI66" s="71">
        <f>IFERROR(IF(AND(BG66&lt;&gt;"",BH66&lt;&gt;""),ABS(BG66-BH66)/ABS(BG66)*100,""),"")</f>
        <v/>
      </c>
      <c r="BJ66" s="69" t="inlineStr">
        <is>
          <t>Claude</t>
        </is>
      </c>
      <c r="BK66" s="67" t="n">
        <v>65.63</v>
      </c>
      <c r="BL66" s="67" t="n">
        <v>65.63</v>
      </c>
      <c r="BM66" s="71">
        <f>IFERROR(IF(AND(BK66&lt;&gt;"",BL66&lt;&gt;""),ABS(BK66-BL66)/ABS(BK66)*100,""),"")</f>
        <v/>
      </c>
      <c r="BN66" s="69" t="inlineStr">
        <is>
          <t>Claude</t>
        </is>
      </c>
      <c r="BO66" s="67" t="n">
        <v>76</v>
      </c>
      <c r="BP66" s="67" t="n">
        <v>76</v>
      </c>
      <c r="BQ66" s="71">
        <f>IFERROR(IF(AND(BO66&lt;&gt;"",BP66&lt;&gt;""),ABS(BO66-BP66)/ABS(BO66)*100,""),"")</f>
        <v/>
      </c>
      <c r="BR66" s="69" t="inlineStr">
        <is>
          <t>Claude</t>
        </is>
      </c>
      <c r="BS66" s="64" t="n">
        <v>5</v>
      </c>
      <c r="BT66" s="64" t="n">
        <v>41</v>
      </c>
      <c r="BU66" s="71">
        <f>IFERROR(IF(AND(BS66&lt;&gt;"",BT66&lt;&gt;""),ABS(BS66-BT66)/ABS(BS66)*100,""),"")</f>
        <v/>
      </c>
      <c r="BV66" s="66" t="inlineStr">
        <is>
          <t>MANUAL FLAG</t>
        </is>
      </c>
      <c r="BW66" s="67" t="n"/>
      <c r="BX66" s="67" t="n"/>
      <c r="BY66" s="71">
        <f>IFERROR(IF(AND(BW66&lt;&gt;"",BX66&lt;&gt;""),ABS(BW66-BX66)/ABS(BW66)*100,""),"")</f>
        <v/>
      </c>
      <c r="BZ66" s="69" t="inlineStr">
        <is>
          <t>ND</t>
        </is>
      </c>
      <c r="CA66" s="67" t="n"/>
      <c r="CB66" s="67" t="n"/>
      <c r="CC66" s="71">
        <f>IFERROR(IF(AND(CA66&lt;&gt;"",CB66&lt;&gt;""),ABS(CA66-CB66)/ABS(CA66)*100,""),"")</f>
        <v/>
      </c>
      <c r="CD66" s="69" t="inlineStr">
        <is>
          <t>ND</t>
        </is>
      </c>
      <c r="CE66" s="67" t="n">
        <v>3.6</v>
      </c>
      <c r="CF66" s="67" t="n">
        <v>3.6</v>
      </c>
      <c r="CG66" s="71">
        <f>IFERROR(IF(AND(CE66&lt;&gt;"",CF66&lt;&gt;""),ABS(CE66-CF66)/ABS(CE66)*100,""),"")</f>
        <v/>
      </c>
      <c r="CH66" s="69" t="inlineStr">
        <is>
          <t>Claude</t>
        </is>
      </c>
      <c r="CI66" s="67" t="n">
        <v>2.6</v>
      </c>
      <c r="CJ66" s="67" t="n">
        <v>2.6</v>
      </c>
      <c r="CK66" s="71">
        <f>IFERROR(IF(AND(CI66&lt;&gt;"",CJ66&lt;&gt;""),ABS(CI66-CJ66)/ABS(CI66)*100,""),"")</f>
        <v/>
      </c>
      <c r="CL66" s="69" t="inlineStr">
        <is>
          <t>Claude</t>
        </is>
      </c>
      <c r="CM66" s="67" t="n"/>
      <c r="CN66" s="67" t="n"/>
      <c r="CO66" s="71">
        <f>IFERROR(IF(AND(CM66&lt;&gt;"",CN66&lt;&gt;""),ABS(CM66-CN66)/ABS(CM66)*100,""),"")</f>
        <v/>
      </c>
      <c r="CP66" s="69" t="inlineStr">
        <is>
          <t>ND</t>
        </is>
      </c>
      <c r="CQ66" s="67" t="n">
        <v>0.16</v>
      </c>
      <c r="CR66" s="67" t="n"/>
      <c r="CS66" s="71">
        <f>IFERROR(IF(AND(CQ66&lt;&gt;"",CR66&lt;&gt;""),ABS(CQ66-CR66)/ABS(CQ66)*100,""),"")</f>
        <v/>
      </c>
      <c r="CT66" s="69" t="inlineStr">
        <is>
          <t>Claude</t>
        </is>
      </c>
      <c r="CU66" s="67" t="n">
        <v>0</v>
      </c>
      <c r="CV66" s="67" t="n">
        <v>0</v>
      </c>
      <c r="CW66" s="71">
        <f>IFERROR(IF(AND(CU66&lt;&gt;"",CV66&lt;&gt;""),ABS(CU66-CV66)/ABS(CU66)*100,""),"")</f>
        <v/>
      </c>
      <c r="CX66" s="69" t="inlineStr">
        <is>
          <t>Claude</t>
        </is>
      </c>
      <c r="CY66" s="68" t="n"/>
      <c r="CZ66" s="68" t="n"/>
      <c r="DA66" s="71">
        <f>IFERROR(IF(AND(CY66&lt;&gt;"",CZ66&lt;&gt;""),ABS(CY66-CZ66)/ABS(CY66)*100,""),"")</f>
        <v/>
      </c>
      <c r="DB66" s="69" t="inlineStr">
        <is>
          <t>ND</t>
        </is>
      </c>
      <c r="DC66" s="68" t="n"/>
      <c r="DD66" s="68" t="n"/>
      <c r="DE66" s="71">
        <f>IFERROR(IF(AND(DC66&lt;&gt;"",DD66&lt;&gt;""),ABS(DC66-DD66)/ABS(DC66)*100,""),"")</f>
        <v/>
      </c>
      <c r="DF66" s="69" t="inlineStr">
        <is>
          <t>ND</t>
        </is>
      </c>
      <c r="DG66" s="68" t="n"/>
      <c r="DH66" s="68" t="n"/>
      <c r="DI66" s="71">
        <f>IFERROR(IF(AND(DG66&lt;&gt;"",DH66&lt;&gt;""),ABS(DG66-DH66)/ABS(DG66)*100,""),"")</f>
        <v/>
      </c>
      <c r="DJ66" s="69" t="inlineStr">
        <is>
          <t>ND</t>
        </is>
      </c>
      <c r="DK66" s="68" t="n"/>
      <c r="DL66" s="68" t="n"/>
      <c r="DM66" s="71">
        <f>IFERROR(IF(AND(DK66&lt;&gt;"",DL66&lt;&gt;""),ABS(DK66-DL66)/ABS(DK66)*100,""),"")</f>
        <v/>
      </c>
      <c r="DN66" s="69" t="inlineStr">
        <is>
          <t>ND</t>
        </is>
      </c>
      <c r="DO66" s="68" t="n"/>
      <c r="DP66" s="68" t="n"/>
      <c r="DQ66" s="71">
        <f>IFERROR(IF(AND(DO66&lt;&gt;"",DP66&lt;&gt;""),ABS(DO66-DP66)/ABS(DO66)*100,""),"")</f>
        <v/>
      </c>
      <c r="DR66" s="69" t="inlineStr">
        <is>
          <t>ND</t>
        </is>
      </c>
      <c r="DS66" s="68" t="n"/>
      <c r="DT66" s="68" t="n"/>
      <c r="DU66" s="71">
        <f>IFERROR(IF(AND(DS66&lt;&gt;"",DT66&lt;&gt;""),ABS(DS66-DT66)/ABS(DS66)*100,""),"")</f>
        <v/>
      </c>
      <c r="DV66" s="69" t="inlineStr">
        <is>
          <t>ND</t>
        </is>
      </c>
      <c r="DW66" s="70" t="inlineStr">
        <is>
          <t>Claude only (DeepSeek pending). Source=2025 ed., only report covering 2024. Ind.7/8=ND (headcount 44 disabled, no total workforce). Ind.16=76, Ind.17=5, PROXY (same 'expected to return' methodology as 2023). Ind.18=ND: breakdown F=103.90%/M=100.00%. Ind.20=3.60, Ind.21=2.60 (both new, single-value this year). || DEEPSEEK RECONCILIATION - MANUAL FLAGS: Ind.5 (New Hires Contract%): Claude=0.9, DeepSeek=42.08, Diff=4575.6%; Ind.17 (Parental Leave M): Claude=5, DeepSeek=41, Diff=720.0%</t>
        </is>
      </c>
    </row>
    <row r="67" ht="4.5" customHeight="1" s="43">
      <c r="A67" s="72" t="n"/>
      <c r="B67" s="72" t="n"/>
      <c r="C67" s="72" t="n"/>
      <c r="D67" s="72" t="n"/>
      <c r="E67" s="72" t="n"/>
      <c r="F67" s="72" t="n"/>
      <c r="G67" s="72" t="n"/>
      <c r="H67" s="72" t="n"/>
      <c r="I67" s="72" t="n"/>
      <c r="J67" s="72" t="n"/>
      <c r="K67" s="72" t="n"/>
      <c r="L67" s="72" t="n"/>
      <c r="M67" s="72" t="n"/>
      <c r="N67" s="72" t="n"/>
      <c r="O67" s="72" t="n"/>
      <c r="P67" s="72" t="n"/>
      <c r="Q67" s="72" t="n"/>
      <c r="R67" s="72" t="n"/>
      <c r="S67" s="72" t="n"/>
      <c r="T67" s="72" t="n"/>
      <c r="U67" s="72" t="n"/>
      <c r="V67" s="72" t="n"/>
      <c r="W67" s="72" t="n"/>
      <c r="X67" s="72" t="n"/>
      <c r="Y67" s="72" t="n"/>
      <c r="Z67" s="72" t="n"/>
      <c r="AA67" s="72" t="n"/>
      <c r="AB67" s="72" t="n"/>
      <c r="AC67" s="72" t="n"/>
      <c r="AD67" s="72" t="n"/>
      <c r="AE67" s="72" t="n"/>
      <c r="AF67" s="72" t="n"/>
      <c r="AG67" s="72" t="n"/>
      <c r="AH67" s="72" t="n"/>
      <c r="AI67" s="72" t="n"/>
      <c r="AJ67" s="72" t="n"/>
      <c r="AK67" s="72" t="n"/>
      <c r="AL67" s="72" t="n"/>
      <c r="AM67" s="72" t="n"/>
      <c r="AN67" s="72" t="n"/>
      <c r="AO67" s="72" t="n"/>
      <c r="AP67" s="72" t="n"/>
      <c r="AQ67" s="72" t="n"/>
      <c r="AR67" s="72" t="n"/>
      <c r="AS67" s="72" t="n"/>
      <c r="AT67" s="72" t="n"/>
      <c r="AU67" s="72" t="n"/>
      <c r="AV67" s="72" t="n"/>
      <c r="AW67" s="72" t="n"/>
      <c r="AX67" s="72" t="n"/>
      <c r="AY67" s="72" t="n"/>
      <c r="AZ67" s="72" t="n"/>
      <c r="BA67" s="72" t="n"/>
      <c r="BB67" s="72" t="n"/>
      <c r="BC67" s="72" t="n"/>
      <c r="BD67" s="72" t="n"/>
      <c r="BE67" s="72" t="n"/>
      <c r="BF67" s="72" t="n"/>
      <c r="BG67" s="72" t="n"/>
      <c r="BH67" s="72" t="n"/>
      <c r="BI67" s="72" t="n"/>
      <c r="BJ67" s="72" t="n"/>
      <c r="BK67" s="72" t="n"/>
      <c r="BL67" s="72" t="n"/>
      <c r="BM67" s="72" t="n"/>
      <c r="BN67" s="72" t="n"/>
      <c r="BO67" s="72" t="n"/>
      <c r="BP67" s="72" t="n"/>
      <c r="BQ67" s="72" t="n"/>
      <c r="BR67" s="72" t="n"/>
      <c r="BS67" s="72" t="n"/>
      <c r="BT67" s="72" t="n"/>
      <c r="BU67" s="72" t="n"/>
      <c r="BV67" s="72" t="n"/>
      <c r="BW67" s="72" t="n"/>
      <c r="BX67" s="72" t="n"/>
      <c r="BY67" s="72" t="n"/>
      <c r="BZ67" s="72" t="n"/>
      <c r="CA67" s="72" t="n"/>
      <c r="CB67" s="72" t="n"/>
      <c r="CC67" s="72" t="n"/>
      <c r="CD67" s="72" t="n"/>
      <c r="CE67" s="72" t="n"/>
      <c r="CF67" s="72" t="n"/>
      <c r="CG67" s="72" t="n"/>
      <c r="CH67" s="72" t="n"/>
      <c r="CI67" s="72" t="n"/>
      <c r="CJ67" s="72" t="n"/>
      <c r="CK67" s="72" t="n"/>
      <c r="CL67" s="72" t="n"/>
      <c r="CM67" s="72" t="n"/>
      <c r="CN67" s="72" t="n"/>
      <c r="CO67" s="72" t="n"/>
      <c r="CP67" s="72" t="n"/>
      <c r="CQ67" s="72" t="n"/>
      <c r="CR67" s="72" t="n"/>
      <c r="CS67" s="72" t="n"/>
      <c r="CT67" s="72" t="n"/>
      <c r="CU67" s="72" t="n"/>
      <c r="CV67" s="72" t="n"/>
      <c r="CW67" s="72" t="n"/>
      <c r="CX67" s="72" t="n"/>
      <c r="CY67" s="72" t="n"/>
      <c r="CZ67" s="72" t="n"/>
      <c r="DA67" s="72" t="n"/>
      <c r="DB67" s="72" t="n"/>
      <c r="DC67" s="72" t="n"/>
      <c r="DD67" s="72" t="n"/>
      <c r="DE67" s="72" t="n"/>
      <c r="DF67" s="72" t="n"/>
      <c r="DG67" s="72" t="n"/>
      <c r="DH67" s="72" t="n"/>
      <c r="DI67" s="72" t="n"/>
      <c r="DJ67" s="72" t="n"/>
      <c r="DK67" s="72" t="n"/>
      <c r="DL67" s="72" t="n"/>
      <c r="DM67" s="72" t="n"/>
      <c r="DN67" s="72" t="n"/>
      <c r="DO67" s="72" t="n"/>
      <c r="DP67" s="72" t="n"/>
      <c r="DQ67" s="72" t="n"/>
      <c r="DR67" s="72" t="n"/>
      <c r="DS67" s="72" t="n"/>
      <c r="DT67" s="72" t="n"/>
      <c r="DU67" s="72" t="n"/>
      <c r="DV67" s="72" t="n"/>
      <c r="DW67" s="72" t="n"/>
    </row>
    <row r="68" ht="15.75" customHeight="1" s="43">
      <c r="A68" s="61" t="inlineStr">
        <is>
          <t>SKC</t>
        </is>
      </c>
      <c r="B68" s="62" t="inlineStr">
        <is>
          <t>011790</t>
        </is>
      </c>
      <c r="C68" s="62" t="inlineStr">
        <is>
          <t>Materials</t>
        </is>
      </c>
      <c r="D68" s="62" t="inlineStr">
        <is>
          <t>2018</t>
        </is>
      </c>
      <c r="E68" s="63" t="inlineStr">
        <is>
          <t>SKC_2020.pdf (only report covering 2018)</t>
        </is>
      </c>
      <c r="F68" s="62" t="n"/>
      <c r="G68" s="67" t="n">
        <v>0.9</v>
      </c>
      <c r="H68" s="67" t="n"/>
      <c r="I68" s="65">
        <f>IFERROR(IF(AND(G68&lt;&gt;"",H68&lt;&gt;""),ABS(G68-H68)/ABS(G68)*100,""),"")</f>
        <v/>
      </c>
      <c r="J68" s="62" t="inlineStr">
        <is>
          <t>Claude</t>
        </is>
      </c>
      <c r="K68" s="67" t="n">
        <v>9.44</v>
      </c>
      <c r="L68" s="67" t="n"/>
      <c r="M68" s="65">
        <f>IFERROR(IF(AND(K68&lt;&gt;"",L68&lt;&gt;""),ABS(K68-L68)/ABS(K68)*100,""),"")</f>
        <v/>
      </c>
      <c r="N68" s="62" t="inlineStr">
        <is>
          <t>Claude</t>
        </is>
      </c>
      <c r="O68" s="67" t="n">
        <v>36.36</v>
      </c>
      <c r="P68" s="67" t="n"/>
      <c r="Q68" s="65">
        <f>IFERROR(IF(AND(O68&lt;&gt;"",P68&lt;&gt;""),ABS(O68-P68)/ABS(O68)*100,""),"")</f>
        <v/>
      </c>
      <c r="R68" s="62" t="inlineStr">
        <is>
          <t>Claude</t>
        </is>
      </c>
      <c r="S68" s="67" t="n">
        <v>3.94</v>
      </c>
      <c r="T68" s="67" t="n"/>
      <c r="U68" s="65">
        <f>IFERROR(IF(AND(S68&lt;&gt;"",T68&lt;&gt;""),ABS(S68-T68)/ABS(S68)*100,""),"")</f>
        <v/>
      </c>
      <c r="V68" s="62" t="inlineStr">
        <is>
          <t>Claude</t>
        </is>
      </c>
      <c r="W68" s="67" t="n"/>
      <c r="X68" s="67" t="n"/>
      <c r="Y68" s="65">
        <f>IFERROR(IF(AND(W68&lt;&gt;"",X68&lt;&gt;""),ABS(W68-X68)/ABS(W68)*100,""),"")</f>
        <v/>
      </c>
      <c r="Z68" s="62" t="inlineStr">
        <is>
          <t>ND</t>
        </is>
      </c>
      <c r="AA68" s="64" t="n">
        <v>22.92</v>
      </c>
      <c r="AB68" s="64" t="n">
        <v>45.69</v>
      </c>
      <c r="AC68" s="65">
        <f>IFERROR(IF(AND(AA68&lt;&gt;"",AB68&lt;&gt;""),ABS(AA68-AB68)/ABS(AA68)*100,""),"")</f>
        <v/>
      </c>
      <c r="AD68" s="66" t="inlineStr">
        <is>
          <t>MANUAL FLAG</t>
        </is>
      </c>
      <c r="AE68" s="67" t="n"/>
      <c r="AF68" s="67" t="n"/>
      <c r="AG68" s="65">
        <f>IFERROR(IF(AND(AE68&lt;&gt;"",AF68&lt;&gt;""),ABS(AE68-AF68)/ABS(AE68)*100,""),"")</f>
        <v/>
      </c>
      <c r="AH68" s="62" t="inlineStr">
        <is>
          <t>ND</t>
        </is>
      </c>
      <c r="AI68" s="67" t="n"/>
      <c r="AJ68" s="67" t="n"/>
      <c r="AK68" s="65">
        <f>IFERROR(IF(AND(AI68&lt;&gt;"",AJ68&lt;&gt;""),ABS(AI68-AJ68)/ABS(AI68)*100,""),"")</f>
        <v/>
      </c>
      <c r="AL68" s="62" t="inlineStr">
        <is>
          <t>ND</t>
        </is>
      </c>
      <c r="AM68" s="67" t="n"/>
      <c r="AN68" s="67" t="n"/>
      <c r="AO68" s="65">
        <f>IFERROR(IF(AND(AM68&lt;&gt;"",AN68&lt;&gt;""),ABS(AM68-AN68)/ABS(AM68)*100,""),"")</f>
        <v/>
      </c>
      <c r="AP68" s="62" t="inlineStr">
        <is>
          <t>ND</t>
        </is>
      </c>
      <c r="AQ68" s="67" t="n"/>
      <c r="AR68" s="67" t="n"/>
      <c r="AS68" s="65">
        <f>IFERROR(IF(AND(AQ68&lt;&gt;"",AR68&lt;&gt;""),ABS(AQ68-AR68)/ABS(AQ68)*100,""),"")</f>
        <v/>
      </c>
      <c r="AT68" s="62" t="inlineStr">
        <is>
          <t>ND</t>
        </is>
      </c>
      <c r="AU68" s="67" t="n"/>
      <c r="AV68" s="67" t="n"/>
      <c r="AW68" s="65">
        <f>IFERROR(IF(AND(AU68&lt;&gt;"",AV68&lt;&gt;""),ABS(AU68-AV68)/ABS(AU68)*100,""),"")</f>
        <v/>
      </c>
      <c r="AX68" s="62" t="inlineStr">
        <is>
          <t>ND</t>
        </is>
      </c>
      <c r="AY68" s="67" t="n"/>
      <c r="AZ68" s="67" t="n"/>
      <c r="BA68" s="65">
        <f>IFERROR(IF(AND(AY68&lt;&gt;"",AZ68&lt;&gt;""),ABS(AY68-AZ68)/ABS(AY68)*100,""),"")</f>
        <v/>
      </c>
      <c r="BB68" s="62" t="inlineStr">
        <is>
          <t>ND</t>
        </is>
      </c>
      <c r="BC68" s="67" t="n">
        <v>0</v>
      </c>
      <c r="BD68" s="67" t="n"/>
      <c r="BE68" s="65">
        <f>IFERROR(IF(AND(BC68&lt;&gt;"",BD68&lt;&gt;""),ABS(BC68-BD68)/ABS(BC68)*100,""),"")</f>
        <v/>
      </c>
      <c r="BF68" s="62" t="inlineStr">
        <is>
          <t>Claude</t>
        </is>
      </c>
      <c r="BG68" s="67" t="n"/>
      <c r="BH68" s="67" t="n"/>
      <c r="BI68" s="65">
        <f>IFERROR(IF(AND(BG68&lt;&gt;"",BH68&lt;&gt;""),ABS(BG68-BH68)/ABS(BG68)*100,""),"")</f>
        <v/>
      </c>
      <c r="BJ68" s="62" t="inlineStr">
        <is>
          <t>ND</t>
        </is>
      </c>
      <c r="BK68" s="67" t="n">
        <v>11.4</v>
      </c>
      <c r="BL68" s="67" t="n"/>
      <c r="BM68" s="65">
        <f>IFERROR(IF(AND(BK68&lt;&gt;"",BL68&lt;&gt;""),ABS(BK68-BL68)/ABS(BK68)*100,""),"")</f>
        <v/>
      </c>
      <c r="BN68" s="62" t="inlineStr">
        <is>
          <t>Claude</t>
        </is>
      </c>
      <c r="BO68" s="67" t="n">
        <v>9</v>
      </c>
      <c r="BP68" s="67" t="n"/>
      <c r="BQ68" s="65">
        <f>IFERROR(IF(AND(BO68&lt;&gt;"",BP68&lt;&gt;""),ABS(BO68-BP68)/ABS(BO68)*100,""),"")</f>
        <v/>
      </c>
      <c r="BR68" s="62" t="inlineStr">
        <is>
          <t>Claude</t>
        </is>
      </c>
      <c r="BS68" s="67" t="n">
        <v>0</v>
      </c>
      <c r="BT68" s="67" t="n"/>
      <c r="BU68" s="65">
        <f>IFERROR(IF(AND(BS68&lt;&gt;"",BT68&lt;&gt;""),ABS(BS68-BT68)/ABS(BS68)*100,""),"")</f>
        <v/>
      </c>
      <c r="BV68" s="62" t="inlineStr">
        <is>
          <t>Claude</t>
        </is>
      </c>
      <c r="BW68" s="67" t="n">
        <v>66.7</v>
      </c>
      <c r="BX68" s="67" t="n"/>
      <c r="BY68" s="65">
        <f>IFERROR(IF(AND(BW68&lt;&gt;"",BX68&lt;&gt;""),ABS(BW68-BX68)/ABS(BW68)*100,""),"")</f>
        <v/>
      </c>
      <c r="BZ68" s="62" t="inlineStr">
        <is>
          <t>Claude</t>
        </is>
      </c>
      <c r="CA68" s="67" t="n"/>
      <c r="CB68" s="67" t="n"/>
      <c r="CC68" s="65">
        <f>IFERROR(IF(AND(CA68&lt;&gt;"",CB68&lt;&gt;""),ABS(CA68-CB68)/ABS(CA68)*100,""),"")</f>
        <v/>
      </c>
      <c r="CD68" s="62" t="inlineStr">
        <is>
          <t>ND</t>
        </is>
      </c>
      <c r="CE68" s="67" t="n"/>
      <c r="CF68" s="67" t="n"/>
      <c r="CG68" s="65">
        <f>IFERROR(IF(AND(CE68&lt;&gt;"",CF68&lt;&gt;""),ABS(CE68-CF68)/ABS(CE68)*100,""),"")</f>
        <v/>
      </c>
      <c r="CH68" s="62" t="inlineStr">
        <is>
          <t>ND</t>
        </is>
      </c>
      <c r="CI68" s="67" t="n"/>
      <c r="CJ68" s="67" t="n"/>
      <c r="CK68" s="65">
        <f>IFERROR(IF(AND(CI68&lt;&gt;"",CJ68&lt;&gt;""),ABS(CI68-CJ68)/ABS(CI68)*100,""),"")</f>
        <v/>
      </c>
      <c r="CL68" s="62" t="inlineStr">
        <is>
          <t>ND</t>
        </is>
      </c>
      <c r="CM68" s="67" t="n"/>
      <c r="CN68" s="67" t="n"/>
      <c r="CO68" s="65">
        <f>IFERROR(IF(AND(CM68&lt;&gt;"",CN68&lt;&gt;""),ABS(CM68-CN68)/ABS(CM68)*100,""),"")</f>
        <v/>
      </c>
      <c r="CP68" s="62" t="inlineStr">
        <is>
          <t>ND</t>
        </is>
      </c>
      <c r="CQ68" s="67" t="n"/>
      <c r="CR68" s="67" t="n"/>
      <c r="CS68" s="65">
        <f>IFERROR(IF(AND(CQ68&lt;&gt;"",CR68&lt;&gt;""),ABS(CQ68-CR68)/ABS(CQ68)*100,""),"")</f>
        <v/>
      </c>
      <c r="CT68" s="62" t="inlineStr">
        <is>
          <t>ND</t>
        </is>
      </c>
      <c r="CU68" s="67" t="n">
        <v>0</v>
      </c>
      <c r="CV68" s="67" t="n"/>
      <c r="CW68" s="65">
        <f>IFERROR(IF(AND(CU68&lt;&gt;"",CV68&lt;&gt;""),ABS(CU68-CV68)/ABS(CU68)*100,""),"")</f>
        <v/>
      </c>
      <c r="CX68" s="62" t="inlineStr">
        <is>
          <t>Claude</t>
        </is>
      </c>
      <c r="CY68" s="68" t="n"/>
      <c r="CZ68" s="68" t="n"/>
      <c r="DA68" s="65">
        <f>IFERROR(IF(AND(CY68&lt;&gt;"",CZ68&lt;&gt;""),ABS(CY68-CZ68)/ABS(CY68)*100,""),"")</f>
        <v/>
      </c>
      <c r="DB68" s="62" t="inlineStr">
        <is>
          <t>ND</t>
        </is>
      </c>
      <c r="DC68" s="68" t="n"/>
      <c r="DD68" s="68" t="n"/>
      <c r="DE68" s="65">
        <f>IFERROR(IF(AND(DC68&lt;&gt;"",DD68&lt;&gt;""),ABS(DC68-DD68)/ABS(DC68)*100,""),"")</f>
        <v/>
      </c>
      <c r="DF68" s="62" t="inlineStr">
        <is>
          <t>ND</t>
        </is>
      </c>
      <c r="DG68" s="68" t="n"/>
      <c r="DH68" s="68" t="n"/>
      <c r="DI68" s="65">
        <f>IFERROR(IF(AND(DG68&lt;&gt;"",DH68&lt;&gt;""),ABS(DG68-DH68)/ABS(DG68)*100,""),"")</f>
        <v/>
      </c>
      <c r="DJ68" s="62" t="inlineStr">
        <is>
          <t>ND</t>
        </is>
      </c>
      <c r="DK68" s="68" t="n"/>
      <c r="DL68" s="68" t="n"/>
      <c r="DM68" s="65">
        <f>IFERROR(IF(AND(DK68&lt;&gt;"",DL68&lt;&gt;""),ABS(DK68-DL68)/ABS(DK68)*100,""),"")</f>
        <v/>
      </c>
      <c r="DN68" s="62" t="inlineStr">
        <is>
          <t>ND</t>
        </is>
      </c>
      <c r="DO68" s="68" t="n"/>
      <c r="DP68" s="68" t="n"/>
      <c r="DQ68" s="65">
        <f>IFERROR(IF(AND(DO68&lt;&gt;"",DP68&lt;&gt;""),ABS(DO68-DP68)/ABS(DO68)*100,""),"")</f>
        <v/>
      </c>
      <c r="DR68" s="62" t="inlineStr">
        <is>
          <t>ND</t>
        </is>
      </c>
      <c r="DS68" s="68" t="n"/>
      <c r="DT68" s="68" t="n"/>
      <c r="DU68" s="65">
        <f>IFERROR(IF(AND(DS68&lt;&gt;"",DT68&lt;&gt;""),ABS(DS68-DT68)/ABS(DS68)*100,""),"")</f>
        <v/>
      </c>
      <c r="DV68" s="62" t="inlineStr">
        <is>
          <t>ND</t>
        </is>
      </c>
      <c r="DW68" s="63" t="inlineStr">
        <is>
          <t>Claude only (DeepSeek pending). Source=2020 report (only report covering 2018, SKC's first sustainability report). Ind.1/3 PROXY ('Non-permanent Employees' as stand-in for contract workers). Ind.7/8=ND (disability/foreign headcount not disclosed this edition). Ind.18=66.70, FEMALE-ONLY (Male shown as '-' in source, not treated as 0, no combined figure exists). Ind.20/22/23 correctly excluded as 'na' rather than substituting non-equivalent metrics (total turnover, collective-agreement coverage, %-based disaster rate) - good methodological rigor preserved from source batch. || DEEPSEEK RECONCILIATION - MANUAL FLAGS: Ind.6 (New Hires Female%): Claude=22.92, DeepSeek=45.69, Diff=99.3%</t>
        </is>
      </c>
    </row>
    <row r="69" ht="15.75" customHeight="1" s="43">
      <c r="A69" s="69" t="n"/>
      <c r="B69" s="69" t="n"/>
      <c r="C69" s="69" t="inlineStr">
        <is>
          <t>Materials</t>
        </is>
      </c>
      <c r="D69" s="69" t="inlineStr">
        <is>
          <t>2019</t>
        </is>
      </c>
      <c r="E69" s="70" t="inlineStr">
        <is>
          <t>SKC_2022.pdf (most recent covering 2019)</t>
        </is>
      </c>
      <c r="F69" s="69" t="n"/>
      <c r="G69" s="64" t="n">
        <v>2.01</v>
      </c>
      <c r="H69" s="64" t="n">
        <v>0.73</v>
      </c>
      <c r="I69" s="71">
        <f>IFERROR(IF(AND(G69&lt;&gt;"",H69&lt;&gt;""),ABS(G69-H69)/ABS(G69)*100,""),"")</f>
        <v/>
      </c>
      <c r="J69" s="66" t="inlineStr">
        <is>
          <t>MANUAL FLAG</t>
        </is>
      </c>
      <c r="K69" s="67" t="n">
        <v>9.720000000000001</v>
      </c>
      <c r="L69" s="67" t="n">
        <v>9.720000000000001</v>
      </c>
      <c r="M69" s="71">
        <f>IFERROR(IF(AND(K69&lt;&gt;"",L69&lt;&gt;""),ABS(K69-L69)/ABS(K69)*100,""),"")</f>
        <v/>
      </c>
      <c r="N69" s="69" t="inlineStr">
        <is>
          <t>Claude</t>
        </is>
      </c>
      <c r="O69" s="64" t="n">
        <v>31.91</v>
      </c>
      <c r="P69" s="64" t="n">
        <v>88.23999999999999</v>
      </c>
      <c r="Q69" s="71">
        <f>IFERROR(IF(AND(O69&lt;&gt;"",P69&lt;&gt;""),ABS(O69-P69)/ABS(O69)*100,""),"")</f>
        <v/>
      </c>
      <c r="R69" s="66" t="inlineStr">
        <is>
          <t>MANUAL FLAG</t>
        </is>
      </c>
      <c r="S69" s="64" t="n">
        <v>9.609999999999999</v>
      </c>
      <c r="T69" s="64" t="n">
        <v>10.64</v>
      </c>
      <c r="U69" s="71">
        <f>IFERROR(IF(AND(S69&lt;&gt;"",T69&lt;&gt;""),ABS(S69-T69)/ABS(S69)*100,""),"")</f>
        <v/>
      </c>
      <c r="V69" s="66" t="inlineStr">
        <is>
          <t>MANUAL FLAG</t>
        </is>
      </c>
      <c r="W69" s="67" t="n"/>
      <c r="X69" s="67" t="n"/>
      <c r="Y69" s="71">
        <f>IFERROR(IF(AND(W69&lt;&gt;"",X69&lt;&gt;""),ABS(W69-X69)/ABS(W69)*100,""),"")</f>
        <v/>
      </c>
      <c r="Z69" s="69" t="inlineStr">
        <is>
          <t>ND</t>
        </is>
      </c>
      <c r="AA69" s="67" t="n">
        <v>10.84</v>
      </c>
      <c r="AB69" s="67" t="n">
        <v>10.84</v>
      </c>
      <c r="AC69" s="71">
        <f>IFERROR(IF(AND(AA69&lt;&gt;"",AB69&lt;&gt;""),ABS(AA69-AB69)/ABS(AA69)*100,""),"")</f>
        <v/>
      </c>
      <c r="AD69" s="69" t="inlineStr">
        <is>
          <t>Claude</t>
        </is>
      </c>
      <c r="AE69" s="67" t="n"/>
      <c r="AF69" s="67" t="n"/>
      <c r="AG69" s="71">
        <f>IFERROR(IF(AND(AE69&lt;&gt;"",AF69&lt;&gt;""),ABS(AE69-AF69)/ABS(AE69)*100,""),"")</f>
        <v/>
      </c>
      <c r="AH69" s="69" t="inlineStr">
        <is>
          <t>ND</t>
        </is>
      </c>
      <c r="AI69" s="67" t="n"/>
      <c r="AJ69" s="67" t="n"/>
      <c r="AK69" s="71">
        <f>IFERROR(IF(AND(AI69&lt;&gt;"",AJ69&lt;&gt;""),ABS(AI69-AJ69)/ABS(AI69)*100,""),"")</f>
        <v/>
      </c>
      <c r="AL69" s="69" t="inlineStr">
        <is>
          <t>ND</t>
        </is>
      </c>
      <c r="AM69" s="67" t="n"/>
      <c r="AN69" s="67" t="n"/>
      <c r="AO69" s="71">
        <f>IFERROR(IF(AND(AM69&lt;&gt;"",AN69&lt;&gt;""),ABS(AM69-AN69)/ABS(AM69)*100,""),"")</f>
        <v/>
      </c>
      <c r="AP69" s="69" t="inlineStr">
        <is>
          <t>ND</t>
        </is>
      </c>
      <c r="AQ69" s="67" t="n"/>
      <c r="AR69" s="67" t="n"/>
      <c r="AS69" s="71">
        <f>IFERROR(IF(AND(AQ69&lt;&gt;"",AR69&lt;&gt;""),ABS(AQ69-AR69)/ABS(AQ69)*100,""),"")</f>
        <v/>
      </c>
      <c r="AT69" s="69" t="inlineStr">
        <is>
          <t>ND</t>
        </is>
      </c>
      <c r="AU69" s="67" t="n">
        <v>0</v>
      </c>
      <c r="AV69" s="67" t="n"/>
      <c r="AW69" s="71">
        <f>IFERROR(IF(AND(AU69&lt;&gt;"",AV69&lt;&gt;""),ABS(AU69-AV69)/ABS(AU69)*100,""),"")</f>
        <v/>
      </c>
      <c r="AX69" s="69" t="inlineStr">
        <is>
          <t>Claude</t>
        </is>
      </c>
      <c r="AY69" s="67" t="n"/>
      <c r="AZ69" s="67" t="n"/>
      <c r="BA69" s="71">
        <f>IFERROR(IF(AND(AY69&lt;&gt;"",AZ69&lt;&gt;""),ABS(AY69-AZ69)/ABS(AY69)*100,""),"")</f>
        <v/>
      </c>
      <c r="BB69" s="69" t="inlineStr">
        <is>
          <t>ND</t>
        </is>
      </c>
      <c r="BC69" s="67" t="n">
        <v>0</v>
      </c>
      <c r="BD69" s="67" t="n"/>
      <c r="BE69" s="71">
        <f>IFERROR(IF(AND(BC69&lt;&gt;"",BD69&lt;&gt;""),ABS(BC69-BD69)/ABS(BC69)*100,""),"")</f>
        <v/>
      </c>
      <c r="BF69" s="69" t="inlineStr">
        <is>
          <t>Claude</t>
        </is>
      </c>
      <c r="BG69" s="67" t="n">
        <v>1120000</v>
      </c>
      <c r="BH69" s="67" t="n">
        <v>1120000</v>
      </c>
      <c r="BI69" s="71">
        <f>IFERROR(IF(AND(BG69&lt;&gt;"",BH69&lt;&gt;""),ABS(BG69-BH69)/ABS(BG69)*100,""),"")</f>
        <v/>
      </c>
      <c r="BJ69" s="69" t="inlineStr">
        <is>
          <t>Claude</t>
        </is>
      </c>
      <c r="BK69" s="67" t="n">
        <v>21</v>
      </c>
      <c r="BL69" s="67" t="n">
        <v>21</v>
      </c>
      <c r="BM69" s="71">
        <f>IFERROR(IF(AND(BK69&lt;&gt;"",BL69&lt;&gt;""),ABS(BK69-BL69)/ABS(BK69)*100,""),"")</f>
        <v/>
      </c>
      <c r="BN69" s="69" t="inlineStr">
        <is>
          <t>Claude</t>
        </is>
      </c>
      <c r="BO69" s="67" t="n">
        <v>18</v>
      </c>
      <c r="BP69" s="67" t="n">
        <v>18</v>
      </c>
      <c r="BQ69" s="71">
        <f>IFERROR(IF(AND(BO69&lt;&gt;"",BP69&lt;&gt;""),ABS(BO69-BP69)/ABS(BO69)*100,""),"")</f>
        <v/>
      </c>
      <c r="BR69" s="69" t="inlineStr">
        <is>
          <t>Claude</t>
        </is>
      </c>
      <c r="BS69" s="67" t="n">
        <v>3</v>
      </c>
      <c r="BT69" s="67" t="n">
        <v>3</v>
      </c>
      <c r="BU69" s="71">
        <f>IFERROR(IF(AND(BS69&lt;&gt;"",BT69&lt;&gt;""),ABS(BS69-BT69)/ABS(BS69)*100,""),"")</f>
        <v/>
      </c>
      <c r="BV69" s="69" t="inlineStr">
        <is>
          <t>Claude</t>
        </is>
      </c>
      <c r="BW69" s="67" t="n">
        <v>100</v>
      </c>
      <c r="BX69" s="67" t="n">
        <v>100</v>
      </c>
      <c r="BY69" s="71">
        <f>IFERROR(IF(AND(BW69&lt;&gt;"",BX69&lt;&gt;""),ABS(BW69-BX69)/ABS(BW69)*100,""),"")</f>
        <v/>
      </c>
      <c r="BZ69" s="69" t="inlineStr">
        <is>
          <t>Claude</t>
        </is>
      </c>
      <c r="CA69" s="67" t="n">
        <v>13.4</v>
      </c>
      <c r="CB69" s="67" t="n">
        <v>13.4</v>
      </c>
      <c r="CC69" s="71">
        <f>IFERROR(IF(AND(CA69&lt;&gt;"",CB69&lt;&gt;""),ABS(CA69-CB69)/ABS(CA69)*100,""),"")</f>
        <v/>
      </c>
      <c r="CD69" s="69" t="inlineStr">
        <is>
          <t>Claude</t>
        </is>
      </c>
      <c r="CE69" s="67" t="n"/>
      <c r="CF69" s="67" t="n"/>
      <c r="CG69" s="71">
        <f>IFERROR(IF(AND(CE69&lt;&gt;"",CF69&lt;&gt;""),ABS(CE69-CF69)/ABS(CE69)*100,""),"")</f>
        <v/>
      </c>
      <c r="CH69" s="69" t="inlineStr">
        <is>
          <t>ND</t>
        </is>
      </c>
      <c r="CI69" s="67" t="n">
        <v>0</v>
      </c>
      <c r="CJ69" s="67" t="n"/>
      <c r="CK69" s="71">
        <f>IFERROR(IF(AND(CI69&lt;&gt;"",CJ69&lt;&gt;""),ABS(CI69-CJ69)/ABS(CI69)*100,""),"")</f>
        <v/>
      </c>
      <c r="CL69" s="69" t="inlineStr">
        <is>
          <t>Claude</t>
        </is>
      </c>
      <c r="CM69" s="67" t="n"/>
      <c r="CN69" s="67" t="n"/>
      <c r="CO69" s="71">
        <f>IFERROR(IF(AND(CM69&lt;&gt;"",CN69&lt;&gt;""),ABS(CM69-CN69)/ABS(CM69)*100,""),"")</f>
        <v/>
      </c>
      <c r="CP69" s="69" t="inlineStr">
        <is>
          <t>ND</t>
        </is>
      </c>
      <c r="CQ69" s="67" t="n">
        <v>0.34</v>
      </c>
      <c r="CR69" s="67" t="n">
        <v>0.34</v>
      </c>
      <c r="CS69" s="71">
        <f>IFERROR(IF(AND(CQ69&lt;&gt;"",CR69&lt;&gt;""),ABS(CQ69-CR69)/ABS(CQ69)*100,""),"")</f>
        <v/>
      </c>
      <c r="CT69" s="69" t="inlineStr">
        <is>
          <t>Claude</t>
        </is>
      </c>
      <c r="CU69" s="67" t="n">
        <v>0</v>
      </c>
      <c r="CV69" s="67" t="n">
        <v>0</v>
      </c>
      <c r="CW69" s="71">
        <f>IFERROR(IF(AND(CU69&lt;&gt;"",CV69&lt;&gt;""),ABS(CU69-CV69)/ABS(CU69)*100,""),"")</f>
        <v/>
      </c>
      <c r="CX69" s="69" t="inlineStr">
        <is>
          <t>Claude</t>
        </is>
      </c>
      <c r="CY69" s="68" t="n"/>
      <c r="CZ69" s="68" t="n"/>
      <c r="DA69" s="71">
        <f>IFERROR(IF(AND(CY69&lt;&gt;"",CZ69&lt;&gt;""),ABS(CY69-CZ69)/ABS(CY69)*100,""),"")</f>
        <v/>
      </c>
      <c r="DB69" s="69" t="inlineStr">
        <is>
          <t>ND</t>
        </is>
      </c>
      <c r="DC69" s="68" t="n"/>
      <c r="DD69" s="68" t="n"/>
      <c r="DE69" s="71">
        <f>IFERROR(IF(AND(DC69&lt;&gt;"",DD69&lt;&gt;""),ABS(DC69-DD69)/ABS(DC69)*100,""),"")</f>
        <v/>
      </c>
      <c r="DF69" s="69" t="inlineStr">
        <is>
          <t>ND</t>
        </is>
      </c>
      <c r="DG69" s="68" t="n">
        <v>71.09999999999999</v>
      </c>
      <c r="DH69" s="68" t="n">
        <v>71.09999999999999</v>
      </c>
      <c r="DI69" s="71">
        <f>IFERROR(IF(AND(DG69&lt;&gt;"",DH69&lt;&gt;""),ABS(DG69-DH69)/ABS(DG69)*100,""),"")</f>
        <v/>
      </c>
      <c r="DJ69" s="69" t="inlineStr">
        <is>
          <t>Claude</t>
        </is>
      </c>
      <c r="DK69" s="68" t="n"/>
      <c r="DL69" s="68" t="n"/>
      <c r="DM69" s="71">
        <f>IFERROR(IF(AND(DK69&lt;&gt;"",DL69&lt;&gt;""),ABS(DK69-DL69)/ABS(DK69)*100,""),"")</f>
        <v/>
      </c>
      <c r="DN69" s="69" t="inlineStr">
        <is>
          <t>ND</t>
        </is>
      </c>
      <c r="DO69" s="68" t="n"/>
      <c r="DP69" s="68" t="n"/>
      <c r="DQ69" s="71">
        <f>IFERROR(IF(AND(DO69&lt;&gt;"",DP69&lt;&gt;""),ABS(DO69-DP69)/ABS(DO69)*100,""),"")</f>
        <v/>
      </c>
      <c r="DR69" s="69" t="inlineStr">
        <is>
          <t>ND</t>
        </is>
      </c>
      <c r="DS69" s="68" t="n"/>
      <c r="DT69" s="68" t="n"/>
      <c r="DU69" s="71">
        <f>IFERROR(IF(AND(DS69&lt;&gt;"",DT69&lt;&gt;""),ABS(DS69-DT69)/ABS(DS69)*100,""),"")</f>
        <v/>
      </c>
      <c r="DV69" s="69" t="inlineStr">
        <is>
          <t>ND</t>
        </is>
      </c>
      <c r="DW69" s="70" t="inlineStr">
        <is>
          <t>Claude only (DeepSeek pending). Source=2022 report (more recent than 2020 report). **SCOPE CAVEAT (per source's own footnote): this year's figures EXCLUDE subsidiary SK nexilis, while 2020/2021 figures INCLUDE it - a genuine scope discontinuity, not comparable without adjustment.** Ind.1=2.01 close match to 2020 report's 2.00 (no real conflict). Ind.3=31.91 vs 2020 report's 20.00 - CONFLICT, flag. Ind.4(New Hire Rate)=9.61 vs 2020 report's 4.15 - MAJOR CONFLICT (&gt;2x), flag. Ind.6(New Female)=10.84 vs 2020 report's 19.23 - CONFLICT, flag. Ind.7/8=ND (disability headcount=49, foreign headcount=2, no total workforce disclosed either edition). Ind.16=18 vs 2020 report's 9 - EXACTLY DOUBLE, flag (may relate to nexilis scope difference). Ind.17=3 vs 2020 report's 2 - minor conflict. Ind.21=0, PROXY ('Layoff' % used as stand-in for involuntary turnover). Ind.23=0.34, UNIT NOTE: reported as 'LTIR' per 200,000 work hours, not the standard cases-per-million-hours LTIFR unit used in the 2025 report - not directly comparable to 2022-2024 values without ×5 conversion. || DEEPSEEK RECONCILIATION - MANUAL FLAGS: Ind.1 (Contract Workers%): Claude=2.01, DeepSeek=0.73, Diff=63.7%; Ind.3 (Female Contract%): Claude=31.91, DeepSeek=88.24, Diff=176.5%; Ind.4 (New Hire Rate): Claude=9.61, DeepSeek=10.64, Diff=10.7%</t>
        </is>
      </c>
    </row>
    <row r="70" ht="15.75" customHeight="1" s="43">
      <c r="A70" s="62" t="n"/>
      <c r="B70" s="62" t="n"/>
      <c r="C70" s="62" t="inlineStr">
        <is>
          <t>Materials</t>
        </is>
      </c>
      <c r="D70" s="62" t="inlineStr">
        <is>
          <t>2020</t>
        </is>
      </c>
      <c r="E70" s="63" t="inlineStr">
        <is>
          <t>SKC_2022.pdf (most recent covering 2020)</t>
        </is>
      </c>
      <c r="F70" s="62" t="n"/>
      <c r="G70" s="64" t="n">
        <v>2.47</v>
      </c>
      <c r="H70" s="64" t="n">
        <v>1.16</v>
      </c>
      <c r="I70" s="65">
        <f>IFERROR(IF(AND(G70&lt;&gt;"",H70&lt;&gt;""),ABS(G70-H70)/ABS(G70)*100,""),"")</f>
        <v/>
      </c>
      <c r="J70" s="66" t="inlineStr">
        <is>
          <t>MANUAL FLAG</t>
        </is>
      </c>
      <c r="K70" s="67" t="n">
        <v>9.039999999999999</v>
      </c>
      <c r="L70" s="67" t="n">
        <v>9.039999999999999</v>
      </c>
      <c r="M70" s="65">
        <f>IFERROR(IF(AND(K70&lt;&gt;"",L70&lt;&gt;""),ABS(K70-L70)/ABS(K70)*100,""),"")</f>
        <v/>
      </c>
      <c r="N70" s="62" t="inlineStr">
        <is>
          <t>Claude</t>
        </is>
      </c>
      <c r="O70" s="64" t="n">
        <v>42.19</v>
      </c>
      <c r="P70" s="64" t="n">
        <v>90</v>
      </c>
      <c r="Q70" s="65">
        <f>IFERROR(IF(AND(O70&lt;&gt;"",P70&lt;&gt;""),ABS(O70-P70)/ABS(O70)*100,""),"")</f>
        <v/>
      </c>
      <c r="R70" s="66" t="inlineStr">
        <is>
          <t>MANUAL FLAG</t>
        </is>
      </c>
      <c r="S70" s="64" t="n">
        <v>8.43</v>
      </c>
      <c r="T70" s="64" t="n">
        <v>9.199999999999999</v>
      </c>
      <c r="U70" s="65">
        <f>IFERROR(IF(AND(S70&lt;&gt;"",T70&lt;&gt;""),ABS(S70-T70)/ABS(S70)*100,""),"")</f>
        <v/>
      </c>
      <c r="V70" s="66" t="inlineStr">
        <is>
          <t>MANUAL FLAG</t>
        </is>
      </c>
      <c r="W70" s="67" t="n"/>
      <c r="X70" s="67" t="n"/>
      <c r="Y70" s="65">
        <f>IFERROR(IF(AND(W70&lt;&gt;"",X70&lt;&gt;""),ABS(W70-X70)/ABS(W70)*100,""),"")</f>
        <v/>
      </c>
      <c r="Z70" s="62" t="inlineStr">
        <is>
          <t>ND</t>
        </is>
      </c>
      <c r="AA70" s="67" t="n">
        <v>13.45</v>
      </c>
      <c r="AB70" s="67" t="n">
        <v>13.45</v>
      </c>
      <c r="AC70" s="65">
        <f>IFERROR(IF(AND(AA70&lt;&gt;"",AB70&lt;&gt;""),ABS(AA70-AB70)/ABS(AA70)*100,""),"")</f>
        <v/>
      </c>
      <c r="AD70" s="62" t="inlineStr">
        <is>
          <t>Claude</t>
        </is>
      </c>
      <c r="AE70" s="67" t="n"/>
      <c r="AF70" s="67" t="n"/>
      <c r="AG70" s="65">
        <f>IFERROR(IF(AND(AE70&lt;&gt;"",AF70&lt;&gt;""),ABS(AE70-AF70)/ABS(AE70)*100,""),"")</f>
        <v/>
      </c>
      <c r="AH70" s="62" t="inlineStr">
        <is>
          <t>ND</t>
        </is>
      </c>
      <c r="AI70" s="67" t="n"/>
      <c r="AJ70" s="67" t="n"/>
      <c r="AK70" s="65">
        <f>IFERROR(IF(AND(AI70&lt;&gt;"",AJ70&lt;&gt;""),ABS(AI70-AJ70)/ABS(AI70)*100,""),"")</f>
        <v/>
      </c>
      <c r="AL70" s="62" t="inlineStr">
        <is>
          <t>ND</t>
        </is>
      </c>
      <c r="AM70" s="67" t="n"/>
      <c r="AN70" s="67" t="n"/>
      <c r="AO70" s="65">
        <f>IFERROR(IF(AND(AM70&lt;&gt;"",AN70&lt;&gt;""),ABS(AM70-AN70)/ABS(AM70)*100,""),"")</f>
        <v/>
      </c>
      <c r="AP70" s="62" t="inlineStr">
        <is>
          <t>ND</t>
        </is>
      </c>
      <c r="AQ70" s="67" t="n"/>
      <c r="AR70" s="67" t="n"/>
      <c r="AS70" s="65">
        <f>IFERROR(IF(AND(AQ70&lt;&gt;"",AR70&lt;&gt;""),ABS(AQ70-AR70)/ABS(AQ70)*100,""),"")</f>
        <v/>
      </c>
      <c r="AT70" s="62" t="inlineStr">
        <is>
          <t>ND</t>
        </is>
      </c>
      <c r="AU70" s="67" t="n">
        <v>0</v>
      </c>
      <c r="AV70" s="67" t="n"/>
      <c r="AW70" s="65">
        <f>IFERROR(IF(AND(AU70&lt;&gt;"",AV70&lt;&gt;""),ABS(AU70-AV70)/ABS(AU70)*100,""),"")</f>
        <v/>
      </c>
      <c r="AX70" s="62" t="inlineStr">
        <is>
          <t>Claude</t>
        </is>
      </c>
      <c r="AY70" s="67" t="n"/>
      <c r="AZ70" s="67" t="n"/>
      <c r="BA70" s="65">
        <f>IFERROR(IF(AND(AY70&lt;&gt;"",AZ70&lt;&gt;""),ABS(AY70-AZ70)/ABS(AY70)*100,""),"")</f>
        <v/>
      </c>
      <c r="BB70" s="62" t="inlineStr">
        <is>
          <t>ND</t>
        </is>
      </c>
      <c r="BC70" s="67" t="n">
        <v>0</v>
      </c>
      <c r="BD70" s="67" t="n"/>
      <c r="BE70" s="65">
        <f>IFERROR(IF(AND(BC70&lt;&gt;"",BD70&lt;&gt;""),ABS(BC70-BD70)/ABS(BC70)*100,""),"")</f>
        <v/>
      </c>
      <c r="BF70" s="62" t="inlineStr">
        <is>
          <t>Claude</t>
        </is>
      </c>
      <c r="BG70" s="67" t="n">
        <v>2102000</v>
      </c>
      <c r="BH70" s="67" t="n">
        <v>2102000</v>
      </c>
      <c r="BI70" s="65">
        <f>IFERROR(IF(AND(BG70&lt;&gt;"",BH70&lt;&gt;""),ABS(BG70-BH70)/ABS(BG70)*100,""),"")</f>
        <v/>
      </c>
      <c r="BJ70" s="62" t="inlineStr">
        <is>
          <t>Claude</t>
        </is>
      </c>
      <c r="BK70" s="67" t="n">
        <v>44.3</v>
      </c>
      <c r="BL70" s="67" t="n">
        <v>44.3</v>
      </c>
      <c r="BM70" s="65">
        <f>IFERROR(IF(AND(BK70&lt;&gt;"",BL70&lt;&gt;""),ABS(BK70-BL70)/ABS(BK70)*100,""),"")</f>
        <v/>
      </c>
      <c r="BN70" s="62" t="inlineStr">
        <is>
          <t>Claude</t>
        </is>
      </c>
      <c r="BO70" s="67" t="n">
        <v>18</v>
      </c>
      <c r="BP70" s="67" t="n">
        <v>18</v>
      </c>
      <c r="BQ70" s="65">
        <f>IFERROR(IF(AND(BO70&lt;&gt;"",BP70&lt;&gt;""),ABS(BO70-BP70)/ABS(BO70)*100,""),"")</f>
        <v/>
      </c>
      <c r="BR70" s="62" t="inlineStr">
        <is>
          <t>Claude</t>
        </is>
      </c>
      <c r="BS70" s="67" t="n">
        <v>3</v>
      </c>
      <c r="BT70" s="67" t="n">
        <v>3</v>
      </c>
      <c r="BU70" s="65">
        <f>IFERROR(IF(AND(BS70&lt;&gt;"",BT70&lt;&gt;""),ABS(BS70-BT70)/ABS(BS70)*100,""),"")</f>
        <v/>
      </c>
      <c r="BV70" s="62" t="inlineStr">
        <is>
          <t>Claude</t>
        </is>
      </c>
      <c r="BW70" s="67" t="n">
        <v>100</v>
      </c>
      <c r="BX70" s="67" t="n">
        <v>100</v>
      </c>
      <c r="BY70" s="65">
        <f>IFERROR(IF(AND(BW70&lt;&gt;"",BX70&lt;&gt;""),ABS(BW70-BX70)/ABS(BW70)*100,""),"")</f>
        <v/>
      </c>
      <c r="BZ70" s="62" t="inlineStr">
        <is>
          <t>Claude</t>
        </is>
      </c>
      <c r="CA70" s="67" t="n">
        <v>13.1</v>
      </c>
      <c r="CB70" s="67" t="n">
        <v>13.1</v>
      </c>
      <c r="CC70" s="65">
        <f>IFERROR(IF(AND(CA70&lt;&gt;"",CB70&lt;&gt;""),ABS(CA70-CB70)/ABS(CA70)*100,""),"")</f>
        <v/>
      </c>
      <c r="CD70" s="62" t="inlineStr">
        <is>
          <t>Claude</t>
        </is>
      </c>
      <c r="CE70" s="67" t="n"/>
      <c r="CF70" s="67" t="n"/>
      <c r="CG70" s="65">
        <f>IFERROR(IF(AND(CE70&lt;&gt;"",CF70&lt;&gt;""),ABS(CE70-CF70)/ABS(CE70)*100,""),"")</f>
        <v/>
      </c>
      <c r="CH70" s="62" t="inlineStr">
        <is>
          <t>ND</t>
        </is>
      </c>
      <c r="CI70" s="67" t="n">
        <v>0.04</v>
      </c>
      <c r="CJ70" s="67" t="n"/>
      <c r="CK70" s="65">
        <f>IFERROR(IF(AND(CI70&lt;&gt;"",CJ70&lt;&gt;""),ABS(CI70-CJ70)/ABS(CI70)*100,""),"")</f>
        <v/>
      </c>
      <c r="CL70" s="62" t="inlineStr">
        <is>
          <t>Claude</t>
        </is>
      </c>
      <c r="CM70" s="67" t="n"/>
      <c r="CN70" s="67" t="n"/>
      <c r="CO70" s="65">
        <f>IFERROR(IF(AND(CM70&lt;&gt;"",CN70&lt;&gt;""),ABS(CM70-CN70)/ABS(CM70)*100,""),"")</f>
        <v/>
      </c>
      <c r="CP70" s="62" t="inlineStr">
        <is>
          <t>ND</t>
        </is>
      </c>
      <c r="CQ70" s="67" t="n">
        <v>0.45</v>
      </c>
      <c r="CR70" s="67" t="n">
        <v>0.45</v>
      </c>
      <c r="CS70" s="65">
        <f>IFERROR(IF(AND(CQ70&lt;&gt;"",CR70&lt;&gt;""),ABS(CQ70-CR70)/ABS(CQ70)*100,""),"")</f>
        <v/>
      </c>
      <c r="CT70" s="62" t="inlineStr">
        <is>
          <t>Claude</t>
        </is>
      </c>
      <c r="CU70" s="67" t="n">
        <v>0</v>
      </c>
      <c r="CV70" s="67" t="n">
        <v>0</v>
      </c>
      <c r="CW70" s="65">
        <f>IFERROR(IF(AND(CU70&lt;&gt;"",CV70&lt;&gt;""),ABS(CU70-CV70)/ABS(CU70)*100,""),"")</f>
        <v/>
      </c>
      <c r="CX70" s="62" t="inlineStr">
        <is>
          <t>Claude</t>
        </is>
      </c>
      <c r="CY70" s="68" t="n"/>
      <c r="CZ70" s="68" t="n">
        <v>8</v>
      </c>
      <c r="DA70" s="65">
        <f>IFERROR(IF(AND(CY70&lt;&gt;"",CZ70&lt;&gt;""),ABS(CY70-CZ70)/ABS(CY70)*100,""),"")</f>
        <v/>
      </c>
      <c r="DB70" s="62" t="inlineStr">
        <is>
          <t>DeepSeek</t>
        </is>
      </c>
      <c r="DC70" s="68" t="n"/>
      <c r="DD70" s="68" t="n"/>
      <c r="DE70" s="65">
        <f>IFERROR(IF(AND(DC70&lt;&gt;"",DD70&lt;&gt;""),ABS(DC70-DD70)/ABS(DC70)*100,""),"")</f>
        <v/>
      </c>
      <c r="DF70" s="62" t="inlineStr">
        <is>
          <t>ND</t>
        </is>
      </c>
      <c r="DG70" s="68" t="n">
        <v>73</v>
      </c>
      <c r="DH70" s="68" t="n">
        <v>73</v>
      </c>
      <c r="DI70" s="65">
        <f>IFERROR(IF(AND(DG70&lt;&gt;"",DH70&lt;&gt;""),ABS(DG70-DH70)/ABS(DG70)*100,""),"")</f>
        <v/>
      </c>
      <c r="DJ70" s="62" t="inlineStr">
        <is>
          <t>Claude</t>
        </is>
      </c>
      <c r="DK70" s="68" t="n"/>
      <c r="DL70" s="68" t="n"/>
      <c r="DM70" s="65">
        <f>IFERROR(IF(AND(DK70&lt;&gt;"",DL70&lt;&gt;""),ABS(DK70-DL70)/ABS(DK70)*100,""),"")</f>
        <v/>
      </c>
      <c r="DN70" s="62" t="inlineStr">
        <is>
          <t>ND</t>
        </is>
      </c>
      <c r="DO70" s="68" t="n"/>
      <c r="DP70" s="68" t="n"/>
      <c r="DQ70" s="65">
        <f>IFERROR(IF(AND(DO70&lt;&gt;"",DP70&lt;&gt;""),ABS(DO70-DP70)/ABS(DO70)*100,""),"")</f>
        <v/>
      </c>
      <c r="DR70" s="62" t="inlineStr">
        <is>
          <t>ND</t>
        </is>
      </c>
      <c r="DS70" s="68" t="n"/>
      <c r="DT70" s="68" t="n"/>
      <c r="DU70" s="65">
        <f>IFERROR(IF(AND(DS70&lt;&gt;"",DT70&lt;&gt;""),ABS(DS70-DT70)/ABS(DS70)*100,""),"")</f>
        <v/>
      </c>
      <c r="DV70" s="62" t="inlineStr">
        <is>
          <t>ND</t>
        </is>
      </c>
      <c r="DW70" s="63" t="inlineStr">
        <is>
          <t>Claude only (DeepSeek pending). Source=2022 report (2020 report had no 2020 data at all). Includes SK nexilis per source's scope note (see 2019 note) - not directly comparable to 2019's nexilis-excluded figures within this same company's history. Ind.7/8=ND (disability headcount=68, foreign headcount=2). Ind.21=0.04, PROXY. Ind.23=0.45, same 200,000-hr unit caveat as 2019. || DEEPSEEK RECONCILIATION - MANUAL FLAGS: Ind.1 (Contract Workers%): Claude=2.47, DeepSeek=1.16, Diff=53.0%; Ind.3 (Female Contract%): Claude=42.19, DeepSeek=90.0, Diff=113.3%; Ind.4 (New Hire Rate): Claude=8.43, DeepSeek=9.2, Diff=9.1%</t>
        </is>
      </c>
    </row>
    <row r="71" ht="15.75" customHeight="1" s="43">
      <c r="A71" s="69" t="n"/>
      <c r="B71" s="69" t="n"/>
      <c r="C71" s="69" t="inlineStr">
        <is>
          <t>Materials</t>
        </is>
      </c>
      <c r="D71" s="69" t="inlineStr">
        <is>
          <t>2021</t>
        </is>
      </c>
      <c r="E71" s="70" t="inlineStr">
        <is>
          <t>SKC_2022.pdf (only report covering 2021)</t>
        </is>
      </c>
      <c r="F71" s="69" t="n"/>
      <c r="G71" s="64" t="n">
        <v>2.58</v>
      </c>
      <c r="H71" s="64" t="n">
        <v>7.2081</v>
      </c>
      <c r="I71" s="71">
        <f>IFERROR(IF(AND(G71&lt;&gt;"",H71&lt;&gt;""),ABS(G71-H71)/ABS(G71)*100,""),"")</f>
        <v/>
      </c>
      <c r="J71" s="66" t="inlineStr">
        <is>
          <t>MANUAL FLAG</t>
        </is>
      </c>
      <c r="K71" s="64" t="n">
        <v>9.98</v>
      </c>
      <c r="L71" s="64" t="n">
        <v>12.8008</v>
      </c>
      <c r="M71" s="71">
        <f>IFERROR(IF(AND(K71&lt;&gt;"",L71&lt;&gt;""),ABS(K71-L71)/ABS(K71)*100,""),"")</f>
        <v/>
      </c>
      <c r="N71" s="66" t="inlineStr">
        <is>
          <t>MANUAL FLAG</t>
        </is>
      </c>
      <c r="O71" s="64" t="n">
        <v>49.25</v>
      </c>
      <c r="P71" s="64" t="n">
        <v>35.9154</v>
      </c>
      <c r="Q71" s="71">
        <f>IFERROR(IF(AND(O71&lt;&gt;"",P71&lt;&gt;""),ABS(O71-P71)/ABS(O71)*100,""),"")</f>
        <v/>
      </c>
      <c r="R71" s="66" t="inlineStr">
        <is>
          <t>MANUAL FLAG</t>
        </is>
      </c>
      <c r="S71" s="67" t="n">
        <v>11.51</v>
      </c>
      <c r="T71" s="67" t="n"/>
      <c r="U71" s="71">
        <f>IFERROR(IF(AND(S71&lt;&gt;"",T71&lt;&gt;""),ABS(S71-T71)/ABS(S71)*100,""),"")</f>
        <v/>
      </c>
      <c r="V71" s="69" t="inlineStr">
        <is>
          <t>Claude</t>
        </is>
      </c>
      <c r="W71" s="67" t="n"/>
      <c r="X71" s="67" t="n"/>
      <c r="Y71" s="71">
        <f>IFERROR(IF(AND(W71&lt;&gt;"",X71&lt;&gt;""),ABS(W71-X71)/ABS(W71)*100,""),"")</f>
        <v/>
      </c>
      <c r="Z71" s="69" t="inlineStr">
        <is>
          <t>ND</t>
        </is>
      </c>
      <c r="AA71" s="67" t="n">
        <v>22.26</v>
      </c>
      <c r="AB71" s="67" t="n"/>
      <c r="AC71" s="71">
        <f>IFERROR(IF(AND(AA71&lt;&gt;"",AB71&lt;&gt;""),ABS(AA71-AB71)/ABS(AA71)*100,""),"")</f>
        <v/>
      </c>
      <c r="AD71" s="69" t="inlineStr">
        <is>
          <t>Claude</t>
        </is>
      </c>
      <c r="AE71" s="67" t="n"/>
      <c r="AF71" s="67" t="n"/>
      <c r="AG71" s="71">
        <f>IFERROR(IF(AND(AE71&lt;&gt;"",AF71&lt;&gt;""),ABS(AE71-AF71)/ABS(AE71)*100,""),"")</f>
        <v/>
      </c>
      <c r="AH71" s="69" t="inlineStr">
        <is>
          <t>ND</t>
        </is>
      </c>
      <c r="AI71" s="67" t="n"/>
      <c r="AJ71" s="67" t="n"/>
      <c r="AK71" s="71">
        <f>IFERROR(IF(AND(AI71&lt;&gt;"",AJ71&lt;&gt;""),ABS(AI71-AJ71)/ABS(AI71)*100,""),"")</f>
        <v/>
      </c>
      <c r="AL71" s="69" t="inlineStr">
        <is>
          <t>ND</t>
        </is>
      </c>
      <c r="AM71" s="67" t="n"/>
      <c r="AN71" s="67" t="n"/>
      <c r="AO71" s="71">
        <f>IFERROR(IF(AND(AM71&lt;&gt;"",AN71&lt;&gt;""),ABS(AM71-AN71)/ABS(AM71)*100,""),"")</f>
        <v/>
      </c>
      <c r="AP71" s="69" t="inlineStr">
        <is>
          <t>ND</t>
        </is>
      </c>
      <c r="AQ71" s="67" t="n"/>
      <c r="AR71" s="67" t="n"/>
      <c r="AS71" s="71">
        <f>IFERROR(IF(AND(AQ71&lt;&gt;"",AR71&lt;&gt;""),ABS(AQ71-AR71)/ABS(AQ71)*100,""),"")</f>
        <v/>
      </c>
      <c r="AT71" s="69" t="inlineStr">
        <is>
          <t>ND</t>
        </is>
      </c>
      <c r="AU71" s="67" t="n">
        <v>14</v>
      </c>
      <c r="AV71" s="67" t="n">
        <v>14.2857</v>
      </c>
      <c r="AW71" s="71">
        <f>IFERROR(IF(AND(AU71&lt;&gt;"",AV71&lt;&gt;""),ABS(AU71-AV71)/ABS(AU71)*100,""),"")</f>
        <v/>
      </c>
      <c r="AX71" s="69" t="inlineStr">
        <is>
          <t>Claude</t>
        </is>
      </c>
      <c r="AY71" s="67" t="n"/>
      <c r="AZ71" s="67" t="n"/>
      <c r="BA71" s="71">
        <f>IFERROR(IF(AND(AY71&lt;&gt;"",AZ71&lt;&gt;""),ABS(AY71-AZ71)/ABS(AY71)*100,""),"")</f>
        <v/>
      </c>
      <c r="BB71" s="69" t="inlineStr">
        <is>
          <t>ND</t>
        </is>
      </c>
      <c r="BC71" s="67" t="n">
        <v>0</v>
      </c>
      <c r="BD71" s="67" t="n"/>
      <c r="BE71" s="71">
        <f>IFERROR(IF(AND(BC71&lt;&gt;"",BD71&lt;&gt;""),ABS(BC71-BD71)/ABS(BC71)*100,""),"")</f>
        <v/>
      </c>
      <c r="BF71" s="69" t="inlineStr">
        <is>
          <t>Claude</t>
        </is>
      </c>
      <c r="BG71" s="67" t="n">
        <v>2150000</v>
      </c>
      <c r="BH71" s="67" t="n"/>
      <c r="BI71" s="71">
        <f>IFERROR(IF(AND(BG71&lt;&gt;"",BH71&lt;&gt;""),ABS(BG71-BH71)/ABS(BG71)*100,""),"")</f>
        <v/>
      </c>
      <c r="BJ71" s="69" t="inlineStr">
        <is>
          <t>Claude</t>
        </is>
      </c>
      <c r="BK71" s="67" t="n">
        <v>37</v>
      </c>
      <c r="BL71" s="67" t="n"/>
      <c r="BM71" s="71">
        <f>IFERROR(IF(AND(BK71&lt;&gt;"",BL71&lt;&gt;""),ABS(BK71-BL71)/ABS(BK71)*100,""),"")</f>
        <v/>
      </c>
      <c r="BN71" s="69" t="inlineStr">
        <is>
          <t>Claude</t>
        </is>
      </c>
      <c r="BO71" s="67" t="n">
        <v>21</v>
      </c>
      <c r="BP71" s="67" t="n"/>
      <c r="BQ71" s="71">
        <f>IFERROR(IF(AND(BO71&lt;&gt;"",BP71&lt;&gt;""),ABS(BO71-BP71)/ABS(BO71)*100,""),"")</f>
        <v/>
      </c>
      <c r="BR71" s="69" t="inlineStr">
        <is>
          <t>Claude</t>
        </is>
      </c>
      <c r="BS71" s="67" t="n">
        <v>6</v>
      </c>
      <c r="BT71" s="67" t="n"/>
      <c r="BU71" s="71">
        <f>IFERROR(IF(AND(BS71&lt;&gt;"",BT71&lt;&gt;""),ABS(BS71-BT71)/ABS(BS71)*100,""),"")</f>
        <v/>
      </c>
      <c r="BV71" s="69" t="inlineStr">
        <is>
          <t>Claude</t>
        </is>
      </c>
      <c r="BW71" s="67" t="n">
        <v>89</v>
      </c>
      <c r="BX71" s="67" t="n"/>
      <c r="BY71" s="71">
        <f>IFERROR(IF(AND(BW71&lt;&gt;"",BX71&lt;&gt;""),ABS(BW71-BX71)/ABS(BW71)*100,""),"")</f>
        <v/>
      </c>
      <c r="BZ71" s="69" t="inlineStr">
        <is>
          <t>Claude</t>
        </is>
      </c>
      <c r="CA71" s="67" t="n">
        <v>12.9</v>
      </c>
      <c r="CB71" s="67" t="n"/>
      <c r="CC71" s="71">
        <f>IFERROR(IF(AND(CA71&lt;&gt;"",CB71&lt;&gt;""),ABS(CA71-CB71)/ABS(CA71)*100,""),"")</f>
        <v/>
      </c>
      <c r="CD71" s="69" t="inlineStr">
        <is>
          <t>Claude</t>
        </is>
      </c>
      <c r="CE71" s="67" t="n"/>
      <c r="CF71" s="67" t="n"/>
      <c r="CG71" s="71">
        <f>IFERROR(IF(AND(CE71&lt;&gt;"",CF71&lt;&gt;""),ABS(CE71-CF71)/ABS(CE71)*100,""),"")</f>
        <v/>
      </c>
      <c r="CH71" s="69" t="inlineStr">
        <is>
          <t>ND</t>
        </is>
      </c>
      <c r="CI71" s="67" t="n">
        <v>0.08</v>
      </c>
      <c r="CJ71" s="67" t="n"/>
      <c r="CK71" s="71">
        <f>IFERROR(IF(AND(CI71&lt;&gt;"",CJ71&lt;&gt;""),ABS(CI71-CJ71)/ABS(CI71)*100,""),"")</f>
        <v/>
      </c>
      <c r="CL71" s="69" t="inlineStr">
        <is>
          <t>Claude</t>
        </is>
      </c>
      <c r="CM71" s="67" t="n"/>
      <c r="CN71" s="67" t="n"/>
      <c r="CO71" s="71">
        <f>IFERROR(IF(AND(CM71&lt;&gt;"",CN71&lt;&gt;""),ABS(CM71-CN71)/ABS(CM71)*100,""),"")</f>
        <v/>
      </c>
      <c r="CP71" s="69" t="inlineStr">
        <is>
          <t>ND</t>
        </is>
      </c>
      <c r="CQ71" s="67" t="n">
        <v>0.33</v>
      </c>
      <c r="CR71" s="67" t="n"/>
      <c r="CS71" s="71">
        <f>IFERROR(IF(AND(CQ71&lt;&gt;"",CR71&lt;&gt;""),ABS(CQ71-CR71)/ABS(CQ71)*100,""),"")</f>
        <v/>
      </c>
      <c r="CT71" s="69" t="inlineStr">
        <is>
          <t>Claude</t>
        </is>
      </c>
      <c r="CU71" s="67" t="n">
        <v>0</v>
      </c>
      <c r="CV71" s="67" t="n"/>
      <c r="CW71" s="71">
        <f>IFERROR(IF(AND(CU71&lt;&gt;"",CV71&lt;&gt;""),ABS(CU71-CV71)/ABS(CU71)*100,""),"")</f>
        <v/>
      </c>
      <c r="CX71" s="69" t="inlineStr">
        <is>
          <t>Claude</t>
        </is>
      </c>
      <c r="CY71" s="68" t="n">
        <v>4</v>
      </c>
      <c r="CZ71" s="68" t="n"/>
      <c r="DA71" s="71">
        <f>IFERROR(IF(AND(CY71&lt;&gt;"",CZ71&lt;&gt;""),ABS(CY71-CZ71)/ABS(CY71)*100,""),"")</f>
        <v/>
      </c>
      <c r="DB71" s="69" t="inlineStr">
        <is>
          <t>Claude</t>
        </is>
      </c>
      <c r="DC71" s="68" t="n"/>
      <c r="DD71" s="68" t="n"/>
      <c r="DE71" s="71">
        <f>IFERROR(IF(AND(DC71&lt;&gt;"",DD71&lt;&gt;""),ABS(DC71-DD71)/ABS(DC71)*100,""),"")</f>
        <v/>
      </c>
      <c r="DF71" s="69" t="inlineStr">
        <is>
          <t>ND</t>
        </is>
      </c>
      <c r="DG71" s="68" t="n">
        <v>72.90000000000001</v>
      </c>
      <c r="DH71" s="68" t="n"/>
      <c r="DI71" s="71">
        <f>IFERROR(IF(AND(DG71&lt;&gt;"",DH71&lt;&gt;""),ABS(DG71-DH71)/ABS(DG71)*100,""),"")</f>
        <v/>
      </c>
      <c r="DJ71" s="69" t="inlineStr">
        <is>
          <t>Claude</t>
        </is>
      </c>
      <c r="DK71" s="68" t="n"/>
      <c r="DL71" s="68" t="n"/>
      <c r="DM71" s="71">
        <f>IFERROR(IF(AND(DK71&lt;&gt;"",DL71&lt;&gt;""),ABS(DK71-DL71)/ABS(DK71)*100,""),"")</f>
        <v/>
      </c>
      <c r="DN71" s="69" t="inlineStr">
        <is>
          <t>ND</t>
        </is>
      </c>
      <c r="DO71" s="68" t="n"/>
      <c r="DP71" s="68" t="n"/>
      <c r="DQ71" s="71">
        <f>IFERROR(IF(AND(DO71&lt;&gt;"",DP71&lt;&gt;""),ABS(DO71-DP71)/ABS(DO71)*100,""),"")</f>
        <v/>
      </c>
      <c r="DR71" s="69" t="inlineStr">
        <is>
          <t>ND</t>
        </is>
      </c>
      <c r="DS71" s="68" t="inlineStr">
        <is>
          <t>A</t>
        </is>
      </c>
      <c r="DT71" s="68" t="n"/>
      <c r="DU71" s="71">
        <f>IFERROR(IF(AND(DS71&lt;&gt;"",DT71&lt;&gt;""),ABS(DS71-DT71)/ABS(DS71)*100,""),"")</f>
        <v/>
      </c>
      <c r="DV71" s="69" t="inlineStr">
        <is>
          <t>Claude</t>
        </is>
      </c>
      <c r="DW71" s="70" t="inlineStr">
        <is>
          <t>Claude only (DeepSeek pending). Source=2022 report, only report covering 2021 (2025 report shows na for 2021). Ind.7/8=ND (disability headcount=92, foreign headcount=12). Ind.11=14 (%), Female Board Directors - first year with data. Ind.21=0.08, PROXY. Ind.23=0.33, same 200,000-hr unit caveat. Ind.25=4, itemized COVID actions (2020's count of 1 from the 2020 report was retracted by this same 2022 report - see below). Ind.27=72.9, 'Employee immersiveness' score - this metric disappears entirely in the 2025 report (see 2022 note). Ind.30='A', KCGS rating tied specifically to 2021 - no other year in SKC's history has a confirmed KCGS grade. || DEEPSEEK RECONCILIATION - MANUAL FLAGS: Ind.1 (Contract Workers%): Claude=2.58, DeepSeek=7.2081, Diff=179.4%; Ind.2 (Female Permanent%): Claude=9.98, DeepSeek=12.8008, Diff=28.3%; Ind.3 (Female Contract%): Claude=49.25, DeepSeek=35.9154, Diff=27.1%</t>
        </is>
      </c>
    </row>
    <row r="72" ht="15.75" customHeight="1" s="43">
      <c r="A72" s="62" t="n"/>
      <c r="B72" s="62" t="n"/>
      <c r="C72" s="62" t="inlineStr">
        <is>
          <t>Materials</t>
        </is>
      </c>
      <c r="D72" s="62" t="inlineStr">
        <is>
          <t>2022</t>
        </is>
      </c>
      <c r="E72" s="63" t="inlineStr">
        <is>
          <t>SKC_2025.pdf (only report covering 2022)</t>
        </is>
      </c>
      <c r="F72" s="62" t="n"/>
      <c r="G72" s="64" t="n">
        <v>7.21</v>
      </c>
      <c r="H72" s="64" t="n">
        <v>8.9093</v>
      </c>
      <c r="I72" s="65">
        <f>IFERROR(IF(AND(G72&lt;&gt;"",H72&lt;&gt;""),ABS(G72-H72)/ABS(G72)*100,""),"")</f>
        <v/>
      </c>
      <c r="J72" s="66" t="inlineStr">
        <is>
          <t>MANUAL FLAG</t>
        </is>
      </c>
      <c r="K72" s="64" t="n">
        <v>12.8</v>
      </c>
      <c r="L72" s="64" t="n">
        <v>14.8398</v>
      </c>
      <c r="M72" s="65">
        <f>IFERROR(IF(AND(K72&lt;&gt;"",L72&lt;&gt;""),ABS(K72-L72)/ABS(K72)*100,""),"")</f>
        <v/>
      </c>
      <c r="N72" s="66" t="inlineStr">
        <is>
          <t>MANUAL FLAG</t>
        </is>
      </c>
      <c r="O72" s="64" t="n">
        <v>35.92</v>
      </c>
      <c r="P72" s="64" t="n">
        <v>31.8965</v>
      </c>
      <c r="Q72" s="65">
        <f>IFERROR(IF(AND(O72&lt;&gt;"",P72&lt;&gt;""),ABS(O72-P72)/ABS(O72)*100,""),"")</f>
        <v/>
      </c>
      <c r="R72" s="66" t="inlineStr">
        <is>
          <t>MANUAL FLAG</t>
        </is>
      </c>
      <c r="S72" s="64" t="n">
        <v>14.72</v>
      </c>
      <c r="T72" s="64" t="n">
        <v>22.2734</v>
      </c>
      <c r="U72" s="65">
        <f>IFERROR(IF(AND(S72&lt;&gt;"",T72&lt;&gt;""),ABS(S72-T72)/ABS(S72)*100,""),"")</f>
        <v/>
      </c>
      <c r="V72" s="66" t="inlineStr">
        <is>
          <t>MANUAL FLAG</t>
        </is>
      </c>
      <c r="W72" s="67" t="n"/>
      <c r="X72" s="67" t="n"/>
      <c r="Y72" s="65">
        <f>IFERROR(IF(AND(W72&lt;&gt;"",X72&lt;&gt;""),ABS(W72-X72)/ABS(W72)*100,""),"")</f>
        <v/>
      </c>
      <c r="Z72" s="62" t="inlineStr">
        <is>
          <t>ND</t>
        </is>
      </c>
      <c r="AA72" s="67" t="n">
        <v>31.2</v>
      </c>
      <c r="AB72" s="67" t="n">
        <v>31.7241</v>
      </c>
      <c r="AC72" s="65">
        <f>IFERROR(IF(AND(AA72&lt;&gt;"",AB72&lt;&gt;""),ABS(AA72-AB72)/ABS(AA72)*100,""),"")</f>
        <v/>
      </c>
      <c r="AD72" s="62" t="inlineStr">
        <is>
          <t>Claude</t>
        </is>
      </c>
      <c r="AE72" s="67" t="n"/>
      <c r="AF72" s="67" t="n"/>
      <c r="AG72" s="65">
        <f>IFERROR(IF(AND(AE72&lt;&gt;"",AF72&lt;&gt;""),ABS(AE72-AF72)/ABS(AE72)*100,""),"")</f>
        <v/>
      </c>
      <c r="AH72" s="62" t="inlineStr">
        <is>
          <t>ND</t>
        </is>
      </c>
      <c r="AI72" s="67" t="n"/>
      <c r="AJ72" s="67" t="n"/>
      <c r="AK72" s="65">
        <f>IFERROR(IF(AND(AI72&lt;&gt;"",AJ72&lt;&gt;""),ABS(AI72-AJ72)/ABS(AI72)*100,""),"")</f>
        <v/>
      </c>
      <c r="AL72" s="62" t="inlineStr">
        <is>
          <t>ND</t>
        </is>
      </c>
      <c r="AM72" s="67" t="n">
        <v>13.15</v>
      </c>
      <c r="AN72" s="67" t="n"/>
      <c r="AO72" s="65">
        <f>IFERROR(IF(AND(AM72&lt;&gt;"",AN72&lt;&gt;""),ABS(AM72-AN72)/ABS(AM72)*100,""),"")</f>
        <v/>
      </c>
      <c r="AP72" s="62" t="inlineStr">
        <is>
          <t>Claude</t>
        </is>
      </c>
      <c r="AQ72" s="67" t="n">
        <v>3.45</v>
      </c>
      <c r="AR72" s="67" t="n">
        <v>3.4483</v>
      </c>
      <c r="AS72" s="65">
        <f>IFERROR(IF(AND(AQ72&lt;&gt;"",AR72&lt;&gt;""),ABS(AQ72-AR72)/ABS(AQ72)*100,""),"")</f>
        <v/>
      </c>
      <c r="AT72" s="62" t="inlineStr">
        <is>
          <t>Claude</t>
        </is>
      </c>
      <c r="AU72" s="67" t="n"/>
      <c r="AV72" s="67" t="n">
        <v>14.2857</v>
      </c>
      <c r="AW72" s="65">
        <f>IFERROR(IF(AND(AU72&lt;&gt;"",AV72&lt;&gt;""),ABS(AU72-AV72)/ABS(AU72)*100,""),"")</f>
        <v/>
      </c>
      <c r="AX72" s="62" t="inlineStr">
        <is>
          <t>DeepSeek</t>
        </is>
      </c>
      <c r="AY72" s="67" t="n"/>
      <c r="AZ72" s="67" t="n"/>
      <c r="BA72" s="65">
        <f>IFERROR(IF(AND(AY72&lt;&gt;"",AZ72&lt;&gt;""),ABS(AY72-AZ72)/ABS(AY72)*100,""),"")</f>
        <v/>
      </c>
      <c r="BB72" s="62" t="inlineStr">
        <is>
          <t>ND</t>
        </is>
      </c>
      <c r="BC72" s="67" t="n">
        <v>0</v>
      </c>
      <c r="BD72" s="67" t="n">
        <v>0</v>
      </c>
      <c r="BE72" s="65">
        <f>IFERROR(IF(AND(BC72&lt;&gt;"",BD72&lt;&gt;""),ABS(BC72-BD72)/ABS(BC72)*100,""),"")</f>
        <v/>
      </c>
      <c r="BF72" s="62" t="inlineStr">
        <is>
          <t>Claude</t>
        </is>
      </c>
      <c r="BG72" s="67" t="n">
        <v>2348000</v>
      </c>
      <c r="BH72" s="67" t="n">
        <v>2348000</v>
      </c>
      <c r="BI72" s="65">
        <f>IFERROR(IF(AND(BG72&lt;&gt;"",BH72&lt;&gt;""),ABS(BG72-BH72)/ABS(BG72)*100,""),"")</f>
        <v/>
      </c>
      <c r="BJ72" s="62" t="inlineStr">
        <is>
          <t>Claude</t>
        </is>
      </c>
      <c r="BK72" s="67" t="n">
        <v>32.9</v>
      </c>
      <c r="BL72" s="67" t="n">
        <v>32.9</v>
      </c>
      <c r="BM72" s="65">
        <f>IFERROR(IF(AND(BK72&lt;&gt;"",BL72&lt;&gt;""),ABS(BK72-BL72)/ABS(BK72)*100,""),"")</f>
        <v/>
      </c>
      <c r="BN72" s="62" t="inlineStr">
        <is>
          <t>Claude</t>
        </is>
      </c>
      <c r="BO72" s="67" t="n">
        <v>22</v>
      </c>
      <c r="BP72" s="67" t="n">
        <v>22</v>
      </c>
      <c r="BQ72" s="65">
        <f>IFERROR(IF(AND(BO72&lt;&gt;"",BP72&lt;&gt;""),ABS(BO72-BP72)/ABS(BO72)*100,""),"")</f>
        <v/>
      </c>
      <c r="BR72" s="62" t="inlineStr">
        <is>
          <t>Claude</t>
        </is>
      </c>
      <c r="BS72" s="67" t="n">
        <v>8</v>
      </c>
      <c r="BT72" s="67" t="n">
        <v>8</v>
      </c>
      <c r="BU72" s="65">
        <f>IFERROR(IF(AND(BS72&lt;&gt;"",BT72&lt;&gt;""),ABS(BS72-BT72)/ABS(BS72)*100,""),"")</f>
        <v/>
      </c>
      <c r="BV72" s="62" t="inlineStr">
        <is>
          <t>Claude</t>
        </is>
      </c>
      <c r="BW72" s="67" t="n">
        <v>70</v>
      </c>
      <c r="BX72" s="67" t="n">
        <v>70</v>
      </c>
      <c r="BY72" s="65">
        <f>IFERROR(IF(AND(BW72&lt;&gt;"",BX72&lt;&gt;""),ABS(BW72-BX72)/ABS(BW72)*100,""),"")</f>
        <v/>
      </c>
      <c r="BZ72" s="62" t="inlineStr">
        <is>
          <t>Claude</t>
        </is>
      </c>
      <c r="CA72" s="67" t="n">
        <v>11.1</v>
      </c>
      <c r="CB72" s="67" t="n">
        <v>11.1</v>
      </c>
      <c r="CC72" s="65">
        <f>IFERROR(IF(AND(CA72&lt;&gt;"",CB72&lt;&gt;""),ABS(CA72-CB72)/ABS(CA72)*100,""),"")</f>
        <v/>
      </c>
      <c r="CD72" s="62" t="inlineStr">
        <is>
          <t>Claude</t>
        </is>
      </c>
      <c r="CE72" s="67" t="n">
        <v>6.6</v>
      </c>
      <c r="CF72" s="67" t="n"/>
      <c r="CG72" s="65">
        <f>IFERROR(IF(AND(CE72&lt;&gt;"",CF72&lt;&gt;""),ABS(CE72-CF72)/ABS(CE72)*100,""),"")</f>
        <v/>
      </c>
      <c r="CH72" s="62" t="inlineStr">
        <is>
          <t>Claude</t>
        </is>
      </c>
      <c r="CI72" s="67" t="n">
        <v>2.44</v>
      </c>
      <c r="CJ72" s="67" t="n"/>
      <c r="CK72" s="65">
        <f>IFERROR(IF(AND(CI72&lt;&gt;"",CJ72&lt;&gt;""),ABS(CI72-CJ72)/ABS(CI72)*100,""),"")</f>
        <v/>
      </c>
      <c r="CL72" s="62" t="inlineStr">
        <is>
          <t>Claude</t>
        </is>
      </c>
      <c r="CM72" s="67" t="n">
        <v>100</v>
      </c>
      <c r="CN72" s="67" t="n">
        <v>100</v>
      </c>
      <c r="CO72" s="65">
        <f>IFERROR(IF(AND(CM72&lt;&gt;"",CN72&lt;&gt;""),ABS(CM72-CN72)/ABS(CM72)*100,""),"")</f>
        <v/>
      </c>
      <c r="CP72" s="62" t="inlineStr">
        <is>
          <t>Claude</t>
        </is>
      </c>
      <c r="CQ72" s="64" t="n">
        <v>3.27</v>
      </c>
      <c r="CR72" s="64" t="n">
        <v>2.93</v>
      </c>
      <c r="CS72" s="65">
        <f>IFERROR(IF(AND(CQ72&lt;&gt;"",CR72&lt;&gt;""),ABS(CQ72-CR72)/ABS(CQ72)*100,""),"")</f>
        <v/>
      </c>
      <c r="CT72" s="66" t="inlineStr">
        <is>
          <t>MANUAL FLAG</t>
        </is>
      </c>
      <c r="CU72" s="67" t="n">
        <v>0</v>
      </c>
      <c r="CV72" s="67" t="n">
        <v>0</v>
      </c>
      <c r="CW72" s="65">
        <f>IFERROR(IF(AND(CU72&lt;&gt;"",CV72&lt;&gt;""),ABS(CU72-CV72)/ABS(CU72)*100,""),"")</f>
        <v/>
      </c>
      <c r="CX72" s="62" t="inlineStr">
        <is>
          <t>Claude</t>
        </is>
      </c>
      <c r="CY72" s="68" t="n"/>
      <c r="CZ72" s="68" t="n"/>
      <c r="DA72" s="65">
        <f>IFERROR(IF(AND(CY72&lt;&gt;"",CZ72&lt;&gt;""),ABS(CY72-CZ72)/ABS(CY72)*100,""),"")</f>
        <v/>
      </c>
      <c r="DB72" s="62" t="inlineStr">
        <is>
          <t>ND</t>
        </is>
      </c>
      <c r="DC72" s="68" t="n"/>
      <c r="DD72" s="68" t="n"/>
      <c r="DE72" s="65">
        <f>IFERROR(IF(AND(DC72&lt;&gt;"",DD72&lt;&gt;""),ABS(DC72-DD72)/ABS(DC72)*100,""),"")</f>
        <v/>
      </c>
      <c r="DF72" s="62" t="inlineStr">
        <is>
          <t>ND</t>
        </is>
      </c>
      <c r="DG72" s="68" t="n"/>
      <c r="DH72" s="68" t="n"/>
      <c r="DI72" s="65">
        <f>IFERROR(IF(AND(DG72&lt;&gt;"",DH72&lt;&gt;""),ABS(DG72-DH72)/ABS(DG72)*100,""),"")</f>
        <v/>
      </c>
      <c r="DJ72" s="62" t="inlineStr">
        <is>
          <t>ND</t>
        </is>
      </c>
      <c r="DK72" s="68" t="n"/>
      <c r="DL72" s="68" t="n"/>
      <c r="DM72" s="65">
        <f>IFERROR(IF(AND(DK72&lt;&gt;"",DL72&lt;&gt;""),ABS(DK72-DL72)/ABS(DK72)*100,""),"")</f>
        <v/>
      </c>
      <c r="DN72" s="62" t="inlineStr">
        <is>
          <t>ND</t>
        </is>
      </c>
      <c r="DO72" s="68" t="n"/>
      <c r="DP72" s="68" t="n"/>
      <c r="DQ72" s="65">
        <f>IFERROR(IF(AND(DO72&lt;&gt;"",DP72&lt;&gt;""),ABS(DO72-DP72)/ABS(DO72)*100,""),"")</f>
        <v/>
      </c>
      <c r="DR72" s="62" t="inlineStr">
        <is>
          <t>ND</t>
        </is>
      </c>
      <c r="DS72" s="68" t="n"/>
      <c r="DT72" s="68" t="n"/>
      <c r="DU72" s="65">
        <f>IFERROR(IF(AND(DS72&lt;&gt;"",DT72&lt;&gt;""),ABS(DS72-DT72)/ABS(DS72)*100,""),"")</f>
        <v/>
      </c>
      <c r="DV72" s="62" t="inlineStr">
        <is>
          <t>ND</t>
        </is>
      </c>
      <c r="DW72" s="63" t="inlineStr">
        <is>
          <t>Claude only (DeepSeek pending). Source=2025 report (most recent), first year of a new 3-year disclosure window. Ind.1 jumps to 7.21 from 2021's 2.58 - a large jump; possible category/methodology refinement in this report edition, worth verifying against source PDF if the trend matters to your analysis. Ind.2 also jumps to 12.80 from ~9-10% in 2019-2021 - same caution. Ind.7/8=ND (disability headcount=45, foreign headcount=20, no total workforce given). Ind.9/10 (Female Middle Managers/Executives) - NEW, first time this data is available for SKC (calculated cleanly from isolable sub-categories). Ind.11=na: 2025 report only has a current May-2025 snapshot (28.57%), not year-indexed, so not usable for this trend year - RETRACTS the 2021 report's confirmed 14% for that year, but doesn't provide anything new for 2022 itself. Ind.13=0.0, PROXY: this edition explicitly scopes the pay-gap figure to ENTRY-LEVEL base salary only, likely understating any gap at management/executive levels - flag as narrower than 2019-2021's methodology. Ind.14: no longer HQ-only scoped (see 2019-2021 notes) - broader/more representative going forward. Ind.20 (Voluntary Turnover) - NEW, first direct disclosure (previously only conflated total-turnover existed, correctly excluded). Ind.21=2.44, PROXY - DIFFERENT METHOD than 2019-2021's 'layoff %' approach (this edition uses a residual: Total Turnover - Voluntary), not comparable to earlier proxy values. Ind.22 (Union Membership) - NEW, first direct disclosure. Ind.23=3.27, UNIT CHANGE: now reported as cases per 1,000,000 hours (standard LTIFR unit) vs 2019-2021's per-200,000-hours - roughly comparable in magnitude after ×5 conversion of earlier values, but not directly comparable as printed. Ind.27=na: 'Employee immersiveness' score from 2019-2021 no longer disclosed - RETRACTION, though likely reflects discontinued disclosure rather than data loss. || DEEPSEEK RECONCILIATION - MANUAL FLAGS: Ind.1 (Contract Workers%): Claude=7.21, DeepSeek=8.9093, Diff=23.6%; Ind.2 (Female Permanent%): Claude=12.8, DeepSeek=14.8398, Diff=15.9%; Ind.3 (Female Contract%): Claude=35.92, DeepSeek=31.8965, Diff=11.2%; Ind.4 (New Hire Rate): Claude=14.72, DeepSeek=22.2734, Diff=51.3%; Ind.23 (LTIFR): Claude=3.27, DeepSeek=2.93, Diff=10.4%</t>
        </is>
      </c>
    </row>
    <row r="73" ht="15.75" customHeight="1" s="43">
      <c r="A73" s="69" t="n"/>
      <c r="B73" s="69" t="n"/>
      <c r="C73" s="69" t="inlineStr">
        <is>
          <t>Materials</t>
        </is>
      </c>
      <c r="D73" s="69" t="inlineStr">
        <is>
          <t>2023</t>
        </is>
      </c>
      <c r="E73" s="70" t="inlineStr">
        <is>
          <t>SKC_2025.pdf</t>
        </is>
      </c>
      <c r="F73" s="69" t="n"/>
      <c r="G73" s="64" t="n">
        <v>8.91</v>
      </c>
      <c r="H73" s="64" t="n">
        <v>12.2261</v>
      </c>
      <c r="I73" s="71">
        <f>IFERROR(IF(AND(G73&lt;&gt;"",H73&lt;&gt;""),ABS(G73-H73)/ABS(G73)*100,""),"")</f>
        <v/>
      </c>
      <c r="J73" s="66" t="inlineStr">
        <is>
          <t>MANUAL FLAG</t>
        </is>
      </c>
      <c r="K73" s="64" t="n">
        <v>14.42</v>
      </c>
      <c r="L73" s="64" t="n">
        <v>21.7391</v>
      </c>
      <c r="M73" s="71">
        <f>IFERROR(IF(AND(K73&lt;&gt;"",L73&lt;&gt;""),ABS(K73-L73)/ABS(K73)*100,""),"")</f>
        <v/>
      </c>
      <c r="N73" s="66" t="inlineStr">
        <is>
          <t>MANUAL FLAG</t>
        </is>
      </c>
      <c r="O73" s="64" t="n">
        <v>36.21</v>
      </c>
      <c r="P73" s="64" t="n">
        <v>20.8092</v>
      </c>
      <c r="Q73" s="71">
        <f>IFERROR(IF(AND(O73&lt;&gt;"",P73&lt;&gt;""),ABS(O73-P73)/ABS(O73)*100,""),"")</f>
        <v/>
      </c>
      <c r="R73" s="66" t="inlineStr">
        <is>
          <t>MANUAL FLAG</t>
        </is>
      </c>
      <c r="S73" s="64" t="n">
        <v>12.21</v>
      </c>
      <c r="T73" s="64" t="n">
        <v>11.2367</v>
      </c>
      <c r="U73" s="71">
        <f>IFERROR(IF(AND(S73&lt;&gt;"",T73&lt;&gt;""),ABS(S73-T73)/ABS(S73)*100,""),"")</f>
        <v/>
      </c>
      <c r="V73" s="66" t="inlineStr">
        <is>
          <t>MANUAL FLAG</t>
        </is>
      </c>
      <c r="W73" s="67" t="n"/>
      <c r="X73" s="67" t="n"/>
      <c r="Y73" s="71">
        <f>IFERROR(IF(AND(W73&lt;&gt;"",X73&lt;&gt;""),ABS(W73-X73)/ABS(W73)*100,""),"")</f>
        <v/>
      </c>
      <c r="Z73" s="69" t="inlineStr">
        <is>
          <t>ND</t>
        </is>
      </c>
      <c r="AA73" s="67" t="n">
        <v>28.9</v>
      </c>
      <c r="AB73" s="67" t="n">
        <v>28.9308</v>
      </c>
      <c r="AC73" s="71">
        <f>IFERROR(IF(AND(AA73&lt;&gt;"",AB73&lt;&gt;""),ABS(AA73-AB73)/ABS(AA73)*100,""),"")</f>
        <v/>
      </c>
      <c r="AD73" s="69" t="inlineStr">
        <is>
          <t>Claude</t>
        </is>
      </c>
      <c r="AE73" s="67" t="n"/>
      <c r="AF73" s="67" t="n"/>
      <c r="AG73" s="71">
        <f>IFERROR(IF(AND(AE73&lt;&gt;"",AF73&lt;&gt;""),ABS(AE73-AF73)/ABS(AE73)*100,""),"")</f>
        <v/>
      </c>
      <c r="AH73" s="69" t="inlineStr">
        <is>
          <t>ND</t>
        </is>
      </c>
      <c r="AI73" s="67" t="n"/>
      <c r="AJ73" s="67" t="n"/>
      <c r="AK73" s="71">
        <f>IFERROR(IF(AND(AI73&lt;&gt;"",AJ73&lt;&gt;""),ABS(AI73-AJ73)/ABS(AI73)*100,""),"")</f>
        <v/>
      </c>
      <c r="AL73" s="69" t="inlineStr">
        <is>
          <t>ND</t>
        </is>
      </c>
      <c r="AM73" s="67" t="n">
        <v>13.2</v>
      </c>
      <c r="AN73" s="67" t="n"/>
      <c r="AO73" s="71">
        <f>IFERROR(IF(AND(AM73&lt;&gt;"",AN73&lt;&gt;""),ABS(AM73-AN73)/ABS(AM73)*100,""),"")</f>
        <v/>
      </c>
      <c r="AP73" s="69" t="inlineStr">
        <is>
          <t>Claude</t>
        </is>
      </c>
      <c r="AQ73" s="67" t="n">
        <v>7.94</v>
      </c>
      <c r="AR73" s="67" t="n">
        <v>7.9365</v>
      </c>
      <c r="AS73" s="71">
        <f>IFERROR(IF(AND(AQ73&lt;&gt;"",AR73&lt;&gt;""),ABS(AQ73-AR73)/ABS(AQ73)*100,""),"")</f>
        <v/>
      </c>
      <c r="AT73" s="69" t="inlineStr">
        <is>
          <t>Claude</t>
        </is>
      </c>
      <c r="AU73" s="67" t="n"/>
      <c r="AV73" s="67" t="n">
        <v>28.5714</v>
      </c>
      <c r="AW73" s="71">
        <f>IFERROR(IF(AND(AU73&lt;&gt;"",AV73&lt;&gt;""),ABS(AU73-AV73)/ABS(AU73)*100,""),"")</f>
        <v/>
      </c>
      <c r="AX73" s="69" t="inlineStr">
        <is>
          <t>DeepSeek</t>
        </is>
      </c>
      <c r="AY73" s="67" t="n"/>
      <c r="AZ73" s="67" t="n"/>
      <c r="BA73" s="71">
        <f>IFERROR(IF(AND(AY73&lt;&gt;"",AZ73&lt;&gt;""),ABS(AY73-AZ73)/ABS(AY73)*100,""),"")</f>
        <v/>
      </c>
      <c r="BB73" s="69" t="inlineStr">
        <is>
          <t>ND</t>
        </is>
      </c>
      <c r="BC73" s="67" t="n">
        <v>0</v>
      </c>
      <c r="BD73" s="67" t="n">
        <v>0</v>
      </c>
      <c r="BE73" s="71">
        <f>IFERROR(IF(AND(BC73&lt;&gt;"",BD73&lt;&gt;""),ABS(BC73-BD73)/ABS(BC73)*100,""),"")</f>
        <v/>
      </c>
      <c r="BF73" s="69" t="inlineStr">
        <is>
          <t>Claude</t>
        </is>
      </c>
      <c r="BG73" s="67" t="n">
        <v>3791000</v>
      </c>
      <c r="BH73" s="67" t="n">
        <v>3791000</v>
      </c>
      <c r="BI73" s="71">
        <f>IFERROR(IF(AND(BG73&lt;&gt;"",BH73&lt;&gt;""),ABS(BG73-BH73)/ABS(BG73)*100,""),"")</f>
        <v/>
      </c>
      <c r="BJ73" s="69" t="inlineStr">
        <is>
          <t>Claude</t>
        </is>
      </c>
      <c r="BK73" s="67" t="n">
        <v>35.9</v>
      </c>
      <c r="BL73" s="67" t="n">
        <v>35.9</v>
      </c>
      <c r="BM73" s="71">
        <f>IFERROR(IF(AND(BK73&lt;&gt;"",BL73&lt;&gt;""),ABS(BK73-BL73)/ABS(BK73)*100,""),"")</f>
        <v/>
      </c>
      <c r="BN73" s="69" t="inlineStr">
        <is>
          <t>Claude</t>
        </is>
      </c>
      <c r="BO73" s="67" t="n">
        <v>16</v>
      </c>
      <c r="BP73" s="67" t="n">
        <v>16</v>
      </c>
      <c r="BQ73" s="71">
        <f>IFERROR(IF(AND(BO73&lt;&gt;"",BP73&lt;&gt;""),ABS(BO73-BP73)/ABS(BO73)*100,""),"")</f>
        <v/>
      </c>
      <c r="BR73" s="69" t="inlineStr">
        <is>
          <t>Claude</t>
        </is>
      </c>
      <c r="BS73" s="67" t="n">
        <v>11</v>
      </c>
      <c r="BT73" s="67" t="n">
        <v>11</v>
      </c>
      <c r="BU73" s="71">
        <f>IFERROR(IF(AND(BS73&lt;&gt;"",BT73&lt;&gt;""),ABS(BS73-BT73)/ABS(BS73)*100,""),"")</f>
        <v/>
      </c>
      <c r="BV73" s="69" t="inlineStr">
        <is>
          <t>Claude</t>
        </is>
      </c>
      <c r="BW73" s="67" t="n">
        <v>87.5</v>
      </c>
      <c r="BX73" s="67" t="n">
        <v>87.5</v>
      </c>
      <c r="BY73" s="71">
        <f>IFERROR(IF(AND(BW73&lt;&gt;"",BX73&lt;&gt;""),ABS(BW73-BX73)/ABS(BW73)*100,""),"")</f>
        <v/>
      </c>
      <c r="BZ73" s="69" t="inlineStr">
        <is>
          <t>Claude</t>
        </is>
      </c>
      <c r="CA73" s="67" t="n">
        <v>11.1</v>
      </c>
      <c r="CB73" s="67" t="n">
        <v>11.1</v>
      </c>
      <c r="CC73" s="71">
        <f>IFERROR(IF(AND(CA73&lt;&gt;"",CB73&lt;&gt;""),ABS(CA73-CB73)/ABS(CA73)*100,""),"")</f>
        <v/>
      </c>
      <c r="CD73" s="69" t="inlineStr">
        <is>
          <t>Claude</t>
        </is>
      </c>
      <c r="CE73" s="67" t="n">
        <v>7.3</v>
      </c>
      <c r="CF73" s="67" t="n"/>
      <c r="CG73" s="71">
        <f>IFERROR(IF(AND(CE73&lt;&gt;"",CF73&lt;&gt;""),ABS(CE73-CF73)/ABS(CE73)*100,""),"")</f>
        <v/>
      </c>
      <c r="CH73" s="69" t="inlineStr">
        <is>
          <t>Claude</t>
        </is>
      </c>
      <c r="CI73" s="67" t="n">
        <v>3.3</v>
      </c>
      <c r="CJ73" s="67" t="n"/>
      <c r="CK73" s="71">
        <f>IFERROR(IF(AND(CI73&lt;&gt;"",CJ73&lt;&gt;""),ABS(CI73-CJ73)/ABS(CI73)*100,""),"")</f>
        <v/>
      </c>
      <c r="CL73" s="69" t="inlineStr">
        <is>
          <t>Claude</t>
        </is>
      </c>
      <c r="CM73" s="67" t="n">
        <v>86.90000000000001</v>
      </c>
      <c r="CN73" s="67" t="n">
        <v>86.90000000000001</v>
      </c>
      <c r="CO73" s="71">
        <f>IFERROR(IF(AND(CM73&lt;&gt;"",CN73&lt;&gt;""),ABS(CM73-CN73)/ABS(CM73)*100,""),"")</f>
        <v/>
      </c>
      <c r="CP73" s="69" t="inlineStr">
        <is>
          <t>Claude</t>
        </is>
      </c>
      <c r="CQ73" s="64" t="n">
        <v>2.15</v>
      </c>
      <c r="CR73" s="64" t="n">
        <v>2.28</v>
      </c>
      <c r="CS73" s="71">
        <f>IFERROR(IF(AND(CQ73&lt;&gt;"",CR73&lt;&gt;""),ABS(CQ73-CR73)/ABS(CQ73)*100,""),"")</f>
        <v/>
      </c>
      <c r="CT73" s="66" t="inlineStr">
        <is>
          <t>MANUAL FLAG</t>
        </is>
      </c>
      <c r="CU73" s="67" t="n">
        <v>0</v>
      </c>
      <c r="CV73" s="67" t="n">
        <v>0</v>
      </c>
      <c r="CW73" s="71">
        <f>IFERROR(IF(AND(CU73&lt;&gt;"",CV73&lt;&gt;""),ABS(CU73-CV73)/ABS(CU73)*100,""),"")</f>
        <v/>
      </c>
      <c r="CX73" s="69" t="inlineStr">
        <is>
          <t>Claude</t>
        </is>
      </c>
      <c r="CY73" s="68" t="n"/>
      <c r="CZ73" s="68" t="n"/>
      <c r="DA73" s="71">
        <f>IFERROR(IF(AND(CY73&lt;&gt;"",CZ73&lt;&gt;""),ABS(CY73-CZ73)/ABS(CY73)*100,""),"")</f>
        <v/>
      </c>
      <c r="DB73" s="69" t="inlineStr">
        <is>
          <t>ND</t>
        </is>
      </c>
      <c r="DC73" s="68" t="n"/>
      <c r="DD73" s="68" t="n"/>
      <c r="DE73" s="71">
        <f>IFERROR(IF(AND(DC73&lt;&gt;"",DD73&lt;&gt;""),ABS(DC73-DD73)/ABS(DC73)*100,""),"")</f>
        <v/>
      </c>
      <c r="DF73" s="69" t="inlineStr">
        <is>
          <t>ND</t>
        </is>
      </c>
      <c r="DG73" s="68" t="n"/>
      <c r="DH73" s="68" t="n"/>
      <c r="DI73" s="71">
        <f>IFERROR(IF(AND(DG73&lt;&gt;"",DH73&lt;&gt;""),ABS(DG73-DH73)/ABS(DG73)*100,""),"")</f>
        <v/>
      </c>
      <c r="DJ73" s="69" t="inlineStr">
        <is>
          <t>ND</t>
        </is>
      </c>
      <c r="DK73" s="68" t="n"/>
      <c r="DL73" s="68" t="n"/>
      <c r="DM73" s="71">
        <f>IFERROR(IF(AND(DK73&lt;&gt;"",DL73&lt;&gt;""),ABS(DK73-DL73)/ABS(DK73)*100,""),"")</f>
        <v/>
      </c>
      <c r="DN73" s="69" t="inlineStr">
        <is>
          <t>ND</t>
        </is>
      </c>
      <c r="DO73" s="68" t="n"/>
      <c r="DP73" s="68" t="n"/>
      <c r="DQ73" s="71">
        <f>IFERROR(IF(AND(DO73&lt;&gt;"",DP73&lt;&gt;""),ABS(DO73-DP73)/ABS(DO73)*100,""),"")</f>
        <v/>
      </c>
      <c r="DR73" s="69" t="inlineStr">
        <is>
          <t>ND</t>
        </is>
      </c>
      <c r="DS73" s="68" t="n"/>
      <c r="DT73" s="68" t="n"/>
      <c r="DU73" s="71">
        <f>IFERROR(IF(AND(DS73&lt;&gt;"",DT73&lt;&gt;""),ABS(DS73-DT73)/ABS(DS73)*100,""),"")</f>
        <v/>
      </c>
      <c r="DV73" s="69" t="inlineStr">
        <is>
          <t>ND</t>
        </is>
      </c>
      <c r="DW73" s="70" t="inlineStr">
        <is>
          <t>Claude only (DeepSeek pending). Source=2025 report. Ind.7/8=ND (disability headcount=32, foreign headcount=20). Ind.8(New Female)=28.9 - source itself flags an internal inconsistency for 2022's figure (printed 31.2% vs recalculated 31.72%) though this note applies to 2022, not 2023 specifically. Ind.13=0.0, PROXY (entry-level only, see 2022 note). Ind.21=3.30, PROXY (residual method). || DEEPSEEK RECONCILIATION - MANUAL FLAGS: Ind.1 (Contract Workers%): Claude=8.91, DeepSeek=12.2261, Diff=37.2%; Ind.2 (Female Permanent%): Claude=14.42, DeepSeek=21.7391, Diff=50.8%; Ind.3 (Female Contract%): Claude=36.21, DeepSeek=20.8092, Diff=42.5%; Ind.4 (New Hire Rate): Claude=12.21, DeepSeek=11.2367, Diff=8.0%; Ind.23 (LTIFR): Claude=2.15, DeepSeek=2.28, Diff=6.0%</t>
        </is>
      </c>
    </row>
    <row r="74" ht="15.75" customHeight="1" s="43">
      <c r="A74" s="62" t="n"/>
      <c r="B74" s="62" t="n"/>
      <c r="C74" s="62" t="inlineStr">
        <is>
          <t>Materials</t>
        </is>
      </c>
      <c r="D74" s="62" t="inlineStr">
        <is>
          <t>2024</t>
        </is>
      </c>
      <c r="E74" s="63" t="inlineStr">
        <is>
          <t>SKC_2025.pdf</t>
        </is>
      </c>
      <c r="F74" s="62" t="n"/>
      <c r="G74" s="67" t="n">
        <v>12.23</v>
      </c>
      <c r="H74" s="67" t="n">
        <v>12.2261</v>
      </c>
      <c r="I74" s="65">
        <f>IFERROR(IF(AND(G74&lt;&gt;"",H74&lt;&gt;""),ABS(G74-H74)/ABS(G74)*100,""),"")</f>
        <v/>
      </c>
      <c r="J74" s="62" t="inlineStr">
        <is>
          <t>Claude</t>
        </is>
      </c>
      <c r="K74" s="64" t="n">
        <v>20.37</v>
      </c>
      <c r="L74" s="64" t="n">
        <v>21.7391</v>
      </c>
      <c r="M74" s="65">
        <f>IFERROR(IF(AND(K74&lt;&gt;"",L74&lt;&gt;""),ABS(K74-L74)/ABS(K74)*100,""),"")</f>
        <v/>
      </c>
      <c r="N74" s="66" t="inlineStr">
        <is>
          <t>MANUAL FLAG</t>
        </is>
      </c>
      <c r="O74" s="64" t="n">
        <v>30.64</v>
      </c>
      <c r="P74" s="64" t="n">
        <v>20.8092</v>
      </c>
      <c r="Q74" s="65">
        <f>IFERROR(IF(AND(O74&lt;&gt;"",P74&lt;&gt;""),ABS(O74-P74)/ABS(O74)*100,""),"")</f>
        <v/>
      </c>
      <c r="R74" s="66" t="inlineStr">
        <is>
          <t>MANUAL FLAG</t>
        </is>
      </c>
      <c r="S74" s="67" t="n">
        <v>7.42</v>
      </c>
      <c r="T74" s="67" t="n">
        <v>7.4205</v>
      </c>
      <c r="U74" s="65">
        <f>IFERROR(IF(AND(S74&lt;&gt;"",T74&lt;&gt;""),ABS(S74-T74)/ABS(S74)*100,""),"")</f>
        <v/>
      </c>
      <c r="V74" s="62" t="inlineStr">
        <is>
          <t>Claude</t>
        </is>
      </c>
      <c r="W74" s="67" t="n"/>
      <c r="X74" s="67" t="n"/>
      <c r="Y74" s="65">
        <f>IFERROR(IF(AND(W74&lt;&gt;"",X74&lt;&gt;""),ABS(W74-X74)/ABS(W74)*100,""),"")</f>
        <v/>
      </c>
      <c r="Z74" s="62" t="inlineStr">
        <is>
          <t>ND</t>
        </is>
      </c>
      <c r="AA74" s="67" t="n">
        <v>21.9</v>
      </c>
      <c r="AB74" s="67" t="n">
        <v>21.9048</v>
      </c>
      <c r="AC74" s="65">
        <f>IFERROR(IF(AND(AA74&lt;&gt;"",AB74&lt;&gt;""),ABS(AA74-AB74)/ABS(AA74)*100,""),"")</f>
        <v/>
      </c>
      <c r="AD74" s="62" t="inlineStr">
        <is>
          <t>Claude</t>
        </is>
      </c>
      <c r="AE74" s="67" t="n"/>
      <c r="AF74" s="67" t="n"/>
      <c r="AG74" s="65">
        <f>IFERROR(IF(AND(AE74&lt;&gt;"",AF74&lt;&gt;""),ABS(AE74-AF74)/ABS(AE74)*100,""),"")</f>
        <v/>
      </c>
      <c r="AH74" s="62" t="inlineStr">
        <is>
          <t>ND</t>
        </is>
      </c>
      <c r="AI74" s="67" t="n"/>
      <c r="AJ74" s="67" t="n"/>
      <c r="AK74" s="65">
        <f>IFERROR(IF(AND(AI74&lt;&gt;"",AJ74&lt;&gt;""),ABS(AI74-AJ74)/ABS(AI74)*100,""),"")</f>
        <v/>
      </c>
      <c r="AL74" s="62" t="inlineStr">
        <is>
          <t>ND</t>
        </is>
      </c>
      <c r="AM74" s="67" t="n">
        <v>15.75</v>
      </c>
      <c r="AN74" s="67" t="n"/>
      <c r="AO74" s="65">
        <f>IFERROR(IF(AND(AM74&lt;&gt;"",AN74&lt;&gt;""),ABS(AM74-AN74)/ABS(AM74)*100,""),"")</f>
        <v/>
      </c>
      <c r="AP74" s="62" t="inlineStr">
        <is>
          <t>Claude</t>
        </is>
      </c>
      <c r="AQ74" s="67" t="n">
        <v>9.52</v>
      </c>
      <c r="AR74" s="67" t="n">
        <v>9.5238</v>
      </c>
      <c r="AS74" s="65">
        <f>IFERROR(IF(AND(AQ74&lt;&gt;"",AR74&lt;&gt;""),ABS(AQ74-AR74)/ABS(AQ74)*100,""),"")</f>
        <v/>
      </c>
      <c r="AT74" s="62" t="inlineStr">
        <is>
          <t>Claude</t>
        </is>
      </c>
      <c r="AU74" s="67" t="n"/>
      <c r="AV74" s="67" t="n">
        <v>28.5714</v>
      </c>
      <c r="AW74" s="65">
        <f>IFERROR(IF(AND(AU74&lt;&gt;"",AV74&lt;&gt;""),ABS(AU74-AV74)/ABS(AU74)*100,""),"")</f>
        <v/>
      </c>
      <c r="AX74" s="62" t="inlineStr">
        <is>
          <t>DeepSeek</t>
        </is>
      </c>
      <c r="AY74" s="67" t="n"/>
      <c r="AZ74" s="67" t="n"/>
      <c r="BA74" s="65">
        <f>IFERROR(IF(AND(AY74&lt;&gt;"",AZ74&lt;&gt;""),ABS(AY74-AZ74)/ABS(AY74)*100,""),"")</f>
        <v/>
      </c>
      <c r="BB74" s="62" t="inlineStr">
        <is>
          <t>ND</t>
        </is>
      </c>
      <c r="BC74" s="67" t="n">
        <v>0</v>
      </c>
      <c r="BD74" s="67" t="n">
        <v>0</v>
      </c>
      <c r="BE74" s="65">
        <f>IFERROR(IF(AND(BC74&lt;&gt;"",BD74&lt;&gt;""),ABS(BC74-BD74)/ABS(BC74)*100,""),"")</f>
        <v/>
      </c>
      <c r="BF74" s="62" t="inlineStr">
        <is>
          <t>Claude</t>
        </is>
      </c>
      <c r="BG74" s="67" t="n">
        <v>2059000</v>
      </c>
      <c r="BH74" s="67" t="n">
        <v>2059000</v>
      </c>
      <c r="BI74" s="65">
        <f>IFERROR(IF(AND(BG74&lt;&gt;"",BH74&lt;&gt;""),ABS(BG74-BH74)/ABS(BG74)*100,""),"")</f>
        <v/>
      </c>
      <c r="BJ74" s="62" t="inlineStr">
        <is>
          <t>Claude</t>
        </is>
      </c>
      <c r="BK74" s="67" t="n">
        <v>20.3</v>
      </c>
      <c r="BL74" s="67" t="n">
        <v>20.3</v>
      </c>
      <c r="BM74" s="65">
        <f>IFERROR(IF(AND(BK74&lt;&gt;"",BL74&lt;&gt;""),ABS(BK74-BL74)/ABS(BK74)*100,""),"")</f>
        <v/>
      </c>
      <c r="BN74" s="62" t="inlineStr">
        <is>
          <t>Claude</t>
        </is>
      </c>
      <c r="BO74" s="67" t="n">
        <v>9</v>
      </c>
      <c r="BP74" s="67" t="n">
        <v>9</v>
      </c>
      <c r="BQ74" s="65">
        <f>IFERROR(IF(AND(BO74&lt;&gt;"",BP74&lt;&gt;""),ABS(BO74-BP74)/ABS(BO74)*100,""),"")</f>
        <v/>
      </c>
      <c r="BR74" s="62" t="inlineStr">
        <is>
          <t>Claude</t>
        </is>
      </c>
      <c r="BS74" s="67" t="n">
        <v>19</v>
      </c>
      <c r="BT74" s="67" t="n">
        <v>19</v>
      </c>
      <c r="BU74" s="65">
        <f>IFERROR(IF(AND(BS74&lt;&gt;"",BT74&lt;&gt;""),ABS(BS74-BT74)/ABS(BS74)*100,""),"")</f>
        <v/>
      </c>
      <c r="BV74" s="62" t="inlineStr">
        <is>
          <t>Claude</t>
        </is>
      </c>
      <c r="BW74" s="67" t="n">
        <v>78.90000000000001</v>
      </c>
      <c r="BX74" s="67" t="n">
        <v>78.90000000000001</v>
      </c>
      <c r="BY74" s="65">
        <f>IFERROR(IF(AND(BW74&lt;&gt;"",BX74&lt;&gt;""),ABS(BW74-BX74)/ABS(BW74)*100,""),"")</f>
        <v/>
      </c>
      <c r="BZ74" s="62" t="inlineStr">
        <is>
          <t>Claude</t>
        </is>
      </c>
      <c r="CA74" s="67" t="n">
        <v>11.2</v>
      </c>
      <c r="CB74" s="67" t="n">
        <v>11.2</v>
      </c>
      <c r="CC74" s="65">
        <f>IFERROR(IF(AND(CA74&lt;&gt;"",CB74&lt;&gt;""),ABS(CA74-CB74)/ABS(CA74)*100,""),"")</f>
        <v/>
      </c>
      <c r="CD74" s="62" t="inlineStr">
        <is>
          <t>Claude</t>
        </is>
      </c>
      <c r="CE74" s="67" t="n">
        <v>8.699999999999999</v>
      </c>
      <c r="CF74" s="67" t="n"/>
      <c r="CG74" s="65">
        <f>IFERROR(IF(AND(CE74&lt;&gt;"",CF74&lt;&gt;""),ABS(CE74-CF74)/ABS(CE74)*100,""),"")</f>
        <v/>
      </c>
      <c r="CH74" s="62" t="inlineStr">
        <is>
          <t>Claude</t>
        </is>
      </c>
      <c r="CI74" s="67" t="n">
        <v>1.06</v>
      </c>
      <c r="CJ74" s="67" t="n"/>
      <c r="CK74" s="65">
        <f>IFERROR(IF(AND(CI74&lt;&gt;"",CJ74&lt;&gt;""),ABS(CI74-CJ74)/ABS(CI74)*100,""),"")</f>
        <v/>
      </c>
      <c r="CL74" s="62" t="inlineStr">
        <is>
          <t>Claude</t>
        </is>
      </c>
      <c r="CM74" s="67" t="n">
        <v>88.40000000000001</v>
      </c>
      <c r="CN74" s="67" t="n">
        <v>88.40000000000001</v>
      </c>
      <c r="CO74" s="65">
        <f>IFERROR(IF(AND(CM74&lt;&gt;"",CN74&lt;&gt;""),ABS(CM74-CN74)/ABS(CM74)*100,""),"")</f>
        <v/>
      </c>
      <c r="CP74" s="62" t="inlineStr">
        <is>
          <t>Claude</t>
        </is>
      </c>
      <c r="CQ74" s="64" t="n">
        <v>1.73</v>
      </c>
      <c r="CR74" s="64" t="n">
        <v>1.39</v>
      </c>
      <c r="CS74" s="65">
        <f>IFERROR(IF(AND(CQ74&lt;&gt;"",CR74&lt;&gt;""),ABS(CQ74-CR74)/ABS(CQ74)*100,""),"")</f>
        <v/>
      </c>
      <c r="CT74" s="66" t="inlineStr">
        <is>
          <t>MANUAL FLAG</t>
        </is>
      </c>
      <c r="CU74" s="67" t="n">
        <v>0</v>
      </c>
      <c r="CV74" s="67" t="n">
        <v>0</v>
      </c>
      <c r="CW74" s="65">
        <f>IFERROR(IF(AND(CU74&lt;&gt;"",CV74&lt;&gt;""),ABS(CU74-CV74)/ABS(CU74)*100,""),"")</f>
        <v/>
      </c>
      <c r="CX74" s="62" t="inlineStr">
        <is>
          <t>Claude</t>
        </is>
      </c>
      <c r="CY74" s="68" t="n"/>
      <c r="CZ74" s="68" t="n"/>
      <c r="DA74" s="65">
        <f>IFERROR(IF(AND(CY74&lt;&gt;"",CZ74&lt;&gt;""),ABS(CY74-CZ74)/ABS(CY74)*100,""),"")</f>
        <v/>
      </c>
      <c r="DB74" s="62" t="inlineStr">
        <is>
          <t>ND</t>
        </is>
      </c>
      <c r="DC74" s="68" t="n"/>
      <c r="DD74" s="68" t="n"/>
      <c r="DE74" s="65">
        <f>IFERROR(IF(AND(DC74&lt;&gt;"",DD74&lt;&gt;""),ABS(DC74-DD74)/ABS(DC74)*100,""),"")</f>
        <v/>
      </c>
      <c r="DF74" s="62" t="inlineStr">
        <is>
          <t>ND</t>
        </is>
      </c>
      <c r="DG74" s="68" t="n"/>
      <c r="DH74" s="68" t="n">
        <v>70</v>
      </c>
      <c r="DI74" s="65">
        <f>IFERROR(IF(AND(DG74&lt;&gt;"",DH74&lt;&gt;""),ABS(DG74-DH74)/ABS(DG74)*100,""),"")</f>
        <v/>
      </c>
      <c r="DJ74" s="62" t="inlineStr">
        <is>
          <t>DeepSeek</t>
        </is>
      </c>
      <c r="DK74" s="68" t="n"/>
      <c r="DL74" s="68" t="n"/>
      <c r="DM74" s="65">
        <f>IFERROR(IF(AND(DK74&lt;&gt;"",DL74&lt;&gt;""),ABS(DK74-DL74)/ABS(DK74)*100,""),"")</f>
        <v/>
      </c>
      <c r="DN74" s="62" t="inlineStr">
        <is>
          <t>ND</t>
        </is>
      </c>
      <c r="DO74" s="68" t="n"/>
      <c r="DP74" s="68" t="n"/>
      <c r="DQ74" s="65">
        <f>IFERROR(IF(AND(DO74&lt;&gt;"",DP74&lt;&gt;""),ABS(DO74-DP74)/ABS(DO74)*100,""),"")</f>
        <v/>
      </c>
      <c r="DR74" s="62" t="inlineStr">
        <is>
          <t>ND</t>
        </is>
      </c>
      <c r="DS74" s="68" t="n"/>
      <c r="DT74" s="68" t="n"/>
      <c r="DU74" s="65">
        <f>IFERROR(IF(AND(DS74&lt;&gt;"",DT74&lt;&gt;""),ABS(DS74-DT74)/ABS(DS74)*100,""),"")</f>
        <v/>
      </c>
      <c r="DV74" s="62" t="inlineStr">
        <is>
          <t>ND</t>
        </is>
      </c>
      <c r="DW74" s="63" t="inlineStr">
        <is>
          <t>Claude only (DeepSeek pending). Source=2025 report. Ind.7/8=ND (disability headcount=30, foreign headcount=8). Ind.2=20.37% - continues the notable upward trend flagged in 2022/2023 (from ~9-10% in 2019-2021 to 20%+ by 2024) - verify if this reflects a genuine workforce shift or a definitional change. Ind.13=0.0, PROXY. Ind.21=1.06, PROXY. || DEEPSEEK RECONCILIATION - MANUAL FLAGS: Ind.2 (Female Permanent%): Claude=20.37, DeepSeek=21.7391, Diff=6.7%; Ind.3 (Female Contract%): Claude=30.64, DeepSeek=20.8092, Diff=32.1%; Ind.23 (LTIFR): Claude=1.73, DeepSeek=1.39, Diff=19.7%</t>
        </is>
      </c>
    </row>
    <row r="75" ht="4.5" customHeight="1" s="43">
      <c r="A75" s="72" t="n"/>
      <c r="B75" s="72" t="n"/>
      <c r="C75" s="72" t="n"/>
      <c r="D75" s="72" t="n"/>
      <c r="E75" s="72" t="n"/>
      <c r="F75" s="72" t="n"/>
      <c r="G75" s="72" t="n"/>
      <c r="H75" s="72" t="n"/>
      <c r="I75" s="72" t="n"/>
      <c r="J75" s="72" t="n"/>
      <c r="K75" s="72" t="n"/>
      <c r="L75" s="72" t="n"/>
      <c r="M75" s="72" t="n"/>
      <c r="N75" s="72" t="n"/>
      <c r="O75" s="72" t="n"/>
      <c r="P75" s="72" t="n"/>
      <c r="Q75" s="72" t="n"/>
      <c r="R75" s="72" t="n"/>
      <c r="S75" s="72" t="n"/>
      <c r="T75" s="72" t="n"/>
      <c r="U75" s="72" t="n"/>
      <c r="V75" s="72" t="n"/>
      <c r="W75" s="72" t="n"/>
      <c r="X75" s="72" t="n"/>
      <c r="Y75" s="72" t="n"/>
      <c r="Z75" s="72" t="n"/>
      <c r="AA75" s="72" t="n"/>
      <c r="AB75" s="72" t="n"/>
      <c r="AC75" s="72" t="n"/>
      <c r="AD75" s="72" t="n"/>
      <c r="AE75" s="72" t="n"/>
      <c r="AF75" s="72" t="n"/>
      <c r="AG75" s="72" t="n"/>
      <c r="AH75" s="72" t="n"/>
      <c r="AI75" s="72" t="n"/>
      <c r="AJ75" s="72" t="n"/>
      <c r="AK75" s="72" t="n"/>
      <c r="AL75" s="72" t="n"/>
      <c r="AM75" s="72" t="n"/>
      <c r="AN75" s="72" t="n"/>
      <c r="AO75" s="72" t="n"/>
      <c r="AP75" s="72" t="n"/>
      <c r="AQ75" s="72" t="n"/>
      <c r="AR75" s="72" t="n"/>
      <c r="AS75" s="72" t="n"/>
      <c r="AT75" s="72" t="n"/>
      <c r="AU75" s="72" t="n"/>
      <c r="AV75" s="72" t="n"/>
      <c r="AW75" s="72" t="n"/>
      <c r="AX75" s="72" t="n"/>
      <c r="AY75" s="72" t="n"/>
      <c r="AZ75" s="72" t="n"/>
      <c r="BA75" s="72" t="n"/>
      <c r="BB75" s="72" t="n"/>
      <c r="BC75" s="72" t="n"/>
      <c r="BD75" s="72" t="n"/>
      <c r="BE75" s="72" t="n"/>
      <c r="BF75" s="72" t="n"/>
      <c r="BG75" s="72" t="n"/>
      <c r="BH75" s="72" t="n"/>
      <c r="BI75" s="72" t="n"/>
      <c r="BJ75" s="72" t="n"/>
      <c r="BK75" s="72" t="n"/>
      <c r="BL75" s="72" t="n"/>
      <c r="BM75" s="72" t="n"/>
      <c r="BN75" s="72" t="n"/>
      <c r="BO75" s="72" t="n"/>
      <c r="BP75" s="72" t="n"/>
      <c r="BQ75" s="72" t="n"/>
      <c r="BR75" s="72" t="n"/>
      <c r="BS75" s="72" t="n"/>
      <c r="BT75" s="72" t="n"/>
      <c r="BU75" s="72" t="n"/>
      <c r="BV75" s="72" t="n"/>
      <c r="BW75" s="72" t="n"/>
      <c r="BX75" s="72" t="n"/>
      <c r="BY75" s="72" t="n"/>
      <c r="BZ75" s="72" t="n"/>
      <c r="CA75" s="72" t="n"/>
      <c r="CB75" s="72" t="n"/>
      <c r="CC75" s="72" t="n"/>
      <c r="CD75" s="72" t="n"/>
      <c r="CE75" s="72" t="n"/>
      <c r="CF75" s="72" t="n"/>
      <c r="CG75" s="72" t="n"/>
      <c r="CH75" s="72" t="n"/>
      <c r="CI75" s="72" t="n"/>
      <c r="CJ75" s="72" t="n"/>
      <c r="CK75" s="72" t="n"/>
      <c r="CL75" s="72" t="n"/>
      <c r="CM75" s="72" t="n"/>
      <c r="CN75" s="72" t="n"/>
      <c r="CO75" s="72" t="n"/>
      <c r="CP75" s="72" t="n"/>
      <c r="CQ75" s="72" t="n"/>
      <c r="CR75" s="72" t="n"/>
      <c r="CS75" s="72" t="n"/>
      <c r="CT75" s="72" t="n"/>
      <c r="CU75" s="72" t="n"/>
      <c r="CV75" s="72" t="n"/>
      <c r="CW75" s="72" t="n"/>
      <c r="CX75" s="72" t="n"/>
      <c r="CY75" s="72" t="n"/>
      <c r="CZ75" s="72" t="n"/>
      <c r="DA75" s="72" t="n"/>
      <c r="DB75" s="72" t="n"/>
      <c r="DC75" s="72" t="n"/>
      <c r="DD75" s="72" t="n"/>
      <c r="DE75" s="72" t="n"/>
      <c r="DF75" s="72" t="n"/>
      <c r="DG75" s="72" t="n"/>
      <c r="DH75" s="72" t="n"/>
      <c r="DI75" s="72" t="n"/>
      <c r="DJ75" s="72" t="n"/>
      <c r="DK75" s="72" t="n"/>
      <c r="DL75" s="72" t="n"/>
      <c r="DM75" s="72" t="n"/>
      <c r="DN75" s="72" t="n"/>
      <c r="DO75" s="72" t="n"/>
      <c r="DP75" s="72" t="n"/>
      <c r="DQ75" s="72" t="n"/>
      <c r="DR75" s="72" t="n"/>
      <c r="DS75" s="72" t="n"/>
      <c r="DT75" s="72" t="n"/>
      <c r="DU75" s="72" t="n"/>
      <c r="DV75" s="72" t="n"/>
      <c r="DW75" s="72" t="n"/>
    </row>
    <row r="76" ht="15.75" customHeight="1" s="43">
      <c r="A76" s="73" t="inlineStr">
        <is>
          <t>DOOSAN BOBCAT</t>
        </is>
      </c>
      <c r="B76" s="69" t="inlineStr">
        <is>
          <t>241560</t>
        </is>
      </c>
      <c r="C76" s="69" t="inlineStr">
        <is>
          <t>Industrials</t>
        </is>
      </c>
      <c r="D76" s="69" t="inlineStr">
        <is>
          <t>2018</t>
        </is>
      </c>
      <c r="E76" s="70" t="inlineStr">
        <is>
          <t>Doosan Bobcat 2019 Sustainability Report (only report covering 2018)</t>
        </is>
      </c>
      <c r="F76" s="69" t="n"/>
      <c r="G76" s="67" t="n">
        <v>8.93</v>
      </c>
      <c r="H76" s="67" t="n">
        <v>8.93</v>
      </c>
      <c r="I76" s="71">
        <f>IFERROR(IF(AND(G76&lt;&gt;"",H76&lt;&gt;""),ABS(G76-H76)/ABS(G76)*100,""),"")</f>
        <v/>
      </c>
      <c r="J76" s="69" t="inlineStr">
        <is>
          <t>Claude</t>
        </is>
      </c>
      <c r="K76" s="67" t="n">
        <v>20.73</v>
      </c>
      <c r="L76" s="67" t="n">
        <v>21.1</v>
      </c>
      <c r="M76" s="71">
        <f>IFERROR(IF(AND(K76&lt;&gt;"",L76&lt;&gt;""),ABS(K76-L76)/ABS(K76)*100,""),"")</f>
        <v/>
      </c>
      <c r="N76" s="69" t="inlineStr">
        <is>
          <t>Claude</t>
        </is>
      </c>
      <c r="O76" s="67" t="n"/>
      <c r="P76" s="67" t="n"/>
      <c r="Q76" s="71">
        <f>IFERROR(IF(AND(O76&lt;&gt;"",P76&lt;&gt;""),ABS(O76-P76)/ABS(O76)*100,""),"")</f>
        <v/>
      </c>
      <c r="R76" s="69" t="inlineStr">
        <is>
          <t>ND</t>
        </is>
      </c>
      <c r="S76" s="67" t="n"/>
      <c r="T76" s="67" t="n"/>
      <c r="U76" s="71">
        <f>IFERROR(IF(AND(S76&lt;&gt;"",T76&lt;&gt;""),ABS(S76-T76)/ABS(S76)*100,""),"")</f>
        <v/>
      </c>
      <c r="V76" s="69" t="inlineStr">
        <is>
          <t>ND</t>
        </is>
      </c>
      <c r="W76" s="67" t="n"/>
      <c r="X76" s="67" t="n"/>
      <c r="Y76" s="71">
        <f>IFERROR(IF(AND(W76&lt;&gt;"",X76&lt;&gt;""),ABS(W76-X76)/ABS(W76)*100,""),"")</f>
        <v/>
      </c>
      <c r="Z76" s="69" t="inlineStr">
        <is>
          <t>ND</t>
        </is>
      </c>
      <c r="AA76" s="67" t="n"/>
      <c r="AB76" s="67" t="n"/>
      <c r="AC76" s="71">
        <f>IFERROR(IF(AND(AA76&lt;&gt;"",AB76&lt;&gt;""),ABS(AA76-AB76)/ABS(AA76)*100,""),"")</f>
        <v/>
      </c>
      <c r="AD76" s="69" t="inlineStr">
        <is>
          <t>ND</t>
        </is>
      </c>
      <c r="AE76" s="67" t="n"/>
      <c r="AF76" s="67" t="n"/>
      <c r="AG76" s="71">
        <f>IFERROR(IF(AND(AE76&lt;&gt;"",AF76&lt;&gt;""),ABS(AE76-AF76)/ABS(AE76)*100,""),"")</f>
        <v/>
      </c>
      <c r="AH76" s="69" t="inlineStr">
        <is>
          <t>ND</t>
        </is>
      </c>
      <c r="AI76" s="67" t="n"/>
      <c r="AJ76" s="67" t="n"/>
      <c r="AK76" s="71">
        <f>IFERROR(IF(AND(AI76&lt;&gt;"",AJ76&lt;&gt;""),ABS(AI76-AJ76)/ABS(AI76)*100,""),"")</f>
        <v/>
      </c>
      <c r="AL76" s="69" t="inlineStr">
        <is>
          <t>ND</t>
        </is>
      </c>
      <c r="AM76" s="67" t="n"/>
      <c r="AN76" s="67" t="n"/>
      <c r="AO76" s="71">
        <f>IFERROR(IF(AND(AM76&lt;&gt;"",AN76&lt;&gt;""),ABS(AM76-AN76)/ABS(AM76)*100,""),"")</f>
        <v/>
      </c>
      <c r="AP76" s="69" t="inlineStr">
        <is>
          <t>ND</t>
        </is>
      </c>
      <c r="AQ76" s="67" t="n"/>
      <c r="AR76" s="67" t="n"/>
      <c r="AS76" s="71">
        <f>IFERROR(IF(AND(AQ76&lt;&gt;"",AR76&lt;&gt;""),ABS(AQ76-AR76)/ABS(AQ76)*100,""),"")</f>
        <v/>
      </c>
      <c r="AT76" s="69" t="inlineStr">
        <is>
          <t>ND</t>
        </is>
      </c>
      <c r="AU76" s="67" t="n"/>
      <c r="AV76" s="67" t="n"/>
      <c r="AW76" s="71">
        <f>IFERROR(IF(AND(AU76&lt;&gt;"",AV76&lt;&gt;""),ABS(AU76-AV76)/ABS(AU76)*100,""),"")</f>
        <v/>
      </c>
      <c r="AX76" s="69" t="inlineStr">
        <is>
          <t>ND</t>
        </is>
      </c>
      <c r="AY76" s="67" t="n"/>
      <c r="AZ76" s="67" t="n"/>
      <c r="BA76" s="71">
        <f>IFERROR(IF(AND(AY76&lt;&gt;"",AZ76&lt;&gt;""),ABS(AY76-AZ76)/ABS(AY76)*100,""),"")</f>
        <v/>
      </c>
      <c r="BB76" s="69" t="inlineStr">
        <is>
          <t>ND</t>
        </is>
      </c>
      <c r="BC76" s="67" t="n"/>
      <c r="BD76" s="67" t="n"/>
      <c r="BE76" s="71">
        <f>IFERROR(IF(AND(BC76&lt;&gt;"",BD76&lt;&gt;""),ABS(BC76-BD76)/ABS(BC76)*100,""),"")</f>
        <v/>
      </c>
      <c r="BF76" s="69" t="inlineStr">
        <is>
          <t>ND</t>
        </is>
      </c>
      <c r="BG76" s="67" t="n"/>
      <c r="BH76" s="67" t="n"/>
      <c r="BI76" s="71">
        <f>IFERROR(IF(AND(BG76&lt;&gt;"",BH76&lt;&gt;""),ABS(BG76-BH76)/ABS(BG76)*100,""),"")</f>
        <v/>
      </c>
      <c r="BJ76" s="69" t="inlineStr">
        <is>
          <t>ND</t>
        </is>
      </c>
      <c r="BK76" s="67" t="n">
        <v>15.9</v>
      </c>
      <c r="BL76" s="67" t="n">
        <v>15.9</v>
      </c>
      <c r="BM76" s="71">
        <f>IFERROR(IF(AND(BK76&lt;&gt;"",BL76&lt;&gt;""),ABS(BK76-BL76)/ABS(BK76)*100,""),"")</f>
        <v/>
      </c>
      <c r="BN76" s="69" t="inlineStr">
        <is>
          <t>Claude</t>
        </is>
      </c>
      <c r="BO76" s="67" t="n"/>
      <c r="BP76" s="67" t="n"/>
      <c r="BQ76" s="71">
        <f>IFERROR(IF(AND(BO76&lt;&gt;"",BP76&lt;&gt;""),ABS(BO76-BP76)/ABS(BO76)*100,""),"")</f>
        <v/>
      </c>
      <c r="BR76" s="69" t="inlineStr">
        <is>
          <t>ND</t>
        </is>
      </c>
      <c r="BS76" s="67" t="n"/>
      <c r="BT76" s="67" t="n"/>
      <c r="BU76" s="71">
        <f>IFERROR(IF(AND(BS76&lt;&gt;"",BT76&lt;&gt;""),ABS(BS76-BT76)/ABS(BS76)*100,""),"")</f>
        <v/>
      </c>
      <c r="BV76" s="69" t="inlineStr">
        <is>
          <t>ND</t>
        </is>
      </c>
      <c r="BW76" s="67" t="n"/>
      <c r="BX76" s="67" t="n"/>
      <c r="BY76" s="71">
        <f>IFERROR(IF(AND(BW76&lt;&gt;"",BX76&lt;&gt;""),ABS(BW76-BX76)/ABS(BW76)*100,""),"")</f>
        <v/>
      </c>
      <c r="BZ76" s="69" t="inlineStr">
        <is>
          <t>ND</t>
        </is>
      </c>
      <c r="CA76" s="67" t="n"/>
      <c r="CB76" s="67" t="n"/>
      <c r="CC76" s="71">
        <f>IFERROR(IF(AND(CA76&lt;&gt;"",CB76&lt;&gt;""),ABS(CA76-CB76)/ABS(CA76)*100,""),"")</f>
        <v/>
      </c>
      <c r="CD76" s="69" t="inlineStr">
        <is>
          <t>ND</t>
        </is>
      </c>
      <c r="CE76" s="67" t="n"/>
      <c r="CF76" s="67" t="n"/>
      <c r="CG76" s="71">
        <f>IFERROR(IF(AND(CE76&lt;&gt;"",CF76&lt;&gt;""),ABS(CE76-CF76)/ABS(CE76)*100,""),"")</f>
        <v/>
      </c>
      <c r="CH76" s="69" t="inlineStr">
        <is>
          <t>ND</t>
        </is>
      </c>
      <c r="CI76" s="67" t="n"/>
      <c r="CJ76" s="67" t="n"/>
      <c r="CK76" s="71">
        <f>IFERROR(IF(AND(CI76&lt;&gt;"",CJ76&lt;&gt;""),ABS(CI76-CJ76)/ABS(CI76)*100,""),"")</f>
        <v/>
      </c>
      <c r="CL76" s="69" t="inlineStr">
        <is>
          <t>ND</t>
        </is>
      </c>
      <c r="CM76" s="67" t="n"/>
      <c r="CN76" s="67" t="n"/>
      <c r="CO76" s="71">
        <f>IFERROR(IF(AND(CM76&lt;&gt;"",CN76&lt;&gt;""),ABS(CM76-CN76)/ABS(CM76)*100,""),"")</f>
        <v/>
      </c>
      <c r="CP76" s="69" t="inlineStr">
        <is>
          <t>ND</t>
        </is>
      </c>
      <c r="CQ76" s="67" t="n"/>
      <c r="CR76" s="67" t="n"/>
      <c r="CS76" s="71">
        <f>IFERROR(IF(AND(CQ76&lt;&gt;"",CR76&lt;&gt;""),ABS(CQ76-CR76)/ABS(CQ76)*100,""),"")</f>
        <v/>
      </c>
      <c r="CT76" s="69" t="inlineStr">
        <is>
          <t>ND</t>
        </is>
      </c>
      <c r="CU76" s="67" t="n">
        <v>0</v>
      </c>
      <c r="CV76" s="67" t="n">
        <v>0</v>
      </c>
      <c r="CW76" s="71">
        <f>IFERROR(IF(AND(CU76&lt;&gt;"",CV76&lt;&gt;""),ABS(CU76-CV76)/ABS(CU76)*100,""),"")</f>
        <v/>
      </c>
      <c r="CX76" s="69" t="inlineStr">
        <is>
          <t>Claude</t>
        </is>
      </c>
      <c r="CY76" s="68" t="n"/>
      <c r="CZ76" s="68" t="n"/>
      <c r="DA76" s="71">
        <f>IFERROR(IF(AND(CY76&lt;&gt;"",CZ76&lt;&gt;""),ABS(CY76-CZ76)/ABS(CY76)*100,""),"")</f>
        <v/>
      </c>
      <c r="DB76" s="69" t="inlineStr">
        <is>
          <t>ND</t>
        </is>
      </c>
      <c r="DC76" s="68" t="n"/>
      <c r="DD76" s="68" t="n"/>
      <c r="DE76" s="71">
        <f>IFERROR(IF(AND(DC76&lt;&gt;"",DD76&lt;&gt;""),ABS(DC76-DD76)/ABS(DC76)*100,""),"")</f>
        <v/>
      </c>
      <c r="DF76" s="69" t="inlineStr">
        <is>
          <t>ND</t>
        </is>
      </c>
      <c r="DG76" s="68" t="n"/>
      <c r="DH76" s="68" t="n"/>
      <c r="DI76" s="71">
        <f>IFERROR(IF(AND(DG76&lt;&gt;"",DH76&lt;&gt;""),ABS(DG76-DH76)/ABS(DG76)*100,""),"")</f>
        <v/>
      </c>
      <c r="DJ76" s="69" t="inlineStr">
        <is>
          <t>ND</t>
        </is>
      </c>
      <c r="DK76" s="68" t="n"/>
      <c r="DL76" s="68" t="n"/>
      <c r="DM76" s="71">
        <f>IFERROR(IF(AND(DK76&lt;&gt;"",DL76&lt;&gt;""),ABS(DK76-DL76)/ABS(DK76)*100,""),"")</f>
        <v/>
      </c>
      <c r="DN76" s="69" t="inlineStr">
        <is>
          <t>ND</t>
        </is>
      </c>
      <c r="DO76" s="68" t="n"/>
      <c r="DP76" s="68" t="n"/>
      <c r="DQ76" s="71">
        <f>IFERROR(IF(AND(DO76&lt;&gt;"",DP76&lt;&gt;""),ABS(DO76-DP76)/ABS(DO76)*100,""),"")</f>
        <v/>
      </c>
      <c r="DR76" s="69" t="inlineStr">
        <is>
          <t>ND</t>
        </is>
      </c>
      <c r="DS76" s="68" t="n"/>
      <c r="DT76" s="68" t="inlineStr">
        <is>
          <t>A</t>
        </is>
      </c>
      <c r="DU76" s="71">
        <f>IFERROR(IF(AND(DS76&lt;&gt;"",DT76&lt;&gt;""),ABS(DS76-DT76)/ABS(DS76)*100,""),"")</f>
        <v/>
      </c>
      <c r="DV76" s="69" t="inlineStr">
        <is>
          <t>DeepSeek</t>
        </is>
      </c>
      <c r="DW76" s="70" t="inlineStr">
        <is>
          <t>Claude only (DeepSeek pending). Source=2019 report (only report covering 2018, Doosan Bobcat's first sustainability report). Ind.1/2 PROXY ('Third party contractor'/'Full-time' as stand-in for contract/permanent worker). Ind.7/8=ND (disability/foreign not disclosed this edition, so no headcount to note either). Ind.15=15.90, PROXY (per-trainee, not per total workforce - anti-relabeling rule flagged by source itself). Ind.24=0, Direct ('no fatal accident occurred for the last three years', 2017-2019).</t>
        </is>
      </c>
    </row>
    <row r="77" ht="15.75" customHeight="1" s="43">
      <c r="A77" s="62" t="n"/>
      <c r="B77" s="62" t="n"/>
      <c r="C77" s="62" t="inlineStr">
        <is>
          <t>Industrials</t>
        </is>
      </c>
      <c r="D77" s="62" t="inlineStr">
        <is>
          <t>2019</t>
        </is>
      </c>
      <c r="E77" s="63" t="inlineStr">
        <is>
          <t>DOOSAN_BOBCAT_2020-2021.pdf (most recent covering 2019)</t>
        </is>
      </c>
      <c r="F77" s="62" t="n"/>
      <c r="G77" s="64" t="n">
        <v>3.73</v>
      </c>
      <c r="H77" s="64" t="n">
        <v>2.81</v>
      </c>
      <c r="I77" s="65">
        <f>IFERROR(IF(AND(G77&lt;&gt;"",H77&lt;&gt;""),ABS(G77-H77)/ABS(G77)*100,""),"")</f>
        <v/>
      </c>
      <c r="J77" s="66" t="inlineStr">
        <is>
          <t>MANUAL FLAG</t>
        </is>
      </c>
      <c r="K77" s="67" t="n"/>
      <c r="L77" s="67" t="n">
        <v>21.47</v>
      </c>
      <c r="M77" s="65">
        <f>IFERROR(IF(AND(K77&lt;&gt;"",L77&lt;&gt;""),ABS(K77-L77)/ABS(K77)*100,""),"")</f>
        <v/>
      </c>
      <c r="N77" s="62" t="inlineStr">
        <is>
          <t>DeepSeek</t>
        </is>
      </c>
      <c r="O77" s="67" t="n"/>
      <c r="P77" s="67" t="n">
        <v>59.46</v>
      </c>
      <c r="Q77" s="65">
        <f>IFERROR(IF(AND(O77&lt;&gt;"",P77&lt;&gt;""),ABS(O77-P77)/ABS(O77)*100,""),"")</f>
        <v/>
      </c>
      <c r="R77" s="62" t="inlineStr">
        <is>
          <t>DeepSeek</t>
        </is>
      </c>
      <c r="S77" s="67" t="n"/>
      <c r="T77" s="67" t="n"/>
      <c r="U77" s="65">
        <f>IFERROR(IF(AND(S77&lt;&gt;"",T77&lt;&gt;""),ABS(S77-T77)/ABS(S77)*100,""),"")</f>
        <v/>
      </c>
      <c r="V77" s="62" t="inlineStr">
        <is>
          <t>ND</t>
        </is>
      </c>
      <c r="W77" s="67" t="n"/>
      <c r="X77" s="67" t="n"/>
      <c r="Y77" s="65">
        <f>IFERROR(IF(AND(W77&lt;&gt;"",X77&lt;&gt;""),ABS(W77-X77)/ABS(W77)*100,""),"")</f>
        <v/>
      </c>
      <c r="Z77" s="62" t="inlineStr">
        <is>
          <t>ND</t>
        </is>
      </c>
      <c r="AA77" s="67" t="n"/>
      <c r="AB77" s="67" t="n"/>
      <c r="AC77" s="65">
        <f>IFERROR(IF(AND(AA77&lt;&gt;"",AB77&lt;&gt;""),ABS(AA77-AB77)/ABS(AA77)*100,""),"")</f>
        <v/>
      </c>
      <c r="AD77" s="62" t="inlineStr">
        <is>
          <t>ND</t>
        </is>
      </c>
      <c r="AE77" s="67" t="n"/>
      <c r="AF77" s="67" t="n"/>
      <c r="AG77" s="65">
        <f>IFERROR(IF(AND(AE77&lt;&gt;"",AF77&lt;&gt;""),ABS(AE77-AF77)/ABS(AE77)*100,""),"")</f>
        <v/>
      </c>
      <c r="AH77" s="62" t="inlineStr">
        <is>
          <t>ND</t>
        </is>
      </c>
      <c r="AI77" s="67" t="n"/>
      <c r="AJ77" s="67" t="n"/>
      <c r="AK77" s="65">
        <f>IFERROR(IF(AND(AI77&lt;&gt;"",AJ77&lt;&gt;""),ABS(AI77-AJ77)/ABS(AI77)*100,""),"")</f>
        <v/>
      </c>
      <c r="AL77" s="62" t="inlineStr">
        <is>
          <t>ND</t>
        </is>
      </c>
      <c r="AM77" s="67" t="n"/>
      <c r="AN77" s="67" t="n"/>
      <c r="AO77" s="65">
        <f>IFERROR(IF(AND(AM77&lt;&gt;"",AN77&lt;&gt;""),ABS(AM77-AN77)/ABS(AM77)*100,""),"")</f>
        <v/>
      </c>
      <c r="AP77" s="62" t="inlineStr">
        <is>
          <t>ND</t>
        </is>
      </c>
      <c r="AQ77" s="67" t="n"/>
      <c r="AR77" s="67" t="n"/>
      <c r="AS77" s="65">
        <f>IFERROR(IF(AND(AQ77&lt;&gt;"",AR77&lt;&gt;""),ABS(AQ77-AR77)/ABS(AQ77)*100,""),"")</f>
        <v/>
      </c>
      <c r="AT77" s="62" t="inlineStr">
        <is>
          <t>ND</t>
        </is>
      </c>
      <c r="AU77" s="67" t="n">
        <v>0</v>
      </c>
      <c r="AV77" s="67" t="n">
        <v>0</v>
      </c>
      <c r="AW77" s="65">
        <f>IFERROR(IF(AND(AU77&lt;&gt;"",AV77&lt;&gt;""),ABS(AU77-AV77)/ABS(AU77)*100,""),"")</f>
        <v/>
      </c>
      <c r="AX77" s="62" t="inlineStr">
        <is>
          <t>Claude</t>
        </is>
      </c>
      <c r="AY77" s="67" t="n"/>
      <c r="AZ77" s="67" t="n"/>
      <c r="BA77" s="65">
        <f>IFERROR(IF(AND(AY77&lt;&gt;"",AZ77&lt;&gt;""),ABS(AY77-AZ77)/ABS(AY77)*100,""),"")</f>
        <v/>
      </c>
      <c r="BB77" s="62" t="inlineStr">
        <is>
          <t>ND</t>
        </is>
      </c>
      <c r="BC77" s="67" t="n"/>
      <c r="BD77" s="67" t="n"/>
      <c r="BE77" s="65">
        <f>IFERROR(IF(AND(BC77&lt;&gt;"",BD77&lt;&gt;""),ABS(BC77-BD77)/ABS(BC77)*100,""),"")</f>
        <v/>
      </c>
      <c r="BF77" s="62" t="inlineStr">
        <is>
          <t>ND</t>
        </is>
      </c>
      <c r="BG77" s="67" t="n"/>
      <c r="BH77" s="67" t="n"/>
      <c r="BI77" s="65">
        <f>IFERROR(IF(AND(BG77&lt;&gt;"",BH77&lt;&gt;""),ABS(BG77-BH77)/ABS(BG77)*100,""),"")</f>
        <v/>
      </c>
      <c r="BJ77" s="62" t="inlineStr">
        <is>
          <t>ND</t>
        </is>
      </c>
      <c r="BK77" s="67" t="n">
        <v>12.59</v>
      </c>
      <c r="BL77" s="67" t="n">
        <v>13</v>
      </c>
      <c r="BM77" s="65">
        <f>IFERROR(IF(AND(BK77&lt;&gt;"",BL77&lt;&gt;""),ABS(BK77-BL77)/ABS(BK77)*100,""),"")</f>
        <v/>
      </c>
      <c r="BN77" s="62" t="inlineStr">
        <is>
          <t>Claude</t>
        </is>
      </c>
      <c r="BO77" s="67" t="n"/>
      <c r="BP77" s="67" t="n"/>
      <c r="BQ77" s="65">
        <f>IFERROR(IF(AND(BO77&lt;&gt;"",BP77&lt;&gt;""),ABS(BO77-BP77)/ABS(BO77)*100,""),"")</f>
        <v/>
      </c>
      <c r="BR77" s="62" t="inlineStr">
        <is>
          <t>ND</t>
        </is>
      </c>
      <c r="BS77" s="67" t="n"/>
      <c r="BT77" s="67" t="n"/>
      <c r="BU77" s="65">
        <f>IFERROR(IF(AND(BS77&lt;&gt;"",BT77&lt;&gt;""),ABS(BS77-BT77)/ABS(BS77)*100,""),"")</f>
        <v/>
      </c>
      <c r="BV77" s="62" t="inlineStr">
        <is>
          <t>ND</t>
        </is>
      </c>
      <c r="BW77" s="67" t="n"/>
      <c r="BX77" s="67" t="n"/>
      <c r="BY77" s="65">
        <f>IFERROR(IF(AND(BW77&lt;&gt;"",BX77&lt;&gt;""),ABS(BW77-BX77)/ABS(BW77)*100,""),"")</f>
        <v/>
      </c>
      <c r="BZ77" s="62" t="inlineStr">
        <is>
          <t>ND</t>
        </is>
      </c>
      <c r="CA77" s="67" t="n"/>
      <c r="CB77" s="67" t="n"/>
      <c r="CC77" s="65">
        <f>IFERROR(IF(AND(CA77&lt;&gt;"",CB77&lt;&gt;""),ABS(CA77-CB77)/ABS(CA77)*100,""),"")</f>
        <v/>
      </c>
      <c r="CD77" s="62" t="inlineStr">
        <is>
          <t>ND</t>
        </is>
      </c>
      <c r="CE77" s="67" t="n"/>
      <c r="CF77" s="67" t="n"/>
      <c r="CG77" s="65">
        <f>IFERROR(IF(AND(CE77&lt;&gt;"",CF77&lt;&gt;""),ABS(CE77-CF77)/ABS(CE77)*100,""),"")</f>
        <v/>
      </c>
      <c r="CH77" s="62" t="inlineStr">
        <is>
          <t>ND</t>
        </is>
      </c>
      <c r="CI77" s="67" t="n"/>
      <c r="CJ77" s="67" t="n"/>
      <c r="CK77" s="65">
        <f>IFERROR(IF(AND(CI77&lt;&gt;"",CJ77&lt;&gt;""),ABS(CI77-CJ77)/ABS(CI77)*100,""),"")</f>
        <v/>
      </c>
      <c r="CL77" s="62" t="inlineStr">
        <is>
          <t>ND</t>
        </is>
      </c>
      <c r="CM77" s="67" t="n"/>
      <c r="CN77" s="67" t="n"/>
      <c r="CO77" s="65">
        <f>IFERROR(IF(AND(CM77&lt;&gt;"",CN77&lt;&gt;""),ABS(CM77-CN77)/ABS(CM77)*100,""),"")</f>
        <v/>
      </c>
      <c r="CP77" s="62" t="inlineStr">
        <is>
          <t>ND</t>
        </is>
      </c>
      <c r="CQ77" s="67" t="n"/>
      <c r="CR77" s="67" t="n"/>
      <c r="CS77" s="65">
        <f>IFERROR(IF(AND(CQ77&lt;&gt;"",CR77&lt;&gt;""),ABS(CQ77-CR77)/ABS(CQ77)*100,""),"")</f>
        <v/>
      </c>
      <c r="CT77" s="62" t="inlineStr">
        <is>
          <t>ND</t>
        </is>
      </c>
      <c r="CU77" s="67" t="n"/>
      <c r="CV77" s="67" t="n"/>
      <c r="CW77" s="65">
        <f>IFERROR(IF(AND(CU77&lt;&gt;"",CV77&lt;&gt;""),ABS(CU77-CV77)/ABS(CU77)*100,""),"")</f>
        <v/>
      </c>
      <c r="CX77" s="62" t="inlineStr">
        <is>
          <t>ND</t>
        </is>
      </c>
      <c r="CY77" s="68" t="n"/>
      <c r="CZ77" s="68" t="n"/>
      <c r="DA77" s="65">
        <f>IFERROR(IF(AND(CY77&lt;&gt;"",CZ77&lt;&gt;""),ABS(CY77-CZ77)/ABS(CY77)*100,""),"")</f>
        <v/>
      </c>
      <c r="DB77" s="62" t="inlineStr">
        <is>
          <t>ND</t>
        </is>
      </c>
      <c r="DC77" s="68" t="n"/>
      <c r="DD77" s="68" t="n"/>
      <c r="DE77" s="65">
        <f>IFERROR(IF(AND(DC77&lt;&gt;"",DD77&lt;&gt;""),ABS(DC77-DD77)/ABS(DC77)*100,""),"")</f>
        <v/>
      </c>
      <c r="DF77" s="62" t="inlineStr">
        <is>
          <t>ND</t>
        </is>
      </c>
      <c r="DG77" s="68" t="n"/>
      <c r="DH77" s="68" t="n"/>
      <c r="DI77" s="65">
        <f>IFERROR(IF(AND(DG77&lt;&gt;"",DH77&lt;&gt;""),ABS(DG77-DH77)/ABS(DG77)*100,""),"")</f>
        <v/>
      </c>
      <c r="DJ77" s="62" t="inlineStr">
        <is>
          <t>ND</t>
        </is>
      </c>
      <c r="DK77" s="68" t="n"/>
      <c r="DL77" s="68" t="n"/>
      <c r="DM77" s="65">
        <f>IFERROR(IF(AND(DK77&lt;&gt;"",DL77&lt;&gt;""),ABS(DK77-DL77)/ABS(DK77)*100,""),"")</f>
        <v/>
      </c>
      <c r="DN77" s="62" t="inlineStr">
        <is>
          <t>ND</t>
        </is>
      </c>
      <c r="DO77" s="68" t="n"/>
      <c r="DP77" s="68" t="n"/>
      <c r="DQ77" s="65">
        <f>IFERROR(IF(AND(DO77&lt;&gt;"",DP77&lt;&gt;""),ABS(DO77-DP77)/ABS(DO77)*100,""),"")</f>
        <v/>
      </c>
      <c r="DR77" s="62" t="inlineStr">
        <is>
          <t>ND</t>
        </is>
      </c>
      <c r="DS77" s="68" t="n"/>
      <c r="DT77" s="68" t="n"/>
      <c r="DU77" s="65">
        <f>IFERROR(IF(AND(DS77&lt;&gt;"",DT77&lt;&gt;""),ABS(DS77-DT77)/ABS(DS77)*100,""),"")</f>
        <v/>
      </c>
      <c r="DV77" s="62" t="inlineStr">
        <is>
          <t>ND</t>
        </is>
      </c>
      <c r="DW77" s="63" t="inlineStr">
        <is>
          <t>Claude only (DeepSeek pending). Source=2020-21 report (more recent than 2019 report). Ind.1=3.73 CONFLICTS with 2019 report's 5.66 - flag. Ind.2=ND: 2020-21 report RETRACTS 2019 report's 20.63 (Female Permanent %) entirely - flag as real data loss. Ind.7/8=ND. Ind.10=ND: 2019 report's 17.65% was North-America-only scope (not company-wide); 2020-21 report has no comparable figure at all - not a true retraction so much as differing scope/coverage, but the NA-only figure is NOT usable as a company-wide value regardless. Ind.11=0, from 2019 report (Calculated/INFERRED from a fully-named 5-director roster with no identifiable female directors - not an explicit disclosure, treat with appropriate caution). Ind.15=12.59, RECALCULATED using total company headcount (2020-21 report's own improvement over the source's mislabeled 'per employee' figure that was actually per-trainee) - different methodology than 2018's figure, not directly comparable. Ind.24=ND: 2020-21 report RETRACTS the 2019 report's clean, well-evidenced explicit zero for this year - likely an oversight in the later batch, flag for manual check if this indicator matters to you. Ind.30=ND: 2020-21 report RETRACTS the 2019 report's 'A' KCGS grade, questioning whether a Corporate-Governance-PILLAR sub-grade equals the required OVERALL KCGS letter grade - this caution seems well-reasoned methodologically. || DEEPSEEK RECONCILIATION - MANUAL FLAGS: Ind.1 (Contract Workers%): Claude=3.73, DeepSeek=2.81, Diff=24.7%</t>
        </is>
      </c>
    </row>
    <row r="78" ht="15.75" customHeight="1" s="43">
      <c r="A78" s="69" t="n"/>
      <c r="B78" s="69" t="n"/>
      <c r="C78" s="69" t="inlineStr">
        <is>
          <t>Industrials</t>
        </is>
      </c>
      <c r="D78" s="69" t="inlineStr">
        <is>
          <t>2020</t>
        </is>
      </c>
      <c r="E78" s="70" t="inlineStr">
        <is>
          <t>DOOSAN_BOBCAT_2020-2021.pdf (only report covering 2020)</t>
        </is>
      </c>
      <c r="F78" s="69" t="n"/>
      <c r="G78" s="64" t="n">
        <v>3.06</v>
      </c>
      <c r="H78" s="64" t="n">
        <v>3.56</v>
      </c>
      <c r="I78" s="71">
        <f>IFERROR(IF(AND(G78&lt;&gt;"",H78&lt;&gt;""),ABS(G78-H78)/ABS(G78)*100,""),"")</f>
        <v/>
      </c>
      <c r="J78" s="66" t="inlineStr">
        <is>
          <t>MANUAL FLAG</t>
        </is>
      </c>
      <c r="K78" s="67" t="n"/>
      <c r="L78" s="67" t="n">
        <v>20.29</v>
      </c>
      <c r="M78" s="71">
        <f>IFERROR(IF(AND(K78&lt;&gt;"",L78&lt;&gt;""),ABS(K78-L78)/ABS(K78)*100,""),"")</f>
        <v/>
      </c>
      <c r="N78" s="69" t="inlineStr">
        <is>
          <t>DeepSeek</t>
        </is>
      </c>
      <c r="O78" s="67" t="n"/>
      <c r="P78" s="67" t="n">
        <v>71.02</v>
      </c>
      <c r="Q78" s="71">
        <f>IFERROR(IF(AND(O78&lt;&gt;"",P78&lt;&gt;""),ABS(O78-P78)/ABS(O78)*100,""),"")</f>
        <v/>
      </c>
      <c r="R78" s="69" t="inlineStr">
        <is>
          <t>DeepSeek</t>
        </is>
      </c>
      <c r="S78" s="67" t="n"/>
      <c r="T78" s="67" t="n"/>
      <c r="U78" s="71">
        <f>IFERROR(IF(AND(S78&lt;&gt;"",T78&lt;&gt;""),ABS(S78-T78)/ABS(S78)*100,""),"")</f>
        <v/>
      </c>
      <c r="V78" s="69" t="inlineStr">
        <is>
          <t>ND</t>
        </is>
      </c>
      <c r="W78" s="67" t="n"/>
      <c r="X78" s="67" t="n"/>
      <c r="Y78" s="71">
        <f>IFERROR(IF(AND(W78&lt;&gt;"",X78&lt;&gt;""),ABS(W78-X78)/ABS(W78)*100,""),"")</f>
        <v/>
      </c>
      <c r="Z78" s="69" t="inlineStr">
        <is>
          <t>ND</t>
        </is>
      </c>
      <c r="AA78" s="67" t="n"/>
      <c r="AB78" s="67" t="n"/>
      <c r="AC78" s="71">
        <f>IFERROR(IF(AND(AA78&lt;&gt;"",AB78&lt;&gt;""),ABS(AA78-AB78)/ABS(AA78)*100,""),"")</f>
        <v/>
      </c>
      <c r="AD78" s="69" t="inlineStr">
        <is>
          <t>ND</t>
        </is>
      </c>
      <c r="AE78" s="67" t="n"/>
      <c r="AF78" s="67" t="n"/>
      <c r="AG78" s="71">
        <f>IFERROR(IF(AND(AE78&lt;&gt;"",AF78&lt;&gt;""),ABS(AE78-AF78)/ABS(AE78)*100,""),"")</f>
        <v/>
      </c>
      <c r="AH78" s="69" t="inlineStr">
        <is>
          <t>ND</t>
        </is>
      </c>
      <c r="AI78" s="67" t="n"/>
      <c r="AJ78" s="67" t="n"/>
      <c r="AK78" s="71">
        <f>IFERROR(IF(AND(AI78&lt;&gt;"",AJ78&lt;&gt;""),ABS(AI78-AJ78)/ABS(AI78)*100,""),"")</f>
        <v/>
      </c>
      <c r="AL78" s="69" t="inlineStr">
        <is>
          <t>ND</t>
        </is>
      </c>
      <c r="AM78" s="67" t="n"/>
      <c r="AN78" s="67" t="n"/>
      <c r="AO78" s="71">
        <f>IFERROR(IF(AND(AM78&lt;&gt;"",AN78&lt;&gt;""),ABS(AM78-AN78)/ABS(AM78)*100,""),"")</f>
        <v/>
      </c>
      <c r="AP78" s="69" t="inlineStr">
        <is>
          <t>ND</t>
        </is>
      </c>
      <c r="AQ78" s="67" t="n"/>
      <c r="AR78" s="67" t="n"/>
      <c r="AS78" s="71">
        <f>IFERROR(IF(AND(AQ78&lt;&gt;"",AR78&lt;&gt;""),ABS(AQ78-AR78)/ABS(AQ78)*100,""),"")</f>
        <v/>
      </c>
      <c r="AT78" s="69" t="inlineStr">
        <is>
          <t>ND</t>
        </is>
      </c>
      <c r="AU78" s="67" t="n"/>
      <c r="AV78" s="67" t="n"/>
      <c r="AW78" s="71">
        <f>IFERROR(IF(AND(AU78&lt;&gt;"",AV78&lt;&gt;""),ABS(AU78-AV78)/ABS(AU78)*100,""),"")</f>
        <v/>
      </c>
      <c r="AX78" s="69" t="inlineStr">
        <is>
          <t>ND</t>
        </is>
      </c>
      <c r="AY78" s="67" t="n"/>
      <c r="AZ78" s="67" t="n"/>
      <c r="BA78" s="71">
        <f>IFERROR(IF(AND(AY78&lt;&gt;"",AZ78&lt;&gt;""),ABS(AY78-AZ78)/ABS(AY78)*100,""),"")</f>
        <v/>
      </c>
      <c r="BB78" s="69" t="inlineStr">
        <is>
          <t>ND</t>
        </is>
      </c>
      <c r="BC78" s="67" t="n"/>
      <c r="BD78" s="67" t="n"/>
      <c r="BE78" s="71">
        <f>IFERROR(IF(AND(BC78&lt;&gt;"",BD78&lt;&gt;""),ABS(BC78-BD78)/ABS(BC78)*100,""),"")</f>
        <v/>
      </c>
      <c r="BF78" s="69" t="inlineStr">
        <is>
          <t>ND</t>
        </is>
      </c>
      <c r="BG78" s="67" t="n"/>
      <c r="BH78" s="67" t="n"/>
      <c r="BI78" s="71">
        <f>IFERROR(IF(AND(BG78&lt;&gt;"",BH78&lt;&gt;""),ABS(BG78-BH78)/ABS(BG78)*100,""),"")</f>
        <v/>
      </c>
      <c r="BJ78" s="69" t="inlineStr">
        <is>
          <t>ND</t>
        </is>
      </c>
      <c r="BK78" s="64" t="n">
        <v>11.48</v>
      </c>
      <c r="BL78" s="64" t="n">
        <v>13</v>
      </c>
      <c r="BM78" s="71">
        <f>IFERROR(IF(AND(BK78&lt;&gt;"",BL78&lt;&gt;""),ABS(BK78-BL78)/ABS(BK78)*100,""),"")</f>
        <v/>
      </c>
      <c r="BN78" s="66" t="inlineStr">
        <is>
          <t>MANUAL FLAG</t>
        </is>
      </c>
      <c r="BO78" s="67" t="n"/>
      <c r="BP78" s="67" t="n"/>
      <c r="BQ78" s="71">
        <f>IFERROR(IF(AND(BO78&lt;&gt;"",BP78&lt;&gt;""),ABS(BO78-BP78)/ABS(BO78)*100,""),"")</f>
        <v/>
      </c>
      <c r="BR78" s="69" t="inlineStr">
        <is>
          <t>ND</t>
        </is>
      </c>
      <c r="BS78" s="67" t="n"/>
      <c r="BT78" s="67" t="n"/>
      <c r="BU78" s="71">
        <f>IFERROR(IF(AND(BS78&lt;&gt;"",BT78&lt;&gt;""),ABS(BS78-BT78)/ABS(BS78)*100,""),"")</f>
        <v/>
      </c>
      <c r="BV78" s="69" t="inlineStr">
        <is>
          <t>ND</t>
        </is>
      </c>
      <c r="BW78" s="67" t="n"/>
      <c r="BX78" s="67" t="n"/>
      <c r="BY78" s="71">
        <f>IFERROR(IF(AND(BW78&lt;&gt;"",BX78&lt;&gt;""),ABS(BW78-BX78)/ABS(BW78)*100,""),"")</f>
        <v/>
      </c>
      <c r="BZ78" s="69" t="inlineStr">
        <is>
          <t>ND</t>
        </is>
      </c>
      <c r="CA78" s="67" t="n"/>
      <c r="CB78" s="67" t="n"/>
      <c r="CC78" s="71">
        <f>IFERROR(IF(AND(CA78&lt;&gt;"",CB78&lt;&gt;""),ABS(CA78-CB78)/ABS(CA78)*100,""),"")</f>
        <v/>
      </c>
      <c r="CD78" s="69" t="inlineStr">
        <is>
          <t>ND</t>
        </is>
      </c>
      <c r="CE78" s="67" t="n"/>
      <c r="CF78" s="67" t="n"/>
      <c r="CG78" s="71">
        <f>IFERROR(IF(AND(CE78&lt;&gt;"",CF78&lt;&gt;""),ABS(CE78-CF78)/ABS(CE78)*100,""),"")</f>
        <v/>
      </c>
      <c r="CH78" s="69" t="inlineStr">
        <is>
          <t>ND</t>
        </is>
      </c>
      <c r="CI78" s="67" t="n"/>
      <c r="CJ78" s="67" t="n"/>
      <c r="CK78" s="71">
        <f>IFERROR(IF(AND(CI78&lt;&gt;"",CJ78&lt;&gt;""),ABS(CI78-CJ78)/ABS(CI78)*100,""),"")</f>
        <v/>
      </c>
      <c r="CL78" s="69" t="inlineStr">
        <is>
          <t>ND</t>
        </is>
      </c>
      <c r="CM78" s="67" t="n"/>
      <c r="CN78" s="67" t="n"/>
      <c r="CO78" s="71">
        <f>IFERROR(IF(AND(CM78&lt;&gt;"",CN78&lt;&gt;""),ABS(CM78-CN78)/ABS(CM78)*100,""),"")</f>
        <v/>
      </c>
      <c r="CP78" s="69" t="inlineStr">
        <is>
          <t>ND</t>
        </is>
      </c>
      <c r="CQ78" s="67" t="n"/>
      <c r="CR78" s="67" t="n"/>
      <c r="CS78" s="71">
        <f>IFERROR(IF(AND(CQ78&lt;&gt;"",CR78&lt;&gt;""),ABS(CQ78-CR78)/ABS(CQ78)*100,""),"")</f>
        <v/>
      </c>
      <c r="CT78" s="69" t="inlineStr">
        <is>
          <t>ND</t>
        </is>
      </c>
      <c r="CU78" s="67" t="n"/>
      <c r="CV78" s="67" t="n"/>
      <c r="CW78" s="71">
        <f>IFERROR(IF(AND(CU78&lt;&gt;"",CV78&lt;&gt;""),ABS(CU78-CV78)/ABS(CU78)*100,""),"")</f>
        <v/>
      </c>
      <c r="CX78" s="69" t="inlineStr">
        <is>
          <t>ND</t>
        </is>
      </c>
      <c r="CY78" s="68" t="n"/>
      <c r="CZ78" s="68" t="n">
        <v>4</v>
      </c>
      <c r="DA78" s="71">
        <f>IFERROR(IF(AND(CY78&lt;&gt;"",CZ78&lt;&gt;""),ABS(CY78-CZ78)/ABS(CY78)*100,""),"")</f>
        <v/>
      </c>
      <c r="DB78" s="69" t="inlineStr">
        <is>
          <t>DeepSeek</t>
        </is>
      </c>
      <c r="DC78" s="68" t="n"/>
      <c r="DD78" s="68" t="n"/>
      <c r="DE78" s="71">
        <f>IFERROR(IF(AND(DC78&lt;&gt;"",DD78&lt;&gt;""),ABS(DC78-DD78)/ABS(DC78)*100,""),"")</f>
        <v/>
      </c>
      <c r="DF78" s="69" t="inlineStr">
        <is>
          <t>ND</t>
        </is>
      </c>
      <c r="DG78" s="68" t="n"/>
      <c r="DH78" s="68" t="n"/>
      <c r="DI78" s="71">
        <f>IFERROR(IF(AND(DG78&lt;&gt;"",DH78&lt;&gt;""),ABS(DG78-DH78)/ABS(DG78)*100,""),"")</f>
        <v/>
      </c>
      <c r="DJ78" s="69" t="inlineStr">
        <is>
          <t>ND</t>
        </is>
      </c>
      <c r="DK78" s="68" t="n"/>
      <c r="DL78" s="68" t="n"/>
      <c r="DM78" s="71">
        <f>IFERROR(IF(AND(DK78&lt;&gt;"",DL78&lt;&gt;""),ABS(DK78-DL78)/ABS(DK78)*100,""),"")</f>
        <v/>
      </c>
      <c r="DN78" s="69" t="inlineStr">
        <is>
          <t>ND</t>
        </is>
      </c>
      <c r="DO78" s="68" t="n"/>
      <c r="DP78" s="68" t="n"/>
      <c r="DQ78" s="71">
        <f>IFERROR(IF(AND(DO78&lt;&gt;"",DP78&lt;&gt;""),ABS(DO78-DP78)/ABS(DO78)*100,""),"")</f>
        <v/>
      </c>
      <c r="DR78" s="69" t="inlineStr">
        <is>
          <t>ND</t>
        </is>
      </c>
      <c r="DS78" s="68" t="n"/>
      <c r="DT78" s="68" t="inlineStr">
        <is>
          <t>A</t>
        </is>
      </c>
      <c r="DU78" s="71">
        <f>IFERROR(IF(AND(DS78&lt;&gt;"",DT78&lt;&gt;""),ABS(DS78-DT78)/ABS(DS78)*100,""),"")</f>
        <v/>
      </c>
      <c r="DV78" s="69" t="inlineStr">
        <is>
          <t>DeepSeek</t>
        </is>
      </c>
      <c r="DW78" s="70" t="inlineStr">
        <is>
          <t>Claude only (DeepSeek pending). Source=2020-21 report, only report covering 2020. Ind.7/8=ND. Ind.15=11.48, same recalculated-per-total-headcount methodology as 2019. || DEEPSEEK RECONCILIATION - MANUAL FLAGS: Ind.1 (Contract Workers%): Claude=3.06, DeepSeek=3.56, Diff=16.3%; Ind.15 (Training Hours/Employee): Claude=11.48, DeepSeek=13, Diff=13.2%</t>
        </is>
      </c>
    </row>
    <row r="79" ht="15.75" customHeight="1" s="43">
      <c r="A79" s="62" t="n"/>
      <c r="B79" s="62" t="n"/>
      <c r="C79" s="62" t="inlineStr">
        <is>
          <t>Industrials</t>
        </is>
      </c>
      <c r="D79" s="62" t="inlineStr">
        <is>
          <t>2021</t>
        </is>
      </c>
      <c r="E79" s="63" t="inlineStr">
        <is>
          <t>No data - all report editions show na for 2021</t>
        </is>
      </c>
      <c r="F79" s="62" t="n"/>
      <c r="G79" s="67" t="n"/>
      <c r="H79" s="67" t="n"/>
      <c r="I79" s="65">
        <f>IFERROR(IF(AND(G79&lt;&gt;"",H79&lt;&gt;""),ABS(G79-H79)/ABS(G79)*100,""),"")</f>
        <v/>
      </c>
      <c r="J79" s="62" t="inlineStr">
        <is>
          <t>ND</t>
        </is>
      </c>
      <c r="K79" s="67" t="n"/>
      <c r="L79" s="67" t="n"/>
      <c r="M79" s="65">
        <f>IFERROR(IF(AND(K79&lt;&gt;"",L79&lt;&gt;""),ABS(K79-L79)/ABS(K79)*100,""),"")</f>
        <v/>
      </c>
      <c r="N79" s="62" t="inlineStr">
        <is>
          <t>ND</t>
        </is>
      </c>
      <c r="O79" s="67" t="n"/>
      <c r="P79" s="67" t="n"/>
      <c r="Q79" s="65">
        <f>IFERROR(IF(AND(O79&lt;&gt;"",P79&lt;&gt;""),ABS(O79-P79)/ABS(O79)*100,""),"")</f>
        <v/>
      </c>
      <c r="R79" s="62" t="inlineStr">
        <is>
          <t>ND</t>
        </is>
      </c>
      <c r="S79" s="67" t="n"/>
      <c r="T79" s="67" t="n"/>
      <c r="U79" s="65">
        <f>IFERROR(IF(AND(S79&lt;&gt;"",T79&lt;&gt;""),ABS(S79-T79)/ABS(S79)*100,""),"")</f>
        <v/>
      </c>
      <c r="V79" s="62" t="inlineStr">
        <is>
          <t>ND</t>
        </is>
      </c>
      <c r="W79" s="67" t="n"/>
      <c r="X79" s="67" t="n"/>
      <c r="Y79" s="65">
        <f>IFERROR(IF(AND(W79&lt;&gt;"",X79&lt;&gt;""),ABS(W79-X79)/ABS(W79)*100,""),"")</f>
        <v/>
      </c>
      <c r="Z79" s="62" t="inlineStr">
        <is>
          <t>ND</t>
        </is>
      </c>
      <c r="AA79" s="67" t="n"/>
      <c r="AB79" s="67" t="n">
        <v>19.14</v>
      </c>
      <c r="AC79" s="65">
        <f>IFERROR(IF(AND(AA79&lt;&gt;"",AB79&lt;&gt;""),ABS(AA79-AB79)/ABS(AA79)*100,""),"")</f>
        <v/>
      </c>
      <c r="AD79" s="62" t="inlineStr">
        <is>
          <t>DeepSeek</t>
        </is>
      </c>
      <c r="AE79" s="67" t="n"/>
      <c r="AF79" s="67" t="n"/>
      <c r="AG79" s="65">
        <f>IFERROR(IF(AND(AE79&lt;&gt;"",AF79&lt;&gt;""),ABS(AE79-AF79)/ABS(AE79)*100,""),"")</f>
        <v/>
      </c>
      <c r="AH79" s="62" t="inlineStr">
        <is>
          <t>ND</t>
        </is>
      </c>
      <c r="AI79" s="67" t="n"/>
      <c r="AJ79" s="67" t="n"/>
      <c r="AK79" s="65">
        <f>IFERROR(IF(AND(AI79&lt;&gt;"",AJ79&lt;&gt;""),ABS(AI79-AJ79)/ABS(AI79)*100,""),"")</f>
        <v/>
      </c>
      <c r="AL79" s="62" t="inlineStr">
        <is>
          <t>ND</t>
        </is>
      </c>
      <c r="AM79" s="67" t="n"/>
      <c r="AN79" s="67" t="n"/>
      <c r="AO79" s="65">
        <f>IFERROR(IF(AND(AM79&lt;&gt;"",AN79&lt;&gt;""),ABS(AM79-AN79)/ABS(AM79)*100,""),"")</f>
        <v/>
      </c>
      <c r="AP79" s="62" t="inlineStr">
        <is>
          <t>ND</t>
        </is>
      </c>
      <c r="AQ79" s="67" t="n"/>
      <c r="AR79" s="67" t="n">
        <v>0</v>
      </c>
      <c r="AS79" s="65">
        <f>IFERROR(IF(AND(AQ79&lt;&gt;"",AR79&lt;&gt;""),ABS(AQ79-AR79)/ABS(AQ79)*100,""),"")</f>
        <v/>
      </c>
      <c r="AT79" s="62" t="inlineStr">
        <is>
          <t>DeepSeek</t>
        </is>
      </c>
      <c r="AU79" s="67" t="n"/>
      <c r="AV79" s="67" t="n">
        <v>0</v>
      </c>
      <c r="AW79" s="65">
        <f>IFERROR(IF(AND(AU79&lt;&gt;"",AV79&lt;&gt;""),ABS(AU79-AV79)/ABS(AU79)*100,""),"")</f>
        <v/>
      </c>
      <c r="AX79" s="62" t="inlineStr">
        <is>
          <t>DeepSeek</t>
        </is>
      </c>
      <c r="AY79" s="67" t="n"/>
      <c r="AZ79" s="67" t="n"/>
      <c r="BA79" s="65">
        <f>IFERROR(IF(AND(AY79&lt;&gt;"",AZ79&lt;&gt;""),ABS(AY79-AZ79)/ABS(AY79)*100,""),"")</f>
        <v/>
      </c>
      <c r="BB79" s="62" t="inlineStr">
        <is>
          <t>ND</t>
        </is>
      </c>
      <c r="BC79" s="67" t="n"/>
      <c r="BD79" s="67" t="n"/>
      <c r="BE79" s="65">
        <f>IFERROR(IF(AND(BC79&lt;&gt;"",BD79&lt;&gt;""),ABS(BC79-BD79)/ABS(BC79)*100,""),"")</f>
        <v/>
      </c>
      <c r="BF79" s="62" t="inlineStr">
        <is>
          <t>ND</t>
        </is>
      </c>
      <c r="BG79" s="67" t="n"/>
      <c r="BH79" s="67" t="n"/>
      <c r="BI79" s="65">
        <f>IFERROR(IF(AND(BG79&lt;&gt;"",BH79&lt;&gt;""),ABS(BG79-BH79)/ABS(BG79)*100,""),"")</f>
        <v/>
      </c>
      <c r="BJ79" s="62" t="inlineStr">
        <is>
          <t>ND</t>
        </is>
      </c>
      <c r="BK79" s="67" t="n"/>
      <c r="BL79" s="67" t="n">
        <v>8.609999999999999</v>
      </c>
      <c r="BM79" s="65">
        <f>IFERROR(IF(AND(BK79&lt;&gt;"",BL79&lt;&gt;""),ABS(BK79-BL79)/ABS(BK79)*100,""),"")</f>
        <v/>
      </c>
      <c r="BN79" s="62" t="inlineStr">
        <is>
          <t>DeepSeek</t>
        </is>
      </c>
      <c r="BO79" s="67" t="n"/>
      <c r="BP79" s="67" t="n">
        <v>5</v>
      </c>
      <c r="BQ79" s="65">
        <f>IFERROR(IF(AND(BO79&lt;&gt;"",BP79&lt;&gt;""),ABS(BO79-BP79)/ABS(BO79)*100,""),"")</f>
        <v/>
      </c>
      <c r="BR79" s="62" t="inlineStr">
        <is>
          <t>DeepSeek</t>
        </is>
      </c>
      <c r="BS79" s="67" t="n"/>
      <c r="BT79" s="67" t="n">
        <v>11</v>
      </c>
      <c r="BU79" s="65">
        <f>IFERROR(IF(AND(BS79&lt;&gt;"",BT79&lt;&gt;""),ABS(BS79-BT79)/ABS(BS79)*100,""),"")</f>
        <v/>
      </c>
      <c r="BV79" s="62" t="inlineStr">
        <is>
          <t>DeepSeek</t>
        </is>
      </c>
      <c r="BW79" s="67" t="n"/>
      <c r="BX79" s="67" t="n"/>
      <c r="BY79" s="65">
        <f>IFERROR(IF(AND(BW79&lt;&gt;"",BX79&lt;&gt;""),ABS(BW79-BX79)/ABS(BW79)*100,""),"")</f>
        <v/>
      </c>
      <c r="BZ79" s="62" t="inlineStr">
        <is>
          <t>ND</t>
        </is>
      </c>
      <c r="CA79" s="67" t="n"/>
      <c r="CB79" s="67" t="n"/>
      <c r="CC79" s="65">
        <f>IFERROR(IF(AND(CA79&lt;&gt;"",CB79&lt;&gt;""),ABS(CA79-CB79)/ABS(CA79)*100,""),"")</f>
        <v/>
      </c>
      <c r="CD79" s="62" t="inlineStr">
        <is>
          <t>ND</t>
        </is>
      </c>
      <c r="CE79" s="67" t="n"/>
      <c r="CF79" s="67" t="n"/>
      <c r="CG79" s="65">
        <f>IFERROR(IF(AND(CE79&lt;&gt;"",CF79&lt;&gt;""),ABS(CE79-CF79)/ABS(CE79)*100,""),"")</f>
        <v/>
      </c>
      <c r="CH79" s="62" t="inlineStr">
        <is>
          <t>ND</t>
        </is>
      </c>
      <c r="CI79" s="67" t="n"/>
      <c r="CJ79" s="67" t="n"/>
      <c r="CK79" s="65">
        <f>IFERROR(IF(AND(CI79&lt;&gt;"",CJ79&lt;&gt;""),ABS(CI79-CJ79)/ABS(CI79)*100,""),"")</f>
        <v/>
      </c>
      <c r="CL79" s="62" t="inlineStr">
        <is>
          <t>ND</t>
        </is>
      </c>
      <c r="CM79" s="67" t="n"/>
      <c r="CN79" s="67" t="n"/>
      <c r="CO79" s="65">
        <f>IFERROR(IF(AND(CM79&lt;&gt;"",CN79&lt;&gt;""),ABS(CM79-CN79)/ABS(CM79)*100,""),"")</f>
        <v/>
      </c>
      <c r="CP79" s="62" t="inlineStr">
        <is>
          <t>ND</t>
        </is>
      </c>
      <c r="CQ79" s="67" t="n"/>
      <c r="CR79" s="67" t="n"/>
      <c r="CS79" s="65">
        <f>IFERROR(IF(AND(CQ79&lt;&gt;"",CR79&lt;&gt;""),ABS(CQ79-CR79)/ABS(CQ79)*100,""),"")</f>
        <v/>
      </c>
      <c r="CT79" s="62" t="inlineStr">
        <is>
          <t>ND</t>
        </is>
      </c>
      <c r="CU79" s="67" t="n"/>
      <c r="CV79" s="67" t="n"/>
      <c r="CW79" s="65">
        <f>IFERROR(IF(AND(CU79&lt;&gt;"",CV79&lt;&gt;""),ABS(CU79-CV79)/ABS(CU79)*100,""),"")</f>
        <v/>
      </c>
      <c r="CX79" s="62" t="inlineStr">
        <is>
          <t>ND</t>
        </is>
      </c>
      <c r="CY79" s="68" t="n"/>
      <c r="CZ79" s="68" t="n"/>
      <c r="DA79" s="65">
        <f>IFERROR(IF(AND(CY79&lt;&gt;"",CZ79&lt;&gt;""),ABS(CY79-CZ79)/ABS(CY79)*100,""),"")</f>
        <v/>
      </c>
      <c r="DB79" s="62" t="inlineStr">
        <is>
          <t>ND</t>
        </is>
      </c>
      <c r="DC79" s="68" t="n"/>
      <c r="DD79" s="68" t="n">
        <v>5</v>
      </c>
      <c r="DE79" s="65">
        <f>IFERROR(IF(AND(DC79&lt;&gt;"",DD79&lt;&gt;""),ABS(DC79-DD79)/ABS(DC79)*100,""),"")</f>
        <v/>
      </c>
      <c r="DF79" s="62" t="inlineStr">
        <is>
          <t>DeepSeek</t>
        </is>
      </c>
      <c r="DG79" s="68" t="n"/>
      <c r="DH79" s="68" t="n"/>
      <c r="DI79" s="65">
        <f>IFERROR(IF(AND(DG79&lt;&gt;"",DH79&lt;&gt;""),ABS(DG79-DH79)/ABS(DG79)*100,""),"")</f>
        <v/>
      </c>
      <c r="DJ79" s="62" t="inlineStr">
        <is>
          <t>ND</t>
        </is>
      </c>
      <c r="DK79" s="68" t="n"/>
      <c r="DL79" s="68" t="n"/>
      <c r="DM79" s="65">
        <f>IFERROR(IF(AND(DK79&lt;&gt;"",DL79&lt;&gt;""),ABS(DK79-DL79)/ABS(DK79)*100,""),"")</f>
        <v/>
      </c>
      <c r="DN79" s="62" t="inlineStr">
        <is>
          <t>ND</t>
        </is>
      </c>
      <c r="DO79" s="68" t="n"/>
      <c r="DP79" s="68" t="n"/>
      <c r="DQ79" s="65">
        <f>IFERROR(IF(AND(DO79&lt;&gt;"",DP79&lt;&gt;""),ABS(DO79-DP79)/ABS(DO79)*100,""),"")</f>
        <v/>
      </c>
      <c r="DR79" s="62" t="inlineStr">
        <is>
          <t>ND</t>
        </is>
      </c>
      <c r="DS79" s="68" t="n"/>
      <c r="DT79" s="68" t="n"/>
      <c r="DU79" s="65">
        <f>IFERROR(IF(AND(DS79&lt;&gt;"",DT79&lt;&gt;""),ABS(DS79-DT79)/ABS(DS79)*100,""),"")</f>
        <v/>
      </c>
      <c r="DV79" s="62" t="inlineStr">
        <is>
          <t>ND</t>
        </is>
      </c>
      <c r="DW79" s="63" t="inlineStr">
        <is>
          <t>No data available for this year in any of the 5 report batches (Baseline and Modern-window reports both explicitly show 'na' for 2021 - a genuine disclosure gap, not a dropped-column issue). ND throughout.</t>
        </is>
      </c>
    </row>
    <row r="80" ht="15.75" customHeight="1" s="43">
      <c r="A80" s="69" t="n"/>
      <c r="B80" s="69" t="n"/>
      <c r="C80" s="69" t="inlineStr">
        <is>
          <t>Industrials</t>
        </is>
      </c>
      <c r="D80" s="69" t="inlineStr">
        <is>
          <t>2022</t>
        </is>
      </c>
      <c r="E80" s="70" t="inlineStr">
        <is>
          <t>DOOSAN_BOBCAT_2024.pdf (most recent covering 2022)</t>
        </is>
      </c>
      <c r="F80" s="69" t="n"/>
      <c r="G80" s="67" t="n">
        <v>4.38</v>
      </c>
      <c r="H80" s="67" t="n">
        <v>4.38</v>
      </c>
      <c r="I80" s="71">
        <f>IFERROR(IF(AND(G80&lt;&gt;"",H80&lt;&gt;""),ABS(G80-H80)/ABS(G80)*100,""),"")</f>
        <v/>
      </c>
      <c r="J80" s="69" t="inlineStr">
        <is>
          <t>Claude</t>
        </is>
      </c>
      <c r="K80" s="67" t="n">
        <v>20.07</v>
      </c>
      <c r="L80" s="67" t="n">
        <v>20.07</v>
      </c>
      <c r="M80" s="71">
        <f>IFERROR(IF(AND(K80&lt;&gt;"",L80&lt;&gt;""),ABS(K80-L80)/ABS(K80)*100,""),"")</f>
        <v/>
      </c>
      <c r="N80" s="69" t="inlineStr">
        <is>
          <t>Claude</t>
        </is>
      </c>
      <c r="O80" s="67" t="n">
        <v>27.99</v>
      </c>
      <c r="P80" s="67" t="n">
        <v>27.99</v>
      </c>
      <c r="Q80" s="71">
        <f>IFERROR(IF(AND(O80&lt;&gt;"",P80&lt;&gt;""),ABS(O80-P80)/ABS(O80)*100,""),"")</f>
        <v/>
      </c>
      <c r="R80" s="69" t="inlineStr">
        <is>
          <t>Claude</t>
        </is>
      </c>
      <c r="S80" s="67" t="n">
        <v>22.27</v>
      </c>
      <c r="T80" s="67" t="n">
        <v>22.27</v>
      </c>
      <c r="U80" s="71">
        <f>IFERROR(IF(AND(S80&lt;&gt;"",T80&lt;&gt;""),ABS(S80-T80)/ABS(S80)*100,""),"")</f>
        <v/>
      </c>
      <c r="V80" s="69" t="inlineStr">
        <is>
          <t>Claude</t>
        </is>
      </c>
      <c r="W80" s="67" t="n"/>
      <c r="X80" s="67" t="n"/>
      <c r="Y80" s="71">
        <f>IFERROR(IF(AND(W80&lt;&gt;"",X80&lt;&gt;""),ABS(W80-X80)/ABS(W80)*100,""),"")</f>
        <v/>
      </c>
      <c r="Z80" s="69" t="inlineStr">
        <is>
          <t>ND</t>
        </is>
      </c>
      <c r="AA80" s="67" t="n">
        <v>22</v>
      </c>
      <c r="AB80" s="67" t="n">
        <v>21.97</v>
      </c>
      <c r="AC80" s="71">
        <f>IFERROR(IF(AND(AA80&lt;&gt;"",AB80&lt;&gt;""),ABS(AA80-AB80)/ABS(AA80)*100,""),"")</f>
        <v/>
      </c>
      <c r="AD80" s="69" t="inlineStr">
        <is>
          <t>Claude</t>
        </is>
      </c>
      <c r="AE80" s="67" t="n"/>
      <c r="AF80" s="67" t="n"/>
      <c r="AG80" s="71">
        <f>IFERROR(IF(AND(AE80&lt;&gt;"",AF80&lt;&gt;""),ABS(AE80-AF80)/ABS(AE80)*100,""),"")</f>
        <v/>
      </c>
      <c r="AH80" s="69" t="inlineStr">
        <is>
          <t>ND</t>
        </is>
      </c>
      <c r="AI80" s="67" t="n"/>
      <c r="AJ80" s="67" t="n"/>
      <c r="AK80" s="71">
        <f>IFERROR(IF(AND(AI80&lt;&gt;"",AJ80&lt;&gt;""),ABS(AI80-AJ80)/ABS(AI80)*100,""),"")</f>
        <v/>
      </c>
      <c r="AL80" s="69" t="inlineStr">
        <is>
          <t>ND</t>
        </is>
      </c>
      <c r="AM80" s="67" t="n">
        <v>16.11</v>
      </c>
      <c r="AN80" s="67" t="n">
        <v>16.11</v>
      </c>
      <c r="AO80" s="71">
        <f>IFERROR(IF(AND(AM80&lt;&gt;"",AN80&lt;&gt;""),ABS(AM80-AN80)/ABS(AM80)*100,""),"")</f>
        <v/>
      </c>
      <c r="AP80" s="69" t="inlineStr">
        <is>
          <t>Claude</t>
        </is>
      </c>
      <c r="AQ80" s="64" t="n">
        <v>5.45</v>
      </c>
      <c r="AR80" s="64" t="n">
        <v>60</v>
      </c>
      <c r="AS80" s="71">
        <f>IFERROR(IF(AND(AQ80&lt;&gt;"",AR80&lt;&gt;""),ABS(AQ80-AR80)/ABS(AQ80)*100,""),"")</f>
        <v/>
      </c>
      <c r="AT80" s="66" t="inlineStr">
        <is>
          <t>MANUAL FLAG</t>
        </is>
      </c>
      <c r="AU80" s="67" t="n"/>
      <c r="AV80" s="67" t="n">
        <v>0</v>
      </c>
      <c r="AW80" s="71">
        <f>IFERROR(IF(AND(AU80&lt;&gt;"",AV80&lt;&gt;""),ABS(AU80-AV80)/ABS(AU80)*100,""),"")</f>
        <v/>
      </c>
      <c r="AX80" s="69" t="inlineStr">
        <is>
          <t>DeepSeek</t>
        </is>
      </c>
      <c r="AY80" s="67" t="n"/>
      <c r="AZ80" s="67" t="n"/>
      <c r="BA80" s="71">
        <f>IFERROR(IF(AND(AY80&lt;&gt;"",AZ80&lt;&gt;""),ABS(AY80-AZ80)/ABS(AY80)*100,""),"")</f>
        <v/>
      </c>
      <c r="BB80" s="69" t="inlineStr">
        <is>
          <t>ND</t>
        </is>
      </c>
      <c r="BC80" s="67" t="n"/>
      <c r="BD80" s="67" t="n"/>
      <c r="BE80" s="71">
        <f>IFERROR(IF(AND(BC80&lt;&gt;"",BD80&lt;&gt;""),ABS(BC80-BD80)/ABS(BC80)*100,""),"")</f>
        <v/>
      </c>
      <c r="BF80" s="69" t="inlineStr">
        <is>
          <t>ND</t>
        </is>
      </c>
      <c r="BG80" s="67" t="n"/>
      <c r="BH80" s="67" t="n"/>
      <c r="BI80" s="71">
        <f>IFERROR(IF(AND(BG80&lt;&gt;"",BH80&lt;&gt;""),ABS(BG80-BH80)/ABS(BG80)*100,""),"")</f>
        <v/>
      </c>
      <c r="BJ80" s="69" t="inlineStr">
        <is>
          <t>ND</t>
        </is>
      </c>
      <c r="BK80" s="67" t="n">
        <v>7</v>
      </c>
      <c r="BL80" s="67" t="n">
        <v>6.85</v>
      </c>
      <c r="BM80" s="71">
        <f>IFERROR(IF(AND(BK80&lt;&gt;"",BL80&lt;&gt;""),ABS(BK80-BL80)/ABS(BK80)*100,""),"")</f>
        <v/>
      </c>
      <c r="BN80" s="69" t="inlineStr">
        <is>
          <t>Claude</t>
        </is>
      </c>
      <c r="BO80" s="67" t="n">
        <v>4</v>
      </c>
      <c r="BP80" s="67" t="n">
        <v>4</v>
      </c>
      <c r="BQ80" s="71">
        <f>IFERROR(IF(AND(BO80&lt;&gt;"",BP80&lt;&gt;""),ABS(BO80-BP80)/ABS(BO80)*100,""),"")</f>
        <v/>
      </c>
      <c r="BR80" s="69" t="inlineStr">
        <is>
          <t>Claude</t>
        </is>
      </c>
      <c r="BS80" s="67" t="n">
        <v>15</v>
      </c>
      <c r="BT80" s="67" t="n">
        <v>15</v>
      </c>
      <c r="BU80" s="71">
        <f>IFERROR(IF(AND(BS80&lt;&gt;"",BT80&lt;&gt;""),ABS(BS80-BT80)/ABS(BS80)*100,""),"")</f>
        <v/>
      </c>
      <c r="BV80" s="69" t="inlineStr">
        <is>
          <t>Claude</t>
        </is>
      </c>
      <c r="BW80" s="67" t="n"/>
      <c r="BX80" s="67" t="n"/>
      <c r="BY80" s="71">
        <f>IFERROR(IF(AND(BW80&lt;&gt;"",BX80&lt;&gt;""),ABS(BW80-BX80)/ABS(BW80)*100,""),"")</f>
        <v/>
      </c>
      <c r="BZ80" s="69" t="inlineStr">
        <is>
          <t>ND</t>
        </is>
      </c>
      <c r="CA80" s="67" t="n"/>
      <c r="CB80" s="67" t="n"/>
      <c r="CC80" s="71">
        <f>IFERROR(IF(AND(CA80&lt;&gt;"",CB80&lt;&gt;""),ABS(CA80-CB80)/ABS(CA80)*100,""),"")</f>
        <v/>
      </c>
      <c r="CD80" s="69" t="inlineStr">
        <is>
          <t>ND</t>
        </is>
      </c>
      <c r="CE80" s="67" t="n"/>
      <c r="CF80" s="67" t="n"/>
      <c r="CG80" s="71">
        <f>IFERROR(IF(AND(CE80&lt;&gt;"",CF80&lt;&gt;""),ABS(CE80-CF80)/ABS(CE80)*100,""),"")</f>
        <v/>
      </c>
      <c r="CH80" s="69" t="inlineStr">
        <is>
          <t>ND</t>
        </is>
      </c>
      <c r="CI80" s="67" t="n"/>
      <c r="CJ80" s="67" t="n"/>
      <c r="CK80" s="71">
        <f>IFERROR(IF(AND(CI80&lt;&gt;"",CJ80&lt;&gt;""),ABS(CI80-CJ80)/ABS(CI80)*100,""),"")</f>
        <v/>
      </c>
      <c r="CL80" s="69" t="inlineStr">
        <is>
          <t>ND</t>
        </is>
      </c>
      <c r="CM80" s="67" t="n"/>
      <c r="CN80" s="67" t="n"/>
      <c r="CO80" s="71">
        <f>IFERROR(IF(AND(CM80&lt;&gt;"",CN80&lt;&gt;""),ABS(CM80-CN80)/ABS(CM80)*100,""),"")</f>
        <v/>
      </c>
      <c r="CP80" s="69" t="inlineStr">
        <is>
          <t>ND</t>
        </is>
      </c>
      <c r="CQ80" s="67" t="n">
        <v>3.75</v>
      </c>
      <c r="CR80" s="67" t="n">
        <v>3.75</v>
      </c>
      <c r="CS80" s="71">
        <f>IFERROR(IF(AND(CQ80&lt;&gt;"",CR80&lt;&gt;""),ABS(CQ80-CR80)/ABS(CQ80)*100,""),"")</f>
        <v/>
      </c>
      <c r="CT80" s="69" t="inlineStr">
        <is>
          <t>Claude</t>
        </is>
      </c>
      <c r="CU80" s="67" t="n">
        <v>0</v>
      </c>
      <c r="CV80" s="67" t="n">
        <v>0</v>
      </c>
      <c r="CW80" s="71">
        <f>IFERROR(IF(AND(CU80&lt;&gt;"",CV80&lt;&gt;""),ABS(CU80-CV80)/ABS(CU80)*100,""),"")</f>
        <v/>
      </c>
      <c r="CX80" s="69" t="inlineStr">
        <is>
          <t>Claude</t>
        </is>
      </c>
      <c r="CY80" s="68" t="n"/>
      <c r="CZ80" s="68" t="n"/>
      <c r="DA80" s="71">
        <f>IFERROR(IF(AND(CY80&lt;&gt;"",CZ80&lt;&gt;""),ABS(CY80-CZ80)/ABS(CY80)*100,""),"")</f>
        <v/>
      </c>
      <c r="DB80" s="69" t="inlineStr">
        <is>
          <t>ND</t>
        </is>
      </c>
      <c r="DC80" s="68" t="n"/>
      <c r="DD80" s="68" t="n"/>
      <c r="DE80" s="71">
        <f>IFERROR(IF(AND(DC80&lt;&gt;"",DD80&lt;&gt;""),ABS(DC80-DD80)/ABS(DC80)*100,""),"")</f>
        <v/>
      </c>
      <c r="DF80" s="69" t="inlineStr">
        <is>
          <t>ND</t>
        </is>
      </c>
      <c r="DG80" s="68" t="n"/>
      <c r="DH80" s="68" t="n">
        <v>76</v>
      </c>
      <c r="DI80" s="71">
        <f>IFERROR(IF(AND(DG80&lt;&gt;"",DH80&lt;&gt;""),ABS(DG80-DH80)/ABS(DG80)*100,""),"")</f>
        <v/>
      </c>
      <c r="DJ80" s="69" t="inlineStr">
        <is>
          <t>DeepSeek</t>
        </is>
      </c>
      <c r="DK80" s="68" t="n"/>
      <c r="DL80" s="68" t="n"/>
      <c r="DM80" s="71">
        <f>IFERROR(IF(AND(DK80&lt;&gt;"",DL80&lt;&gt;""),ABS(DK80-DL80)/ABS(DK80)*100,""),"")</f>
        <v/>
      </c>
      <c r="DN80" s="69" t="inlineStr">
        <is>
          <t>ND</t>
        </is>
      </c>
      <c r="DO80" s="68" t="n"/>
      <c r="DP80" s="68" t="n"/>
      <c r="DQ80" s="71">
        <f>IFERROR(IF(AND(DO80&lt;&gt;"",DP80&lt;&gt;""),ABS(DO80-DP80)/ABS(DO80)*100,""),"")</f>
        <v/>
      </c>
      <c r="DR80" s="69" t="inlineStr">
        <is>
          <t>ND</t>
        </is>
      </c>
      <c r="DS80" s="68" t="n"/>
      <c r="DT80" s="68" t="n"/>
      <c r="DU80" s="71">
        <f>IFERROR(IF(AND(DS80&lt;&gt;"",DT80&lt;&gt;""),ABS(DS80-DT80)/ABS(DS80)*100,""),"")</f>
        <v/>
      </c>
      <c r="DV80" s="69" t="inlineStr">
        <is>
          <t>ND</t>
        </is>
      </c>
      <c r="DW80" s="70" t="inlineStr">
        <is>
          <t>Claude only (DeepSeek pending). Source=2024 report (more recent than 2022-23 report, matches its 2022 values closely/exactly - good consistency: Ind.1/2/3/6/8/9/10/16/17 all match). Ind.7/8=ND (disability headcount=2, no total workforce disclosed any edition). Ind.11=ND: 2024 report RETRACTS the 2022-23 report's 0.00% for this year (same value, so minor practically, but still a formal retraction pattern worth noting). Ind.14=ND: raw USD-per-employee supporting figure = $77.50 (no KRW conversion rate ever disclosed in any edition - genuine currency-conversion gap, not a disclosure gap). Ind.22=ND (Korea-site-only rate exists for 2024, not 2022, so nothing to note this year). Ind.23=3.75 - **MAJOR CONFLICT: the 2022-23 report gave 76.81 for this same year (~20x higher)**. The 2024 and 2025 reports agree with each other exactly on LTIFR values for all overlapping years, so I'm treating the 2022-23 report's figures as likely erroneous, but recommend a manual source-PDF check if this indicator is important to your analysis. || DEEPSEEK RECONCILIATION - MANUAL FLAGS: Ind.10 (Female Executives): Claude=5.45, DeepSeek=60.0, Diff=1000.9% || NOTE: Ind.10 (Female Executives) 2022 DeepSeek value (60.0) is very likely the same extraction error seen in DeepSeek batch4 for 2023/2024 (which gave 80.0/57.14, both since corrected to ~7%/~6% in DeepSeek batch5, matching Claude closely). Recommend treating this 2022 MANUAL FLAG as a known DeepSeek-side error rather than a genuine disagreement - Claude value (5.45) is very likely correct.</t>
        </is>
      </c>
    </row>
    <row r="81" ht="15.75" customHeight="1" s="43">
      <c r="A81" s="62" t="n"/>
      <c r="B81" s="62" t="n"/>
      <c r="C81" s="62" t="inlineStr">
        <is>
          <t>Industrials</t>
        </is>
      </c>
      <c r="D81" s="62" t="inlineStr">
        <is>
          <t>2023</t>
        </is>
      </c>
      <c r="E81" s="63" t="inlineStr">
        <is>
          <t>DOOSAN_BOBCAT_2025.pdf (most recent covering 2023)</t>
        </is>
      </c>
      <c r="F81" s="62" t="n"/>
      <c r="G81" s="67" t="n">
        <v>3.17</v>
      </c>
      <c r="H81" s="67" t="n"/>
      <c r="I81" s="65">
        <f>IFERROR(IF(AND(G81&lt;&gt;"",H81&lt;&gt;""),ABS(G81-H81)/ABS(G81)*100,""),"")</f>
        <v/>
      </c>
      <c r="J81" s="62" t="inlineStr">
        <is>
          <t>Claude</t>
        </is>
      </c>
      <c r="K81" s="67" t="n">
        <v>20.41</v>
      </c>
      <c r="L81" s="67" t="n">
        <v>20.4</v>
      </c>
      <c r="M81" s="65">
        <f>IFERROR(IF(AND(K81&lt;&gt;"",L81&lt;&gt;""),ABS(K81-L81)/ABS(K81)*100,""),"")</f>
        <v/>
      </c>
      <c r="N81" s="62" t="inlineStr">
        <is>
          <t>Claude</t>
        </is>
      </c>
      <c r="O81" s="67" t="n">
        <v>34.82</v>
      </c>
      <c r="P81" s="67" t="n"/>
      <c r="Q81" s="65">
        <f>IFERROR(IF(AND(O81&lt;&gt;"",P81&lt;&gt;""),ABS(O81-P81)/ABS(O81)*100,""),"")</f>
        <v/>
      </c>
      <c r="R81" s="62" t="inlineStr">
        <is>
          <t>Claude</t>
        </is>
      </c>
      <c r="S81" s="67" t="n">
        <v>17.9</v>
      </c>
      <c r="T81" s="67" t="n">
        <v>17.89</v>
      </c>
      <c r="U81" s="65">
        <f>IFERROR(IF(AND(S81&lt;&gt;"",T81&lt;&gt;""),ABS(S81-T81)/ABS(S81)*100,""),"")</f>
        <v/>
      </c>
      <c r="V81" s="62" t="inlineStr">
        <is>
          <t>Claude</t>
        </is>
      </c>
      <c r="W81" s="67" t="n"/>
      <c r="X81" s="67" t="n"/>
      <c r="Y81" s="65">
        <f>IFERROR(IF(AND(W81&lt;&gt;"",X81&lt;&gt;""),ABS(W81-X81)/ABS(W81)*100,""),"")</f>
        <v/>
      </c>
      <c r="Z81" s="62" t="inlineStr">
        <is>
          <t>ND</t>
        </is>
      </c>
      <c r="AA81" s="67" t="n">
        <v>21.8</v>
      </c>
      <c r="AB81" s="67" t="n">
        <v>21.78</v>
      </c>
      <c r="AC81" s="65">
        <f>IFERROR(IF(AND(AA81&lt;&gt;"",AB81&lt;&gt;""),ABS(AA81-AB81)/ABS(AA81)*100,""),"")</f>
        <v/>
      </c>
      <c r="AD81" s="62" t="inlineStr">
        <is>
          <t>Claude</t>
        </is>
      </c>
      <c r="AE81" s="67" t="n"/>
      <c r="AF81" s="67" t="n"/>
      <c r="AG81" s="65">
        <f>IFERROR(IF(AND(AE81&lt;&gt;"",AF81&lt;&gt;""),ABS(AE81-AF81)/ABS(AE81)*100,""),"")</f>
        <v/>
      </c>
      <c r="AH81" s="62" t="inlineStr">
        <is>
          <t>ND</t>
        </is>
      </c>
      <c r="AI81" s="67" t="n"/>
      <c r="AJ81" s="67" t="n"/>
      <c r="AK81" s="65">
        <f>IFERROR(IF(AND(AI81&lt;&gt;"",AJ81&lt;&gt;""),ABS(AI81-AJ81)/ABS(AI81)*100,""),"")</f>
        <v/>
      </c>
      <c r="AL81" s="62" t="inlineStr">
        <is>
          <t>ND</t>
        </is>
      </c>
      <c r="AM81" s="67" t="n">
        <v>16.03</v>
      </c>
      <c r="AN81" s="67" t="n">
        <v>16.03</v>
      </c>
      <c r="AO81" s="65">
        <f>IFERROR(IF(AND(AM81&lt;&gt;"",AN81&lt;&gt;""),ABS(AM81-AN81)/ABS(AM81)*100,""),"")</f>
        <v/>
      </c>
      <c r="AP81" s="62" t="inlineStr">
        <is>
          <t>Claude</t>
        </is>
      </c>
      <c r="AQ81" s="67" t="n">
        <v>7.02</v>
      </c>
      <c r="AR81" s="67" t="n">
        <v>7.02</v>
      </c>
      <c r="AS81" s="65">
        <f>IFERROR(IF(AND(AQ81&lt;&gt;"",AR81&lt;&gt;""),ABS(AQ81-AR81)/ABS(AQ81)*100,""),"")</f>
        <v/>
      </c>
      <c r="AT81" s="62" t="inlineStr">
        <is>
          <t>Claude</t>
        </is>
      </c>
      <c r="AU81" s="67" t="n"/>
      <c r="AV81" s="67" t="n">
        <v>16.67</v>
      </c>
      <c r="AW81" s="65">
        <f>IFERROR(IF(AND(AU81&lt;&gt;"",AV81&lt;&gt;""),ABS(AU81-AV81)/ABS(AU81)*100,""),"")</f>
        <v/>
      </c>
      <c r="AX81" s="62" t="inlineStr">
        <is>
          <t>DeepSeek</t>
        </is>
      </c>
      <c r="AY81" s="67" t="n"/>
      <c r="AZ81" s="67" t="n"/>
      <c r="BA81" s="65">
        <f>IFERROR(IF(AND(AY81&lt;&gt;"",AZ81&lt;&gt;""),ABS(AY81-AZ81)/ABS(AY81)*100,""),"")</f>
        <v/>
      </c>
      <c r="BB81" s="62" t="inlineStr">
        <is>
          <t>ND</t>
        </is>
      </c>
      <c r="BC81" s="67" t="n"/>
      <c r="BD81" s="67" t="n"/>
      <c r="BE81" s="65">
        <f>IFERROR(IF(AND(BC81&lt;&gt;"",BD81&lt;&gt;""),ABS(BC81-BD81)/ABS(BC81)*100,""),"")</f>
        <v/>
      </c>
      <c r="BF81" s="62" t="inlineStr">
        <is>
          <t>ND</t>
        </is>
      </c>
      <c r="BG81" s="67" t="n"/>
      <c r="BH81" s="67" t="n"/>
      <c r="BI81" s="65">
        <f>IFERROR(IF(AND(BG81&lt;&gt;"",BH81&lt;&gt;""),ABS(BG81-BH81)/ABS(BG81)*100,""),"")</f>
        <v/>
      </c>
      <c r="BJ81" s="62" t="inlineStr">
        <is>
          <t>ND</t>
        </is>
      </c>
      <c r="BK81" s="67" t="n">
        <v>21</v>
      </c>
      <c r="BL81" s="67" t="n">
        <v>21</v>
      </c>
      <c r="BM81" s="65">
        <f>IFERROR(IF(AND(BK81&lt;&gt;"",BL81&lt;&gt;""),ABS(BK81-BL81)/ABS(BK81)*100,""),"")</f>
        <v/>
      </c>
      <c r="BN81" s="62" t="inlineStr">
        <is>
          <t>Claude</t>
        </is>
      </c>
      <c r="BO81" s="67" t="n">
        <v>7</v>
      </c>
      <c r="BP81" s="67" t="n">
        <v>7</v>
      </c>
      <c r="BQ81" s="65">
        <f>IFERROR(IF(AND(BO81&lt;&gt;"",BP81&lt;&gt;""),ABS(BO81-BP81)/ABS(BO81)*100,""),"")</f>
        <v/>
      </c>
      <c r="BR81" s="62" t="inlineStr">
        <is>
          <t>Claude</t>
        </is>
      </c>
      <c r="BS81" s="67" t="n">
        <v>21</v>
      </c>
      <c r="BT81" s="67" t="n">
        <v>21</v>
      </c>
      <c r="BU81" s="65">
        <f>IFERROR(IF(AND(BS81&lt;&gt;"",BT81&lt;&gt;""),ABS(BS81-BT81)/ABS(BS81)*100,""),"")</f>
        <v/>
      </c>
      <c r="BV81" s="62" t="inlineStr">
        <is>
          <t>Claude</t>
        </is>
      </c>
      <c r="BW81" s="67" t="n"/>
      <c r="BX81" s="67" t="n"/>
      <c r="BY81" s="65">
        <f>IFERROR(IF(AND(BW81&lt;&gt;"",BX81&lt;&gt;""),ABS(BW81-BX81)/ABS(BW81)*100,""),"")</f>
        <v/>
      </c>
      <c r="BZ81" s="62" t="inlineStr">
        <is>
          <t>ND</t>
        </is>
      </c>
      <c r="CA81" s="67" t="n"/>
      <c r="CB81" s="67" t="n"/>
      <c r="CC81" s="65">
        <f>IFERROR(IF(AND(CA81&lt;&gt;"",CB81&lt;&gt;""),ABS(CA81-CB81)/ABS(CA81)*100,""),"")</f>
        <v/>
      </c>
      <c r="CD81" s="62" t="inlineStr">
        <is>
          <t>ND</t>
        </is>
      </c>
      <c r="CE81" s="67" t="n"/>
      <c r="CF81" s="67" t="n"/>
      <c r="CG81" s="65">
        <f>IFERROR(IF(AND(CE81&lt;&gt;"",CF81&lt;&gt;""),ABS(CE81-CF81)/ABS(CE81)*100,""),"")</f>
        <v/>
      </c>
      <c r="CH81" s="62" t="inlineStr">
        <is>
          <t>ND</t>
        </is>
      </c>
      <c r="CI81" s="67" t="n"/>
      <c r="CJ81" s="67" t="n"/>
      <c r="CK81" s="65">
        <f>IFERROR(IF(AND(CI81&lt;&gt;"",CJ81&lt;&gt;""),ABS(CI81-CJ81)/ABS(CI81)*100,""),"")</f>
        <v/>
      </c>
      <c r="CL81" s="62" t="inlineStr">
        <is>
          <t>ND</t>
        </is>
      </c>
      <c r="CM81" s="67" t="n"/>
      <c r="CN81" s="67" t="n"/>
      <c r="CO81" s="65">
        <f>IFERROR(IF(AND(CM81&lt;&gt;"",CN81&lt;&gt;""),ABS(CM81-CN81)/ABS(CM81)*100,""),"")</f>
        <v/>
      </c>
      <c r="CP81" s="62" t="inlineStr">
        <is>
          <t>ND</t>
        </is>
      </c>
      <c r="CQ81" s="67" t="n">
        <v>2.67</v>
      </c>
      <c r="CR81" s="67" t="n"/>
      <c r="CS81" s="65">
        <f>IFERROR(IF(AND(CQ81&lt;&gt;"",CR81&lt;&gt;""),ABS(CQ81-CR81)/ABS(CQ81)*100,""),"")</f>
        <v/>
      </c>
      <c r="CT81" s="62" t="inlineStr">
        <is>
          <t>Claude</t>
        </is>
      </c>
      <c r="CU81" s="67" t="n">
        <v>0</v>
      </c>
      <c r="CV81" s="67" t="n"/>
      <c r="CW81" s="65">
        <f>IFERROR(IF(AND(CU81&lt;&gt;"",CV81&lt;&gt;""),ABS(CU81-CV81)/ABS(CU81)*100,""),"")</f>
        <v/>
      </c>
      <c r="CX81" s="62" t="inlineStr">
        <is>
          <t>Claude</t>
        </is>
      </c>
      <c r="CY81" s="68" t="n"/>
      <c r="CZ81" s="68" t="n"/>
      <c r="DA81" s="65">
        <f>IFERROR(IF(AND(CY81&lt;&gt;"",CZ81&lt;&gt;""),ABS(CY81-CZ81)/ABS(CY81)*100,""),"")</f>
        <v/>
      </c>
      <c r="DB81" s="62" t="inlineStr">
        <is>
          <t>ND</t>
        </is>
      </c>
      <c r="DC81" s="68" t="n"/>
      <c r="DD81" s="68" t="n"/>
      <c r="DE81" s="65">
        <f>IFERROR(IF(AND(DC81&lt;&gt;"",DD81&lt;&gt;""),ABS(DC81-DD81)/ABS(DC81)*100,""),"")</f>
        <v/>
      </c>
      <c r="DF81" s="62" t="inlineStr">
        <is>
          <t>ND</t>
        </is>
      </c>
      <c r="DG81" s="68" t="n"/>
      <c r="DH81" s="68" t="n"/>
      <c r="DI81" s="65">
        <f>IFERROR(IF(AND(DG81&lt;&gt;"",DH81&lt;&gt;""),ABS(DG81-DH81)/ABS(DG81)*100,""),"")</f>
        <v/>
      </c>
      <c r="DJ81" s="62" t="inlineStr">
        <is>
          <t>ND</t>
        </is>
      </c>
      <c r="DK81" s="68" t="n"/>
      <c r="DL81" s="68" t="n"/>
      <c r="DM81" s="65">
        <f>IFERROR(IF(AND(DK81&lt;&gt;"",DL81&lt;&gt;""),ABS(DK81-DL81)/ABS(DK81)*100,""),"")</f>
        <v/>
      </c>
      <c r="DN81" s="62" t="inlineStr">
        <is>
          <t>ND</t>
        </is>
      </c>
      <c r="DO81" s="68" t="n"/>
      <c r="DP81" s="68" t="n"/>
      <c r="DQ81" s="65">
        <f>IFERROR(IF(AND(DO81&lt;&gt;"",DP81&lt;&gt;""),ABS(DO81-DP81)/ABS(DO81)*100,""),"")</f>
        <v/>
      </c>
      <c r="DR81" s="62" t="inlineStr">
        <is>
          <t>ND</t>
        </is>
      </c>
      <c r="DS81" s="68" t="n"/>
      <c r="DT81" s="68" t="n"/>
      <c r="DU81" s="65">
        <f>IFERROR(IF(AND(DS81&lt;&gt;"",DT81&lt;&gt;""),ABS(DS81-DT81)/ABS(DS81)*100,""),"")</f>
        <v/>
      </c>
      <c r="DV81" s="62" t="inlineStr">
        <is>
          <t>ND</t>
        </is>
      </c>
      <c r="DW81" s="63" t="inlineStr">
        <is>
          <t>Claude only (DeepSeek pending). Source=2025 report (most recent, matches 2024 report exactly on most indicators - good consistency: Ind.1/2/3/6/8/9/10/16/17/23/24 all match). Ind.4(New Hire Rate)=17.90, PROXY this edition: source flags that 'new hires' figure covers regular/permanent hires only while the denominator includes contract staff too - understates true new-hire rate; earlier editions didn't carry this specific caveat even though the number itself matches. Ind.7/8=ND (disability headcount=6, no total workforce any edition). Ind.11=ND: **CONFIRMED RETRACTION** - both the 2024 AND 2025 reports independently retract the 2022-23 report's 16.67% Female Board Directors figure for this year; two independent later confirmations make it likely the original 2022-23 figure was an error - recommend treating that earlier figure as unreliable. Ind.14=ND (USD-per-employee supporting=$215.07, matches both 2024 &amp; 2025 reports exactly - good cross-validation of the underlying USD figure, but still no safe KRW conversion). Ind.15=21 - **MAJOR CONFLICT vs the 2024 report's 27 for this same year** (no unit change, no scope note given) - flag as a genuine unresolved discrepancy, recommend manual PDF check. Ind.27=ND: matches the 2024 report's status (also na for this year) - consistent, both editions agree this year's Engagement score can't be confirmed.</t>
        </is>
      </c>
    </row>
    <row r="82" ht="15.75" customHeight="1" s="43">
      <c r="A82" s="69" t="n"/>
      <c r="B82" s="69" t="n"/>
      <c r="C82" s="69" t="inlineStr">
        <is>
          <t>Industrials</t>
        </is>
      </c>
      <c r="D82" s="69" t="inlineStr">
        <is>
          <t>2024</t>
        </is>
      </c>
      <c r="E82" s="70" t="inlineStr">
        <is>
          <t>DOOSAN_BOBCAT_2025.pdf</t>
        </is>
      </c>
      <c r="F82" s="69" t="n"/>
      <c r="G82" s="67" t="n">
        <v>2.54</v>
      </c>
      <c r="H82" s="67" t="n"/>
      <c r="I82" s="71">
        <f>IFERROR(IF(AND(G82&lt;&gt;"",H82&lt;&gt;""),ABS(G82-H82)/ABS(G82)*100,""),"")</f>
        <v/>
      </c>
      <c r="J82" s="69" t="inlineStr">
        <is>
          <t>Claude</t>
        </is>
      </c>
      <c r="K82" s="67" t="n">
        <v>20.12</v>
      </c>
      <c r="L82" s="67" t="n">
        <v>20.12</v>
      </c>
      <c r="M82" s="71">
        <f>IFERROR(IF(AND(K82&lt;&gt;"",L82&lt;&gt;""),ABS(K82-L82)/ABS(K82)*100,""),"")</f>
        <v/>
      </c>
      <c r="N82" s="69" t="inlineStr">
        <is>
          <t>Claude</t>
        </is>
      </c>
      <c r="O82" s="67" t="n">
        <v>37.7</v>
      </c>
      <c r="P82" s="67" t="n"/>
      <c r="Q82" s="71">
        <f>IFERROR(IF(AND(O82&lt;&gt;"",P82&lt;&gt;""),ABS(O82-P82)/ABS(O82)*100,""),"")</f>
        <v/>
      </c>
      <c r="R82" s="69" t="inlineStr">
        <is>
          <t>Claude</t>
        </is>
      </c>
      <c r="S82" s="67" t="n">
        <v>9.470000000000001</v>
      </c>
      <c r="T82" s="67" t="n">
        <v>9.470000000000001</v>
      </c>
      <c r="U82" s="71">
        <f>IFERROR(IF(AND(S82&lt;&gt;"",T82&lt;&gt;""),ABS(S82-T82)/ABS(S82)*100,""),"")</f>
        <v/>
      </c>
      <c r="V82" s="69" t="inlineStr">
        <is>
          <t>Claude</t>
        </is>
      </c>
      <c r="W82" s="67" t="n"/>
      <c r="X82" s="67" t="n"/>
      <c r="Y82" s="71">
        <f>IFERROR(IF(AND(W82&lt;&gt;"",X82&lt;&gt;""),ABS(W82-X82)/ABS(W82)*100,""),"")</f>
        <v/>
      </c>
      <c r="Z82" s="69" t="inlineStr">
        <is>
          <t>ND</t>
        </is>
      </c>
      <c r="AA82" s="67" t="n">
        <v>18.7</v>
      </c>
      <c r="AB82" s="67" t="n">
        <v>18.66</v>
      </c>
      <c r="AC82" s="71">
        <f>IFERROR(IF(AND(AA82&lt;&gt;"",AB82&lt;&gt;""),ABS(AA82-AB82)/ABS(AA82)*100,""),"")</f>
        <v/>
      </c>
      <c r="AD82" s="69" t="inlineStr">
        <is>
          <t>Claude</t>
        </is>
      </c>
      <c r="AE82" s="67" t="n"/>
      <c r="AF82" s="67" t="n"/>
      <c r="AG82" s="71">
        <f>IFERROR(IF(AND(AE82&lt;&gt;"",AF82&lt;&gt;""),ABS(AE82-AF82)/ABS(AE82)*100,""),"")</f>
        <v/>
      </c>
      <c r="AH82" s="69" t="inlineStr">
        <is>
          <t>ND</t>
        </is>
      </c>
      <c r="AI82" s="67" t="n"/>
      <c r="AJ82" s="67" t="n"/>
      <c r="AK82" s="71">
        <f>IFERROR(IF(AND(AI82&lt;&gt;"",AJ82&lt;&gt;""),ABS(AI82-AJ82)/ABS(AI82)*100,""),"")</f>
        <v/>
      </c>
      <c r="AL82" s="69" t="inlineStr">
        <is>
          <t>ND</t>
        </is>
      </c>
      <c r="AM82" s="67" t="n">
        <v>16.8</v>
      </c>
      <c r="AN82" s="67" t="n">
        <v>16.8</v>
      </c>
      <c r="AO82" s="71">
        <f>IFERROR(IF(AND(AM82&lt;&gt;"",AN82&lt;&gt;""),ABS(AM82-AN82)/ABS(AM82)*100,""),"")</f>
        <v/>
      </c>
      <c r="AP82" s="69" t="inlineStr">
        <is>
          <t>Claude</t>
        </is>
      </c>
      <c r="AQ82" s="67" t="n">
        <v>5.97</v>
      </c>
      <c r="AR82" s="67" t="n">
        <v>5.97</v>
      </c>
      <c r="AS82" s="71">
        <f>IFERROR(IF(AND(AQ82&lt;&gt;"",AR82&lt;&gt;""),ABS(AQ82-AR82)/ABS(AQ82)*100,""),"")</f>
        <v/>
      </c>
      <c r="AT82" s="69" t="inlineStr">
        <is>
          <t>Claude</t>
        </is>
      </c>
      <c r="AU82" s="67" t="n"/>
      <c r="AV82" s="67" t="n">
        <v>16.67</v>
      </c>
      <c r="AW82" s="71">
        <f>IFERROR(IF(AND(AU82&lt;&gt;"",AV82&lt;&gt;""),ABS(AU82-AV82)/ABS(AU82)*100,""),"")</f>
        <v/>
      </c>
      <c r="AX82" s="69" t="inlineStr">
        <is>
          <t>DeepSeek</t>
        </is>
      </c>
      <c r="AY82" s="67" t="n"/>
      <c r="AZ82" s="67" t="n"/>
      <c r="BA82" s="71">
        <f>IFERROR(IF(AND(AY82&lt;&gt;"",AZ82&lt;&gt;""),ABS(AY82-AZ82)/ABS(AY82)*100,""),"")</f>
        <v/>
      </c>
      <c r="BB82" s="69" t="inlineStr">
        <is>
          <t>ND</t>
        </is>
      </c>
      <c r="BC82" s="67" t="n"/>
      <c r="BD82" s="67" t="n"/>
      <c r="BE82" s="71">
        <f>IFERROR(IF(AND(BC82&lt;&gt;"",BD82&lt;&gt;""),ABS(BC82-BD82)/ABS(BC82)*100,""),"")</f>
        <v/>
      </c>
      <c r="BF82" s="69" t="inlineStr">
        <is>
          <t>ND</t>
        </is>
      </c>
      <c r="BG82" s="67" t="n"/>
      <c r="BH82" s="67" t="n"/>
      <c r="BI82" s="71">
        <f>IFERROR(IF(AND(BG82&lt;&gt;"",BH82&lt;&gt;""),ABS(BG82-BH82)/ABS(BG82)*100,""),"")</f>
        <v/>
      </c>
      <c r="BJ82" s="69" t="inlineStr">
        <is>
          <t>ND</t>
        </is>
      </c>
      <c r="BK82" s="67" t="n">
        <v>17</v>
      </c>
      <c r="BL82" s="67" t="n">
        <v>17</v>
      </c>
      <c r="BM82" s="71">
        <f>IFERROR(IF(AND(BK82&lt;&gt;"",BL82&lt;&gt;""),ABS(BK82-BL82)/ABS(BK82)*100,""),"")</f>
        <v/>
      </c>
      <c r="BN82" s="69" t="inlineStr">
        <is>
          <t>Claude</t>
        </is>
      </c>
      <c r="BO82" s="67" t="n">
        <v>5</v>
      </c>
      <c r="BP82" s="67" t="n">
        <v>5</v>
      </c>
      <c r="BQ82" s="71">
        <f>IFERROR(IF(AND(BO82&lt;&gt;"",BP82&lt;&gt;""),ABS(BO82-BP82)/ABS(BO82)*100,""),"")</f>
        <v/>
      </c>
      <c r="BR82" s="69" t="inlineStr">
        <is>
          <t>Claude</t>
        </is>
      </c>
      <c r="BS82" s="67" t="n">
        <v>13</v>
      </c>
      <c r="BT82" s="67" t="n">
        <v>13</v>
      </c>
      <c r="BU82" s="71">
        <f>IFERROR(IF(AND(BS82&lt;&gt;"",BT82&lt;&gt;""),ABS(BS82-BT82)/ABS(BS82)*100,""),"")</f>
        <v/>
      </c>
      <c r="BV82" s="69" t="inlineStr">
        <is>
          <t>Claude</t>
        </is>
      </c>
      <c r="BW82" s="67" t="n"/>
      <c r="BX82" s="67" t="n"/>
      <c r="BY82" s="71">
        <f>IFERROR(IF(AND(BW82&lt;&gt;"",BX82&lt;&gt;""),ABS(BW82-BX82)/ABS(BW82)*100,""),"")</f>
        <v/>
      </c>
      <c r="BZ82" s="69" t="inlineStr">
        <is>
          <t>ND</t>
        </is>
      </c>
      <c r="CA82" s="67" t="n"/>
      <c r="CB82" s="67" t="n"/>
      <c r="CC82" s="71">
        <f>IFERROR(IF(AND(CA82&lt;&gt;"",CB82&lt;&gt;""),ABS(CA82-CB82)/ABS(CA82)*100,""),"")</f>
        <v/>
      </c>
      <c r="CD82" s="69" t="inlineStr">
        <is>
          <t>ND</t>
        </is>
      </c>
      <c r="CE82" s="67" t="n"/>
      <c r="CF82" s="67" t="n"/>
      <c r="CG82" s="71">
        <f>IFERROR(IF(AND(CE82&lt;&gt;"",CF82&lt;&gt;""),ABS(CE82-CF82)/ABS(CE82)*100,""),"")</f>
        <v/>
      </c>
      <c r="CH82" s="69" t="inlineStr">
        <is>
          <t>ND</t>
        </is>
      </c>
      <c r="CI82" s="67" t="n"/>
      <c r="CJ82" s="67" t="n"/>
      <c r="CK82" s="71">
        <f>IFERROR(IF(AND(CI82&lt;&gt;"",CJ82&lt;&gt;""),ABS(CI82-CJ82)/ABS(CI82)*100,""),"")</f>
        <v/>
      </c>
      <c r="CL82" s="69" t="inlineStr">
        <is>
          <t>ND</t>
        </is>
      </c>
      <c r="CM82" s="67" t="n"/>
      <c r="CN82" s="67" t="n"/>
      <c r="CO82" s="71">
        <f>IFERROR(IF(AND(CM82&lt;&gt;"",CN82&lt;&gt;""),ABS(CM82-CN82)/ABS(CM82)*100,""),"")</f>
        <v/>
      </c>
      <c r="CP82" s="69" t="inlineStr">
        <is>
          <t>ND</t>
        </is>
      </c>
      <c r="CQ82" s="67" t="n">
        <v>1.91</v>
      </c>
      <c r="CR82" s="67" t="n"/>
      <c r="CS82" s="71">
        <f>IFERROR(IF(AND(CQ82&lt;&gt;"",CR82&lt;&gt;""),ABS(CQ82-CR82)/ABS(CQ82)*100,""),"")</f>
        <v/>
      </c>
      <c r="CT82" s="69" t="inlineStr">
        <is>
          <t>Claude</t>
        </is>
      </c>
      <c r="CU82" s="67" t="n">
        <v>0</v>
      </c>
      <c r="CV82" s="67" t="n"/>
      <c r="CW82" s="71">
        <f>IFERROR(IF(AND(CU82&lt;&gt;"",CV82&lt;&gt;""),ABS(CU82-CV82)/ABS(CU82)*100,""),"")</f>
        <v/>
      </c>
      <c r="CX82" s="69" t="inlineStr">
        <is>
          <t>Claude</t>
        </is>
      </c>
      <c r="CY82" s="68" t="n"/>
      <c r="CZ82" s="68" t="n"/>
      <c r="DA82" s="71">
        <f>IFERROR(IF(AND(CY82&lt;&gt;"",CZ82&lt;&gt;""),ABS(CY82-CZ82)/ABS(CY82)*100,""),"")</f>
        <v/>
      </c>
      <c r="DB82" s="69" t="inlineStr">
        <is>
          <t>ND</t>
        </is>
      </c>
      <c r="DC82" s="68" t="n"/>
      <c r="DD82" s="68" t="n"/>
      <c r="DE82" s="71">
        <f>IFERROR(IF(AND(DC82&lt;&gt;"",DD82&lt;&gt;""),ABS(DC82-DD82)/ABS(DC82)*100,""),"")</f>
        <v/>
      </c>
      <c r="DF82" s="69" t="inlineStr">
        <is>
          <t>ND</t>
        </is>
      </c>
      <c r="DG82" s="68" t="n"/>
      <c r="DH82" s="68" t="n"/>
      <c r="DI82" s="71">
        <f>IFERROR(IF(AND(DG82&lt;&gt;"",DH82&lt;&gt;""),ABS(DG82-DH82)/ABS(DG82)*100,""),"")</f>
        <v/>
      </c>
      <c r="DJ82" s="69" t="inlineStr">
        <is>
          <t>ND</t>
        </is>
      </c>
      <c r="DK82" s="68" t="n"/>
      <c r="DL82" s="68" t="n"/>
      <c r="DM82" s="71">
        <f>IFERROR(IF(AND(DK82&lt;&gt;"",DL82&lt;&gt;""),ABS(DK82-DL82)/ABS(DK82)*100,""),"")</f>
        <v/>
      </c>
      <c r="DN82" s="69" t="inlineStr">
        <is>
          <t>ND</t>
        </is>
      </c>
      <c r="DO82" s="68" t="n"/>
      <c r="DP82" s="68" t="n"/>
      <c r="DQ82" s="71">
        <f>IFERROR(IF(AND(DO82&lt;&gt;"",DP82&lt;&gt;""),ABS(DO82-DP82)/ABS(DO82)*100,""),"")</f>
        <v/>
      </c>
      <c r="DR82" s="69" t="inlineStr">
        <is>
          <t>ND</t>
        </is>
      </c>
      <c r="DS82" s="68" t="n"/>
      <c r="DT82" s="68" t="n"/>
      <c r="DU82" s="71">
        <f>IFERROR(IF(AND(DS82&lt;&gt;"",DT82&lt;&gt;""),ABS(DS82-DT82)/ABS(DS82)*100,""),"")</f>
        <v/>
      </c>
      <c r="DV82" s="69" t="inlineStr">
        <is>
          <t>ND</t>
        </is>
      </c>
      <c r="DW82" s="70" t="inlineStr">
        <is>
          <t>Claude only (DeepSeek pending). Source=2025 report, only report covering 2024 (2022-23 report had no 2024 data at all - genuine window gap despite that report's own edition-year rule). Note: **2024 has an EXPANDED SCOPE due to the Doosan Mottrol merger**, per the 2024 report's own flag - affects comparability of headcount-based indicators (Ind.1-4, 9-10, 16-17) versus 2022-2023. Ind.7/8=ND (disability headcount=12, no total workforce). Ind.14=ND (USD-per-employee supporting=$242.64, matches both 2024 &amp; 2025 reports exactly). Ind.15=17 - **MAJOR CONFLICT vs the 2024 report's 50 for this same year** - same unresolved discrepancy pattern as 2023, recommend manual PDF check. Ind.22=ND: a Korea-site-only union rate of 84.6% is disclosed for this year (2024 report) - NOT usable as the required company-wide global rate, noted here for context only. Ind.27=ND: **the 2024 report gave a confident Direct 77% for this year; the 2025 report downgrades this to 'na' without clear explanation** - flag as an unexplained retraction, worth a manual check since the 2024 figure looked solid.</t>
        </is>
      </c>
    </row>
    <row r="83" ht="4.5" customHeight="1" s="43">
      <c r="A83" s="72" t="n"/>
      <c r="B83" s="72" t="n"/>
      <c r="C83" s="72" t="n"/>
      <c r="D83" s="72" t="n"/>
      <c r="E83" s="72" t="n"/>
      <c r="F83" s="72" t="n"/>
      <c r="G83" s="72" t="n"/>
      <c r="H83" s="72" t="n"/>
      <c r="I83" s="72" t="n"/>
      <c r="J83" s="72" t="n"/>
      <c r="K83" s="72" t="n"/>
      <c r="L83" s="72" t="n"/>
      <c r="M83" s="72" t="n"/>
      <c r="N83" s="72" t="n"/>
      <c r="O83" s="72" t="n"/>
      <c r="P83" s="72" t="n"/>
      <c r="Q83" s="72" t="n"/>
      <c r="R83" s="72" t="n"/>
      <c r="S83" s="72" t="n"/>
      <c r="T83" s="72" t="n"/>
      <c r="U83" s="72" t="n"/>
      <c r="V83" s="72" t="n"/>
      <c r="W83" s="72" t="n"/>
      <c r="X83" s="72" t="n"/>
      <c r="Y83" s="72" t="n"/>
      <c r="Z83" s="72" t="n"/>
      <c r="AA83" s="72" t="n"/>
      <c r="AB83" s="72" t="n"/>
      <c r="AC83" s="72" t="n"/>
      <c r="AD83" s="72" t="n"/>
      <c r="AE83" s="72" t="n"/>
      <c r="AF83" s="72" t="n"/>
      <c r="AG83" s="72" t="n"/>
      <c r="AH83" s="72" t="n"/>
      <c r="AI83" s="72" t="n"/>
      <c r="AJ83" s="72" t="n"/>
      <c r="AK83" s="72" t="n"/>
      <c r="AL83" s="72" t="n"/>
      <c r="AM83" s="72" t="n"/>
      <c r="AN83" s="72" t="n"/>
      <c r="AO83" s="72" t="n"/>
      <c r="AP83" s="72" t="n"/>
      <c r="AQ83" s="72" t="n"/>
      <c r="AR83" s="72" t="n"/>
      <c r="AS83" s="72" t="n"/>
      <c r="AT83" s="72" t="n"/>
      <c r="AU83" s="72" t="n"/>
      <c r="AV83" s="72" t="n"/>
      <c r="AW83" s="72" t="n"/>
      <c r="AX83" s="72" t="n"/>
      <c r="AY83" s="72" t="n"/>
      <c r="AZ83" s="72" t="n"/>
      <c r="BA83" s="72" t="n"/>
      <c r="BB83" s="72" t="n"/>
      <c r="BC83" s="72" t="n"/>
      <c r="BD83" s="72" t="n"/>
      <c r="BE83" s="72" t="n"/>
      <c r="BF83" s="72" t="n"/>
      <c r="BG83" s="72" t="n"/>
      <c r="BH83" s="72" t="n"/>
      <c r="BI83" s="72" t="n"/>
      <c r="BJ83" s="72" t="n"/>
      <c r="BK83" s="72" t="n"/>
      <c r="BL83" s="72" t="n"/>
      <c r="BM83" s="72" t="n"/>
      <c r="BN83" s="72" t="n"/>
      <c r="BO83" s="72" t="n"/>
      <c r="BP83" s="72" t="n"/>
      <c r="BQ83" s="72" t="n"/>
      <c r="BR83" s="72" t="n"/>
      <c r="BS83" s="72" t="n"/>
      <c r="BT83" s="72" t="n"/>
      <c r="BU83" s="72" t="n"/>
      <c r="BV83" s="72" t="n"/>
      <c r="BW83" s="72" t="n"/>
      <c r="BX83" s="72" t="n"/>
      <c r="BY83" s="72" t="n"/>
      <c r="BZ83" s="72" t="n"/>
      <c r="CA83" s="72" t="n"/>
      <c r="CB83" s="72" t="n"/>
      <c r="CC83" s="72" t="n"/>
      <c r="CD83" s="72" t="n"/>
      <c r="CE83" s="72" t="n"/>
      <c r="CF83" s="72" t="n"/>
      <c r="CG83" s="72" t="n"/>
      <c r="CH83" s="72" t="n"/>
      <c r="CI83" s="72" t="n"/>
      <c r="CJ83" s="72" t="n"/>
      <c r="CK83" s="72" t="n"/>
      <c r="CL83" s="72" t="n"/>
      <c r="CM83" s="72" t="n"/>
      <c r="CN83" s="72" t="n"/>
      <c r="CO83" s="72" t="n"/>
      <c r="CP83" s="72" t="n"/>
      <c r="CQ83" s="72" t="n"/>
      <c r="CR83" s="72" t="n"/>
      <c r="CS83" s="72" t="n"/>
      <c r="CT83" s="72" t="n"/>
      <c r="CU83" s="72" t="n"/>
      <c r="CV83" s="72" t="n"/>
      <c r="CW83" s="72" t="n"/>
      <c r="CX83" s="72" t="n"/>
      <c r="CY83" s="72" t="n"/>
      <c r="CZ83" s="72" t="n"/>
      <c r="DA83" s="72" t="n"/>
      <c r="DB83" s="72" t="n"/>
      <c r="DC83" s="72" t="n"/>
      <c r="DD83" s="72" t="n"/>
      <c r="DE83" s="72" t="n"/>
      <c r="DF83" s="72" t="n"/>
      <c r="DG83" s="72" t="n"/>
      <c r="DH83" s="72" t="n"/>
      <c r="DI83" s="72" t="n"/>
      <c r="DJ83" s="72" t="n"/>
      <c r="DK83" s="72" t="n"/>
      <c r="DL83" s="72" t="n"/>
      <c r="DM83" s="72" t="n"/>
      <c r="DN83" s="72" t="n"/>
      <c r="DO83" s="72" t="n"/>
      <c r="DP83" s="72" t="n"/>
      <c r="DQ83" s="72" t="n"/>
      <c r="DR83" s="72" t="n"/>
      <c r="DS83" s="72" t="n"/>
      <c r="DT83" s="72" t="n"/>
      <c r="DU83" s="72" t="n"/>
      <c r="DV83" s="72" t="n"/>
      <c r="DW83" s="72" t="n"/>
    </row>
    <row r="84" ht="15.75" customHeight="1" s="43">
      <c r="A84" s="61" t="inlineStr">
        <is>
          <t>DWEC</t>
        </is>
      </c>
      <c r="B84" s="62" t="inlineStr">
        <is>
          <t>047040</t>
        </is>
      </c>
      <c r="C84" s="62" t="inlineStr">
        <is>
          <t>Industrials</t>
        </is>
      </c>
      <c r="D84" s="62" t="inlineStr">
        <is>
          <t>2018</t>
        </is>
      </c>
      <c r="E84" s="63" t="inlineStr">
        <is>
          <t>DWEC 2021 report (only report covering 2018)</t>
        </is>
      </c>
      <c r="F84" s="62" t="n"/>
      <c r="G84" s="67" t="n">
        <v>6.4</v>
      </c>
      <c r="H84" s="67" t="n"/>
      <c r="I84" s="65">
        <f>IFERROR(IF(AND(G84&lt;&gt;"",H84&lt;&gt;""),ABS(G84-H84)/ABS(G84)*100,""),"")</f>
        <v/>
      </c>
      <c r="J84" s="62" t="inlineStr">
        <is>
          <t>Claude</t>
        </is>
      </c>
      <c r="K84" s="67" t="n">
        <v>8</v>
      </c>
      <c r="L84" s="67" t="n"/>
      <c r="M84" s="65">
        <f>IFERROR(IF(AND(K84&lt;&gt;"",L84&lt;&gt;""),ABS(K84-L84)/ABS(K84)*100,""),"")</f>
        <v/>
      </c>
      <c r="N84" s="62" t="inlineStr">
        <is>
          <t>Claude</t>
        </is>
      </c>
      <c r="O84" s="67" t="n">
        <v>1.75</v>
      </c>
      <c r="P84" s="67" t="n"/>
      <c r="Q84" s="65">
        <f>IFERROR(IF(AND(O84&lt;&gt;"",P84&lt;&gt;""),ABS(O84-P84)/ABS(O84)*100,""),"")</f>
        <v/>
      </c>
      <c r="R84" s="62" t="inlineStr">
        <is>
          <t>Claude</t>
        </is>
      </c>
      <c r="S84" s="64" t="n">
        <v>0.97</v>
      </c>
      <c r="T84" s="64" t="n">
        <v>1.14</v>
      </c>
      <c r="U84" s="65">
        <f>IFERROR(IF(AND(S84&lt;&gt;"",T84&lt;&gt;""),ABS(S84-T84)/ABS(S84)*100,""),"")</f>
        <v/>
      </c>
      <c r="V84" s="66" t="inlineStr">
        <is>
          <t>MANUAL FLAG</t>
        </is>
      </c>
      <c r="W84" s="67" t="n"/>
      <c r="X84" s="67" t="n"/>
      <c r="Y84" s="65">
        <f>IFERROR(IF(AND(W84&lt;&gt;"",X84&lt;&gt;""),ABS(W84-X84)/ABS(W84)*100,""),"")</f>
        <v/>
      </c>
      <c r="Z84" s="62" t="inlineStr">
        <is>
          <t>ND</t>
        </is>
      </c>
      <c r="AA84" s="67" t="n">
        <v>11.54</v>
      </c>
      <c r="AB84" s="67" t="n"/>
      <c r="AC84" s="65">
        <f>IFERROR(IF(AND(AA84&lt;&gt;"",AB84&lt;&gt;""),ABS(AA84-AB84)/ABS(AA84)*100,""),"")</f>
        <v/>
      </c>
      <c r="AD84" s="62" t="inlineStr">
        <is>
          <t>Claude</t>
        </is>
      </c>
      <c r="AE84" s="67" t="n"/>
      <c r="AF84" s="67" t="n"/>
      <c r="AG84" s="65">
        <f>IFERROR(IF(AND(AE84&lt;&gt;"",AF84&lt;&gt;""),ABS(AE84-AF84)/ABS(AE84)*100,""),"")</f>
        <v/>
      </c>
      <c r="AH84" s="62" t="inlineStr">
        <is>
          <t>ND</t>
        </is>
      </c>
      <c r="AI84" s="67" t="n"/>
      <c r="AJ84" s="67" t="n"/>
      <c r="AK84" s="65">
        <f>IFERROR(IF(AND(AI84&lt;&gt;"",AJ84&lt;&gt;""),ABS(AI84-AJ84)/ABS(AI84)*100,""),"")</f>
        <v/>
      </c>
      <c r="AL84" s="62" t="inlineStr">
        <is>
          <t>ND</t>
        </is>
      </c>
      <c r="AM84" s="67" t="n">
        <v>4.09</v>
      </c>
      <c r="AN84" s="67" t="n"/>
      <c r="AO84" s="65">
        <f>IFERROR(IF(AND(AM84&lt;&gt;"",AN84&lt;&gt;""),ABS(AM84-AN84)/ABS(AM84)*100,""),"")</f>
        <v/>
      </c>
      <c r="AP84" s="62" t="inlineStr">
        <is>
          <t>Claude</t>
        </is>
      </c>
      <c r="AQ84" s="67" t="n">
        <v>0</v>
      </c>
      <c r="AR84" s="67" t="n"/>
      <c r="AS84" s="65">
        <f>IFERROR(IF(AND(AQ84&lt;&gt;"",AR84&lt;&gt;""),ABS(AQ84-AR84)/ABS(AQ84)*100,""),"")</f>
        <v/>
      </c>
      <c r="AT84" s="62" t="inlineStr">
        <is>
          <t>Claude</t>
        </is>
      </c>
      <c r="AU84" s="67" t="n"/>
      <c r="AV84" s="67" t="n"/>
      <c r="AW84" s="65">
        <f>IFERROR(IF(AND(AU84&lt;&gt;"",AV84&lt;&gt;""),ABS(AU84-AV84)/ABS(AU84)*100,""),"")</f>
        <v/>
      </c>
      <c r="AX84" s="62" t="inlineStr">
        <is>
          <t>ND</t>
        </is>
      </c>
      <c r="AY84" s="67" t="n"/>
      <c r="AZ84" s="67" t="n"/>
      <c r="BA84" s="65">
        <f>IFERROR(IF(AND(AY84&lt;&gt;"",AZ84&lt;&gt;""),ABS(AY84-AZ84)/ABS(AY84)*100,""),"")</f>
        <v/>
      </c>
      <c r="BB84" s="62" t="inlineStr">
        <is>
          <t>ND</t>
        </is>
      </c>
      <c r="BC84" s="67" t="n"/>
      <c r="BD84" s="67" t="n"/>
      <c r="BE84" s="65">
        <f>IFERROR(IF(AND(BC84&lt;&gt;"",BD84&lt;&gt;""),ABS(BC84-BD84)/ABS(BC84)*100,""),"")</f>
        <v/>
      </c>
      <c r="BF84" s="62" t="inlineStr">
        <is>
          <t>ND</t>
        </is>
      </c>
      <c r="BG84" s="67" t="n">
        <v>643135</v>
      </c>
      <c r="BH84" s="67" t="n">
        <v>643135</v>
      </c>
      <c r="BI84" s="65">
        <f>IFERROR(IF(AND(BG84&lt;&gt;"",BH84&lt;&gt;""),ABS(BG84-BH84)/ABS(BG84)*100,""),"")</f>
        <v/>
      </c>
      <c r="BJ84" s="62" t="inlineStr">
        <is>
          <t>Claude</t>
        </is>
      </c>
      <c r="BK84" s="67" t="n">
        <v>49</v>
      </c>
      <c r="BL84" s="67" t="n">
        <v>49</v>
      </c>
      <c r="BM84" s="65">
        <f>IFERROR(IF(AND(BK84&lt;&gt;"",BL84&lt;&gt;""),ABS(BK84-BL84)/ABS(BK84)*100,""),"")</f>
        <v/>
      </c>
      <c r="BN84" s="62" t="inlineStr">
        <is>
          <t>Claude</t>
        </is>
      </c>
      <c r="BO84" s="67" t="n">
        <v>16</v>
      </c>
      <c r="BP84" s="67" t="n">
        <v>16</v>
      </c>
      <c r="BQ84" s="65">
        <f>IFERROR(IF(AND(BO84&lt;&gt;"",BP84&lt;&gt;""),ABS(BO84-BP84)/ABS(BO84)*100,""),"")</f>
        <v/>
      </c>
      <c r="BR84" s="62" t="inlineStr">
        <is>
          <t>Claude</t>
        </is>
      </c>
      <c r="BS84" s="67" t="n">
        <v>23</v>
      </c>
      <c r="BT84" s="67" t="n">
        <v>23</v>
      </c>
      <c r="BU84" s="65">
        <f>IFERROR(IF(AND(BS84&lt;&gt;"",BT84&lt;&gt;""),ABS(BS84-BT84)/ABS(BS84)*100,""),"")</f>
        <v/>
      </c>
      <c r="BV84" s="62" t="inlineStr">
        <is>
          <t>Claude</t>
        </is>
      </c>
      <c r="BW84" s="67" t="n">
        <v>67</v>
      </c>
      <c r="BX84" s="67" t="n">
        <v>67</v>
      </c>
      <c r="BY84" s="65">
        <f>IFERROR(IF(AND(BW84&lt;&gt;"",BX84&lt;&gt;""),ABS(BW84-BX84)/ABS(BW84)*100,""),"")</f>
        <v/>
      </c>
      <c r="BZ84" s="62" t="inlineStr">
        <is>
          <t>Claude</t>
        </is>
      </c>
      <c r="CA84" s="67" t="n"/>
      <c r="CB84" s="67" t="n"/>
      <c r="CC84" s="65">
        <f>IFERROR(IF(AND(CA84&lt;&gt;"",CB84&lt;&gt;""),ABS(CA84-CB84)/ABS(CA84)*100,""),"")</f>
        <v/>
      </c>
      <c r="CD84" s="62" t="inlineStr">
        <is>
          <t>ND</t>
        </is>
      </c>
      <c r="CE84" s="67" t="n"/>
      <c r="CF84" s="67" t="n"/>
      <c r="CG84" s="65">
        <f>IFERROR(IF(AND(CE84&lt;&gt;"",CF84&lt;&gt;""),ABS(CE84-CF84)/ABS(CE84)*100,""),"")</f>
        <v/>
      </c>
      <c r="CH84" s="62" t="inlineStr">
        <is>
          <t>ND</t>
        </is>
      </c>
      <c r="CI84" s="67" t="n"/>
      <c r="CJ84" s="67" t="n">
        <v>0.45</v>
      </c>
      <c r="CK84" s="65">
        <f>IFERROR(IF(AND(CI84&lt;&gt;"",CJ84&lt;&gt;""),ABS(CI84-CJ84)/ABS(CI84)*100,""),"")</f>
        <v/>
      </c>
      <c r="CL84" s="62" t="inlineStr">
        <is>
          <t>DeepSeek</t>
        </is>
      </c>
      <c r="CM84" s="67" t="n">
        <v>34</v>
      </c>
      <c r="CN84" s="67" t="n">
        <v>34</v>
      </c>
      <c r="CO84" s="65">
        <f>IFERROR(IF(AND(CM84&lt;&gt;"",CN84&lt;&gt;""),ABS(CM84-CN84)/ABS(CM84)*100,""),"")</f>
        <v/>
      </c>
      <c r="CP84" s="62" t="inlineStr">
        <is>
          <t>Claude</t>
        </is>
      </c>
      <c r="CQ84" s="67" t="n"/>
      <c r="CR84" s="67" t="n"/>
      <c r="CS84" s="65">
        <f>IFERROR(IF(AND(CQ84&lt;&gt;"",CR84&lt;&gt;""),ABS(CQ84-CR84)/ABS(CQ84)*100,""),"")</f>
        <v/>
      </c>
      <c r="CT84" s="62" t="inlineStr">
        <is>
          <t>ND</t>
        </is>
      </c>
      <c r="CU84" s="67" t="n">
        <v>0.5600000000000001</v>
      </c>
      <c r="CV84" s="67" t="n">
        <v>0.5600000000000001</v>
      </c>
      <c r="CW84" s="65">
        <f>IFERROR(IF(AND(CU84&lt;&gt;"",CV84&lt;&gt;""),ABS(CU84-CV84)/ABS(CU84)*100,""),"")</f>
        <v/>
      </c>
      <c r="CX84" s="62" t="inlineStr">
        <is>
          <t>Claude</t>
        </is>
      </c>
      <c r="CY84" s="68" t="n"/>
      <c r="CZ84" s="68" t="n"/>
      <c r="DA84" s="65">
        <f>IFERROR(IF(AND(CY84&lt;&gt;"",CZ84&lt;&gt;""),ABS(CY84-CZ84)/ABS(CY84)*100,""),"")</f>
        <v/>
      </c>
      <c r="DB84" s="62" t="inlineStr">
        <is>
          <t>ND</t>
        </is>
      </c>
      <c r="DC84" s="68" t="n"/>
      <c r="DD84" s="68" t="n"/>
      <c r="DE84" s="65">
        <f>IFERROR(IF(AND(DC84&lt;&gt;"",DD84&lt;&gt;""),ABS(DC84-DD84)/ABS(DC84)*100,""),"")</f>
        <v/>
      </c>
      <c r="DF84" s="62" t="inlineStr">
        <is>
          <t>ND</t>
        </is>
      </c>
      <c r="DG84" s="68" t="n"/>
      <c r="DH84" s="68" t="n"/>
      <c r="DI84" s="65">
        <f>IFERROR(IF(AND(DG84&lt;&gt;"",DH84&lt;&gt;""),ABS(DG84-DH84)/ABS(DG84)*100,""),"")</f>
        <v/>
      </c>
      <c r="DJ84" s="62" t="inlineStr">
        <is>
          <t>ND</t>
        </is>
      </c>
      <c r="DK84" s="68" t="n"/>
      <c r="DL84" s="68" t="n"/>
      <c r="DM84" s="65">
        <f>IFERROR(IF(AND(DK84&lt;&gt;"",DL84&lt;&gt;""),ABS(DK84-DL84)/ABS(DK84)*100,""),"")</f>
        <v/>
      </c>
      <c r="DN84" s="62" t="inlineStr">
        <is>
          <t>ND</t>
        </is>
      </c>
      <c r="DO84" s="68" t="n"/>
      <c r="DP84" s="68" t="n"/>
      <c r="DQ84" s="65">
        <f>IFERROR(IF(AND(DO84&lt;&gt;"",DP84&lt;&gt;""),ABS(DO84-DP84)/ABS(DO84)*100,""),"")</f>
        <v/>
      </c>
      <c r="DR84" s="62" t="inlineStr">
        <is>
          <t>ND</t>
        </is>
      </c>
      <c r="DS84" s="68" t="n"/>
      <c r="DT84" s="68" t="n"/>
      <c r="DU84" s="65">
        <f>IFERROR(IF(AND(DS84&lt;&gt;"",DT84&lt;&gt;""),ABS(DS84-DT84)/ABS(DS84)*100,""),"")</f>
        <v/>
      </c>
      <c r="DV84" s="62" t="inlineStr">
        <is>
          <t>ND</t>
        </is>
      </c>
      <c r="DW84" s="63" t="inlineStr">
        <is>
          <t>Claude only (DeepSeek pending). Source=2021 report (only report covering 2018). Ind.7/8=ND (headcount 44 disabled, 14 foreign; no total workforce disclosed either edition). Ind.9=4.09, PROXY ('manager or higher position', not confirmed equivalent to 'middle manager'). Ind.21/23=ND: source correctly withheld these rather than substitute a non-equivalent disclosed figure (undifferentiated turnover; overseas-only %-based 'LTIR'). Ind.24=0.56, unit=deaths per 10,000 workers (not a simple count). || DEEPSEEK RECONCILIATION - MANUAL FLAGS: Ind.4 (New Hire Rate): Claude=0.97, DeepSeek=1.14, Diff=17.5%</t>
        </is>
      </c>
    </row>
    <row r="85" ht="15.75" customHeight="1" s="43">
      <c r="A85" s="69" t="n"/>
      <c r="B85" s="69" t="n"/>
      <c r="C85" s="69" t="inlineStr">
        <is>
          <t>Industrials</t>
        </is>
      </c>
      <c r="D85" s="69" t="inlineStr">
        <is>
          <t>2019</t>
        </is>
      </c>
      <c r="E85" s="70" t="inlineStr">
        <is>
          <t>DWEC_2022.pdf (more recent than 2021 report; supersedes per most-recent rule)</t>
        </is>
      </c>
      <c r="F85" s="69" t="n"/>
      <c r="G85" s="64" t="n">
        <v>6.89</v>
      </c>
      <c r="H85" s="64" t="n">
        <v>64.44</v>
      </c>
      <c r="I85" s="71">
        <f>IFERROR(IF(AND(G85&lt;&gt;"",H85&lt;&gt;""),ABS(G85-H85)/ABS(G85)*100,""),"")</f>
        <v/>
      </c>
      <c r="J85" s="66" t="inlineStr">
        <is>
          <t>MANUAL FLAG</t>
        </is>
      </c>
      <c r="K85" s="67" t="n">
        <v>8.25</v>
      </c>
      <c r="L85" s="67" t="n">
        <v>8.25</v>
      </c>
      <c r="M85" s="71">
        <f>IFERROR(IF(AND(K85&lt;&gt;"",L85&lt;&gt;""),ABS(K85-L85)/ABS(K85)*100,""),"")</f>
        <v/>
      </c>
      <c r="N85" s="69" t="inlineStr">
        <is>
          <t>Claude</t>
        </is>
      </c>
      <c r="O85" s="64" t="n">
        <v>2.7</v>
      </c>
      <c r="P85" s="64" t="n">
        <v>10.69</v>
      </c>
      <c r="Q85" s="71">
        <f>IFERROR(IF(AND(O85&lt;&gt;"",P85&lt;&gt;""),ABS(O85-P85)/ABS(O85)*100,""),"")</f>
        <v/>
      </c>
      <c r="R85" s="66" t="inlineStr">
        <is>
          <t>MANUAL FLAG</t>
        </is>
      </c>
      <c r="S85" s="64" t="n">
        <v>2.23</v>
      </c>
      <c r="T85" s="64" t="n">
        <v>1.88</v>
      </c>
      <c r="U85" s="71">
        <f>IFERROR(IF(AND(S85&lt;&gt;"",T85&lt;&gt;""),ABS(S85-T85)/ABS(S85)*100,""),"")</f>
        <v/>
      </c>
      <c r="V85" s="66" t="inlineStr">
        <is>
          <t>MANUAL FLAG</t>
        </is>
      </c>
      <c r="W85" s="67" t="n"/>
      <c r="X85" s="67" t="n"/>
      <c r="Y85" s="71">
        <f>IFERROR(IF(AND(W85&lt;&gt;"",X85&lt;&gt;""),ABS(W85-X85)/ABS(W85)*100,""),"")</f>
        <v/>
      </c>
      <c r="Z85" s="69" t="inlineStr">
        <is>
          <t>ND</t>
        </is>
      </c>
      <c r="AA85" s="67" t="n">
        <v>15.83</v>
      </c>
      <c r="AB85" s="67" t="n"/>
      <c r="AC85" s="71">
        <f>IFERROR(IF(AND(AA85&lt;&gt;"",AB85&lt;&gt;""),ABS(AA85-AB85)/ABS(AA85)*100,""),"")</f>
        <v/>
      </c>
      <c r="AD85" s="69" t="inlineStr">
        <is>
          <t>Claude</t>
        </is>
      </c>
      <c r="AE85" s="67" t="n">
        <v>0.873</v>
      </c>
      <c r="AF85" s="67" t="n"/>
      <c r="AG85" s="71">
        <f>IFERROR(IF(AND(AE85&lt;&gt;"",AF85&lt;&gt;""),ABS(AE85-AF85)/ABS(AE85)*100,""),"")</f>
        <v/>
      </c>
      <c r="AH85" s="69" t="inlineStr">
        <is>
          <t>Claude</t>
        </is>
      </c>
      <c r="AI85" s="67" t="n">
        <v>0.371</v>
      </c>
      <c r="AJ85" s="67" t="n"/>
      <c r="AK85" s="71">
        <f>IFERROR(IF(AND(AI85&lt;&gt;"",AJ85&lt;&gt;""),ABS(AI85-AJ85)/ABS(AI85)*100,""),"")</f>
        <v/>
      </c>
      <c r="AL85" s="69" t="inlineStr">
        <is>
          <t>Claude</t>
        </is>
      </c>
      <c r="AM85" s="64" t="n">
        <v>4.22</v>
      </c>
      <c r="AN85" s="64" t="n">
        <v>66.09</v>
      </c>
      <c r="AO85" s="71">
        <f>IFERROR(IF(AND(AM85&lt;&gt;"",AN85&lt;&gt;""),ABS(AM85-AN85)/ABS(AM85)*100,""),"")</f>
        <v/>
      </c>
      <c r="AP85" s="66" t="inlineStr">
        <is>
          <t>MANUAL FLAG</t>
        </is>
      </c>
      <c r="AQ85" s="67" t="n">
        <v>0</v>
      </c>
      <c r="AR85" s="67" t="n">
        <v>0</v>
      </c>
      <c r="AS85" s="71">
        <f>IFERROR(IF(AND(AQ85&lt;&gt;"",AR85&lt;&gt;""),ABS(AQ85-AR85)/ABS(AQ85)*100,""),"")</f>
        <v/>
      </c>
      <c r="AT85" s="69" t="inlineStr">
        <is>
          <t>Claude</t>
        </is>
      </c>
      <c r="AU85" s="67" t="n"/>
      <c r="AV85" s="67" t="n"/>
      <c r="AW85" s="71">
        <f>IFERROR(IF(AND(AU85&lt;&gt;"",AV85&lt;&gt;""),ABS(AU85-AV85)/ABS(AU85)*100,""),"")</f>
        <v/>
      </c>
      <c r="AX85" s="69" t="inlineStr">
        <is>
          <t>ND</t>
        </is>
      </c>
      <c r="AY85" s="67" t="n"/>
      <c r="AZ85" s="67" t="n"/>
      <c r="BA85" s="71">
        <f>IFERROR(IF(AND(AY85&lt;&gt;"",AZ85&lt;&gt;""),ABS(AY85-AZ85)/ABS(AY85)*100,""),"")</f>
        <v/>
      </c>
      <c r="BB85" s="69" t="inlineStr">
        <is>
          <t>ND</t>
        </is>
      </c>
      <c r="BC85" s="67" t="n"/>
      <c r="BD85" s="67" t="n">
        <v>0</v>
      </c>
      <c r="BE85" s="71">
        <f>IFERROR(IF(AND(BC85&lt;&gt;"",BD85&lt;&gt;""),ABS(BC85-BD85)/ABS(BC85)*100,""),"")</f>
        <v/>
      </c>
      <c r="BF85" s="69" t="inlineStr">
        <is>
          <t>DeepSeek</t>
        </is>
      </c>
      <c r="BG85" s="67" t="n">
        <v>673937</v>
      </c>
      <c r="BH85" s="67" t="n">
        <v>673937</v>
      </c>
      <c r="BI85" s="71">
        <f>IFERROR(IF(AND(BG85&lt;&gt;"",BH85&lt;&gt;""),ABS(BG85-BH85)/ABS(BG85)*100,""),"")</f>
        <v/>
      </c>
      <c r="BJ85" s="69" t="inlineStr">
        <is>
          <t>Claude</t>
        </is>
      </c>
      <c r="BK85" s="67" t="n">
        <v>63</v>
      </c>
      <c r="BL85" s="67" t="n">
        <v>63</v>
      </c>
      <c r="BM85" s="71">
        <f>IFERROR(IF(AND(BK85&lt;&gt;"",BL85&lt;&gt;""),ABS(BK85-BL85)/ABS(BK85)*100,""),"")</f>
        <v/>
      </c>
      <c r="BN85" s="69" t="inlineStr">
        <is>
          <t>Claude</t>
        </is>
      </c>
      <c r="BO85" s="64" t="n">
        <v>17</v>
      </c>
      <c r="BP85" s="64" t="n">
        <v>22</v>
      </c>
      <c r="BQ85" s="71">
        <f>IFERROR(IF(AND(BO85&lt;&gt;"",BP85&lt;&gt;""),ABS(BO85-BP85)/ABS(BO85)*100,""),"")</f>
        <v/>
      </c>
      <c r="BR85" s="66" t="inlineStr">
        <is>
          <t>MANUAL FLAG</t>
        </is>
      </c>
      <c r="BS85" s="64" t="n">
        <v>22</v>
      </c>
      <c r="BT85" s="64" t="n">
        <v>17</v>
      </c>
      <c r="BU85" s="71">
        <f>IFERROR(IF(AND(BS85&lt;&gt;"",BT85&lt;&gt;""),ABS(BS85-BT85)/ABS(BS85)*100,""),"")</f>
        <v/>
      </c>
      <c r="BV85" s="66" t="inlineStr">
        <is>
          <t>MANUAL FLAG</t>
        </is>
      </c>
      <c r="BW85" s="67" t="n">
        <v>67</v>
      </c>
      <c r="BX85" s="67" t="n">
        <v>67</v>
      </c>
      <c r="BY85" s="71">
        <f>IFERROR(IF(AND(BW85&lt;&gt;"",BX85&lt;&gt;""),ABS(BW85-BX85)/ABS(BW85)*100,""),"")</f>
        <v/>
      </c>
      <c r="BZ85" s="69" t="inlineStr">
        <is>
          <t>Claude</t>
        </is>
      </c>
      <c r="CA85" s="67" t="n"/>
      <c r="CB85" s="67" t="n"/>
      <c r="CC85" s="71">
        <f>IFERROR(IF(AND(CA85&lt;&gt;"",CB85&lt;&gt;""),ABS(CA85-CB85)/ABS(CA85)*100,""),"")</f>
        <v/>
      </c>
      <c r="CD85" s="69" t="inlineStr">
        <is>
          <t>ND</t>
        </is>
      </c>
      <c r="CE85" s="67" t="n">
        <v>1.45</v>
      </c>
      <c r="CF85" s="67" t="n">
        <v>1.45</v>
      </c>
      <c r="CG85" s="71">
        <f>IFERROR(IF(AND(CE85&lt;&gt;"",CF85&lt;&gt;""),ABS(CE85-CF85)/ABS(CE85)*100,""),"")</f>
        <v/>
      </c>
      <c r="CH85" s="69" t="inlineStr">
        <is>
          <t>Claude</t>
        </is>
      </c>
      <c r="CI85" s="67" t="n"/>
      <c r="CJ85" s="67" t="n"/>
      <c r="CK85" s="71">
        <f>IFERROR(IF(AND(CI85&lt;&gt;"",CJ85&lt;&gt;""),ABS(CI85-CJ85)/ABS(CI85)*100,""),"")</f>
        <v/>
      </c>
      <c r="CL85" s="69" t="inlineStr">
        <is>
          <t>ND</t>
        </is>
      </c>
      <c r="CM85" s="67" t="n">
        <v>40</v>
      </c>
      <c r="CN85" s="67" t="n">
        <v>40</v>
      </c>
      <c r="CO85" s="71">
        <f>IFERROR(IF(AND(CM85&lt;&gt;"",CN85&lt;&gt;""),ABS(CM85-CN85)/ABS(CM85)*100,""),"")</f>
        <v/>
      </c>
      <c r="CP85" s="69" t="inlineStr">
        <is>
          <t>Claude</t>
        </is>
      </c>
      <c r="CQ85" s="67" t="n">
        <v>0</v>
      </c>
      <c r="CR85" s="67" t="n">
        <v>0</v>
      </c>
      <c r="CS85" s="71">
        <f>IFERROR(IF(AND(CQ85&lt;&gt;"",CR85&lt;&gt;""),ABS(CQ85-CR85)/ABS(CQ85)*100,""),"")</f>
        <v/>
      </c>
      <c r="CT85" s="69" t="inlineStr">
        <is>
          <t>Claude</t>
        </is>
      </c>
      <c r="CU85" s="64" t="n">
        <v>1.77</v>
      </c>
      <c r="CV85" s="64" t="n">
        <v>0</v>
      </c>
      <c r="CW85" s="71">
        <f>IFERROR(IF(AND(CU85&lt;&gt;"",CV85&lt;&gt;""),ABS(CU85-CV85)/ABS(CU85)*100,""),"")</f>
        <v/>
      </c>
      <c r="CX85" s="66" t="inlineStr">
        <is>
          <t>MANUAL FLAG</t>
        </is>
      </c>
      <c r="CY85" s="68" t="n"/>
      <c r="CZ85" s="68" t="n"/>
      <c r="DA85" s="71">
        <f>IFERROR(IF(AND(CY85&lt;&gt;"",CZ85&lt;&gt;""),ABS(CY85-CZ85)/ABS(CY85)*100,""),"")</f>
        <v/>
      </c>
      <c r="DB85" s="69" t="inlineStr">
        <is>
          <t>ND</t>
        </is>
      </c>
      <c r="DC85" s="68" t="n"/>
      <c r="DD85" s="68" t="n"/>
      <c r="DE85" s="71">
        <f>IFERROR(IF(AND(DC85&lt;&gt;"",DD85&lt;&gt;""),ABS(DC85-DD85)/ABS(DC85)*100,""),"")</f>
        <v/>
      </c>
      <c r="DF85" s="69" t="inlineStr">
        <is>
          <t>ND</t>
        </is>
      </c>
      <c r="DG85" s="68" t="n"/>
      <c r="DH85" s="68" t="n"/>
      <c r="DI85" s="71">
        <f>IFERROR(IF(AND(DG85&lt;&gt;"",DH85&lt;&gt;""),ABS(DG85-DH85)/ABS(DG85)*100,""),"")</f>
        <v/>
      </c>
      <c r="DJ85" s="69" t="inlineStr">
        <is>
          <t>ND</t>
        </is>
      </c>
      <c r="DK85" s="68" t="n"/>
      <c r="DL85" s="68" t="n"/>
      <c r="DM85" s="71">
        <f>IFERROR(IF(AND(DK85&lt;&gt;"",DL85&lt;&gt;""),ABS(DK85-DL85)/ABS(DK85)*100,""),"")</f>
        <v/>
      </c>
      <c r="DN85" s="69" t="inlineStr">
        <is>
          <t>ND</t>
        </is>
      </c>
      <c r="DO85" s="68" t="n"/>
      <c r="DP85" s="68" t="n"/>
      <c r="DQ85" s="71">
        <f>IFERROR(IF(AND(DO85&lt;&gt;"",DP85&lt;&gt;""),ABS(DO85-DP85)/ABS(DO85)*100,""),"")</f>
        <v/>
      </c>
      <c r="DR85" s="69" t="inlineStr">
        <is>
          <t>ND</t>
        </is>
      </c>
      <c r="DS85" s="68" t="n"/>
      <c r="DT85" s="68" t="n"/>
      <c r="DU85" s="71">
        <f>IFERROR(IF(AND(DS85&lt;&gt;"",DT85&lt;&gt;""),ABS(DS85-DT85)/ABS(DS85)*100,""),"")</f>
        <v/>
      </c>
      <c r="DV85" s="69" t="inlineStr">
        <is>
          <t>ND</t>
        </is>
      </c>
      <c r="DW85" s="70" t="inlineStr">
        <is>
          <t>UPDATED after user provided an additional DWEC batch (2022 report), more recent than the originally-used 2021 report - superseding prior 2019 values per 'most recent' rule. Ind.1/2/3/4/6/9/10/15/18/22 all MATCH the 2021 report exactly - good consistency. Ind.7/8 NOW COMPUTABLE for the first time: %Disabled=0.873 (47/5,385 total employees), %Foreign=0.371 (PROXY - report has TWO conflicting foreign-headcount tables: 20 vs 12; higher/primary figure used, flagged). **Ind.16/17 (Parental Leave F/M): 2021 report had F=22/M=17; this 2022 report has F=17/M=22 - an EXACT SWAP, not a rounding difference. Both editions cite 'Direct' status from the same table (p.111). Cannot resolve without checking source PDF - using 2022 report's labeling per 'most recent' rule, but flagging as a likely mislabeling in ONE of the two editions. Recommend manual verification before using this indicator in gender-based analysis.** Ind.14=673,937, matches exactly. Ind.20 (Voluntary Turnover)=1.45, NEWLY AVAILABLE (was na) - source flags 'Restated in report' due to an aggregation-criteria change. Ind.23 (LTIFR)=0, NEWLY AVAILABLE (was na) - PROXY: labeled 'LTIR' by source, scoped to OVERSEAS WORKSITES ONLY, not company-wide. Ind.24=1.77, minor conflict vs 2021 report's 1.71 (likely rounding/restatement, not material). Ind.25=na: unchanged (was na in 2019 already, pre-pandemic). || DEEPSEEK RECONCILIATION - MANUAL FLAGS: Ind.1 (Contract Workers%): Claude=6.89, DeepSeek=64.44, Diff=835.3%; Ind.3 (Female Contract%): Claude=2.7, DeepSeek=10.69, Diff=295.9%; Ind.4 (New Hire Rate): Claude=2.23, DeepSeek=1.88, Diff=15.7%; Ind.9 (Female Middle Mgrs): Claude=4.22, DeepSeek=66.09, Diff=1466.1%; Ind.16 (Parental Leave F): Claude=17, DeepSeek=22, Diff=29.4%; Ind.17 (Parental Leave M): Claude=22, DeepSeek=17, Diff=22.7%; Ind.24 (Fatality Rate): Claude=1.77, DeepSeek=0, Diff=100.0% || NOTE: Ind.16/17 discrepancy (Claude F=17/M=22 vs DeepSeek F=22/M=17) matches a PREVIOUSLY IDENTIFIED swap ambiguity between Claude's own two DWEC report editions - DeepSeek's batch1/batch2 both align with the EARLIER (pre-correction) labeling Claude itself flagged as possibly swapped. This is a known, unresolved ambiguity, not a fresh conflict.</t>
        </is>
      </c>
    </row>
    <row r="86" ht="15.75" customHeight="1" s="43">
      <c r="A86" s="62" t="n"/>
      <c r="B86" s="62" t="n"/>
      <c r="C86" s="62" t="inlineStr">
        <is>
          <t>Industrials</t>
        </is>
      </c>
      <c r="D86" s="62" t="inlineStr">
        <is>
          <t>2020</t>
        </is>
      </c>
      <c r="E86" s="63" t="inlineStr">
        <is>
          <t>DWEC_2022.pdf (more recent than 2021 report; supersedes per most-recent rule)</t>
        </is>
      </c>
      <c r="F86" s="62" t="n"/>
      <c r="G86" s="64" t="n">
        <v>8.970000000000001</v>
      </c>
      <c r="H86" s="64" t="n">
        <v>63.39</v>
      </c>
      <c r="I86" s="65">
        <f>IFERROR(IF(AND(G86&lt;&gt;"",H86&lt;&gt;""),ABS(G86-H86)/ABS(G86)*100,""),"")</f>
        <v/>
      </c>
      <c r="J86" s="66" t="inlineStr">
        <is>
          <t>MANUAL FLAG</t>
        </is>
      </c>
      <c r="K86" s="67" t="n">
        <v>8.640000000000001</v>
      </c>
      <c r="L86" s="67" t="n">
        <v>8.640000000000001</v>
      </c>
      <c r="M86" s="65">
        <f>IFERROR(IF(AND(K86&lt;&gt;"",L86&lt;&gt;""),ABS(K86-L86)/ABS(K86)*100,""),"")</f>
        <v/>
      </c>
      <c r="N86" s="62" t="inlineStr">
        <is>
          <t>Claude</t>
        </is>
      </c>
      <c r="O86" s="64" t="n">
        <v>2.66</v>
      </c>
      <c r="P86" s="64" t="n">
        <v>14.15</v>
      </c>
      <c r="Q86" s="65">
        <f>IFERROR(IF(AND(O86&lt;&gt;"",P86&lt;&gt;""),ABS(O86-P86)/ABS(O86)*100,""),"")</f>
        <v/>
      </c>
      <c r="R86" s="66" t="inlineStr">
        <is>
          <t>MANUAL FLAG</t>
        </is>
      </c>
      <c r="S86" s="64" t="n">
        <v>2.48</v>
      </c>
      <c r="T86" s="64" t="n">
        <v>2.07</v>
      </c>
      <c r="U86" s="65">
        <f>IFERROR(IF(AND(S86&lt;&gt;"",T86&lt;&gt;""),ABS(S86-T86)/ABS(S86)*100,""),"")</f>
        <v/>
      </c>
      <c r="V86" s="66" t="inlineStr">
        <is>
          <t>MANUAL FLAG</t>
        </is>
      </c>
      <c r="W86" s="67" t="n"/>
      <c r="X86" s="67" t="n"/>
      <c r="Y86" s="65">
        <f>IFERROR(IF(AND(W86&lt;&gt;"",X86&lt;&gt;""),ABS(W86-X86)/ABS(W86)*100,""),"")</f>
        <v/>
      </c>
      <c r="Z86" s="62" t="inlineStr">
        <is>
          <t>ND</t>
        </is>
      </c>
      <c r="AA86" s="64" t="n">
        <v>16.3</v>
      </c>
      <c r="AB86" s="64" t="n">
        <v>88.5</v>
      </c>
      <c r="AC86" s="65">
        <f>IFERROR(IF(AND(AA86&lt;&gt;"",AB86&lt;&gt;""),ABS(AA86-AB86)/ABS(AA86)*100,""),"")</f>
        <v/>
      </c>
      <c r="AD86" s="66" t="inlineStr">
        <is>
          <t>MANUAL FLAG</t>
        </is>
      </c>
      <c r="AE86" s="67" t="n">
        <v>0.77</v>
      </c>
      <c r="AF86" s="67" t="n"/>
      <c r="AG86" s="65">
        <f>IFERROR(IF(AND(AE86&lt;&gt;"",AF86&lt;&gt;""),ABS(AE86-AF86)/ABS(AE86)*100,""),"")</f>
        <v/>
      </c>
      <c r="AH86" s="62" t="inlineStr">
        <is>
          <t>Claude</t>
        </is>
      </c>
      <c r="AI86" s="67" t="n">
        <v>0.385</v>
      </c>
      <c r="AJ86" s="67" t="n"/>
      <c r="AK86" s="65">
        <f>IFERROR(IF(AND(AI86&lt;&gt;"",AJ86&lt;&gt;""),ABS(AI86-AJ86)/ABS(AI86)*100,""),"")</f>
        <v/>
      </c>
      <c r="AL86" s="62" t="inlineStr">
        <is>
          <t>Claude</t>
        </is>
      </c>
      <c r="AM86" s="64" t="n">
        <v>4.29</v>
      </c>
      <c r="AN86" s="64" t="n">
        <v>63.03</v>
      </c>
      <c r="AO86" s="65">
        <f>IFERROR(IF(AND(AM86&lt;&gt;"",AN86&lt;&gt;""),ABS(AM86-AN86)/ABS(AM86)*100,""),"")</f>
        <v/>
      </c>
      <c r="AP86" s="66" t="inlineStr">
        <is>
          <t>MANUAL FLAG</t>
        </is>
      </c>
      <c r="AQ86" s="67" t="n">
        <v>0</v>
      </c>
      <c r="AR86" s="67" t="n">
        <v>0</v>
      </c>
      <c r="AS86" s="65">
        <f>IFERROR(IF(AND(AQ86&lt;&gt;"",AR86&lt;&gt;""),ABS(AQ86-AR86)/ABS(AQ86)*100,""),"")</f>
        <v/>
      </c>
      <c r="AT86" s="62" t="inlineStr">
        <is>
          <t>Claude</t>
        </is>
      </c>
      <c r="AU86" s="67" t="n"/>
      <c r="AV86" s="67" t="n"/>
      <c r="AW86" s="65">
        <f>IFERROR(IF(AND(AU86&lt;&gt;"",AV86&lt;&gt;""),ABS(AU86-AV86)/ABS(AU86)*100,""),"")</f>
        <v/>
      </c>
      <c r="AX86" s="62" t="inlineStr">
        <is>
          <t>ND</t>
        </is>
      </c>
      <c r="AY86" s="67" t="n"/>
      <c r="AZ86" s="67" t="n"/>
      <c r="BA86" s="65">
        <f>IFERROR(IF(AND(AY86&lt;&gt;"",AZ86&lt;&gt;""),ABS(AY86-AZ86)/ABS(AY86)*100,""),"")</f>
        <v/>
      </c>
      <c r="BB86" s="62" t="inlineStr">
        <is>
          <t>ND</t>
        </is>
      </c>
      <c r="BC86" s="67" t="n"/>
      <c r="BD86" s="67" t="n">
        <v>0</v>
      </c>
      <c r="BE86" s="65">
        <f>IFERROR(IF(AND(BC86&lt;&gt;"",BD86&lt;&gt;""),ABS(BC86-BD86)/ABS(BC86)*100,""),"")</f>
        <v/>
      </c>
      <c r="BF86" s="62" t="inlineStr">
        <is>
          <t>DeepSeek</t>
        </is>
      </c>
      <c r="BG86" s="67" t="n">
        <v>497043</v>
      </c>
      <c r="BH86" s="67" t="n">
        <v>497043</v>
      </c>
      <c r="BI86" s="65">
        <f>IFERROR(IF(AND(BG86&lt;&gt;"",BH86&lt;&gt;""),ABS(BG86-BH86)/ABS(BG86)*100,""),"")</f>
        <v/>
      </c>
      <c r="BJ86" s="62" t="inlineStr">
        <is>
          <t>Claude</t>
        </is>
      </c>
      <c r="BK86" s="67" t="n">
        <v>64</v>
      </c>
      <c r="BL86" s="67" t="n">
        <v>64</v>
      </c>
      <c r="BM86" s="65">
        <f>IFERROR(IF(AND(BK86&lt;&gt;"",BL86&lt;&gt;""),ABS(BK86-BL86)/ABS(BK86)*100,""),"")</f>
        <v/>
      </c>
      <c r="BN86" s="62" t="inlineStr">
        <is>
          <t>Claude</t>
        </is>
      </c>
      <c r="BO86" s="64" t="n">
        <v>26</v>
      </c>
      <c r="BP86" s="64" t="n">
        <v>20</v>
      </c>
      <c r="BQ86" s="65">
        <f>IFERROR(IF(AND(BO86&lt;&gt;"",BP86&lt;&gt;""),ABS(BO86-BP86)/ABS(BO86)*100,""),"")</f>
        <v/>
      </c>
      <c r="BR86" s="66" t="inlineStr">
        <is>
          <t>MANUAL FLAG</t>
        </is>
      </c>
      <c r="BS86" s="64" t="n">
        <v>20</v>
      </c>
      <c r="BT86" s="64" t="n">
        <v>26</v>
      </c>
      <c r="BU86" s="65">
        <f>IFERROR(IF(AND(BS86&lt;&gt;"",BT86&lt;&gt;""),ABS(BS86-BT86)/ABS(BS86)*100,""),"")</f>
        <v/>
      </c>
      <c r="BV86" s="66" t="inlineStr">
        <is>
          <t>MANUAL FLAG</t>
        </is>
      </c>
      <c r="BW86" s="64" t="n">
        <v>65</v>
      </c>
      <c r="BX86" s="64" t="n">
        <v>99</v>
      </c>
      <c r="BY86" s="65">
        <f>IFERROR(IF(AND(BW86&lt;&gt;"",BX86&lt;&gt;""),ABS(BW86-BX86)/ABS(BW86)*100,""),"")</f>
        <v/>
      </c>
      <c r="BZ86" s="66" t="inlineStr">
        <is>
          <t>MANUAL FLAG</t>
        </is>
      </c>
      <c r="CA86" s="67" t="n"/>
      <c r="CB86" s="67" t="n"/>
      <c r="CC86" s="65">
        <f>IFERROR(IF(AND(CA86&lt;&gt;"",CB86&lt;&gt;""),ABS(CA86-CB86)/ABS(CA86)*100,""),"")</f>
        <v/>
      </c>
      <c r="CD86" s="62" t="inlineStr">
        <is>
          <t>ND</t>
        </is>
      </c>
      <c r="CE86" s="67" t="n">
        <v>1.05</v>
      </c>
      <c r="CF86" s="67" t="n">
        <v>1.05</v>
      </c>
      <c r="CG86" s="65">
        <f>IFERROR(IF(AND(CE86&lt;&gt;"",CF86&lt;&gt;""),ABS(CE86-CF86)/ABS(CE86)*100,""),"")</f>
        <v/>
      </c>
      <c r="CH86" s="62" t="inlineStr">
        <is>
          <t>Claude</t>
        </is>
      </c>
      <c r="CI86" s="67" t="n"/>
      <c r="CJ86" s="67" t="n"/>
      <c r="CK86" s="65">
        <f>IFERROR(IF(AND(CI86&lt;&gt;"",CJ86&lt;&gt;""),ABS(CI86-CJ86)/ABS(CI86)*100,""),"")</f>
        <v/>
      </c>
      <c r="CL86" s="62" t="inlineStr">
        <is>
          <t>ND</t>
        </is>
      </c>
      <c r="CM86" s="67" t="n">
        <v>46</v>
      </c>
      <c r="CN86" s="67" t="n">
        <v>46</v>
      </c>
      <c r="CO86" s="65">
        <f>IFERROR(IF(AND(CM86&lt;&gt;"",CN86&lt;&gt;""),ABS(CM86-CN86)/ABS(CM86)*100,""),"")</f>
        <v/>
      </c>
      <c r="CP86" s="62" t="inlineStr">
        <is>
          <t>Claude</t>
        </is>
      </c>
      <c r="CQ86" s="67" t="n">
        <v>0</v>
      </c>
      <c r="CR86" s="67" t="n">
        <v>0</v>
      </c>
      <c r="CS86" s="65">
        <f>IFERROR(IF(AND(CQ86&lt;&gt;"",CR86&lt;&gt;""),ABS(CQ86-CR86)/ABS(CQ86)*100,""),"")</f>
        <v/>
      </c>
      <c r="CT86" s="62" t="inlineStr">
        <is>
          <t>Claude</t>
        </is>
      </c>
      <c r="CU86" s="64" t="n">
        <v>1</v>
      </c>
      <c r="CV86" s="64" t="n">
        <v>1.77</v>
      </c>
      <c r="CW86" s="65">
        <f>IFERROR(IF(AND(CU86&lt;&gt;"",CV86&lt;&gt;""),ABS(CU86-CV86)/ABS(CU86)*100,""),"")</f>
        <v/>
      </c>
      <c r="CX86" s="66" t="inlineStr">
        <is>
          <t>MANUAL FLAG</t>
        </is>
      </c>
      <c r="CY86" s="64" t="n">
        <v>10</v>
      </c>
      <c r="CZ86" s="64" t="n">
        <v>11</v>
      </c>
      <c r="DA86" s="65">
        <f>IFERROR(IF(AND(CY86&lt;&gt;"",CZ86&lt;&gt;""),ABS(CY86-CZ86)/ABS(CY86)*100,""),"")</f>
        <v/>
      </c>
      <c r="DB86" s="66" t="inlineStr">
        <is>
          <t>MANUAL FLAG</t>
        </is>
      </c>
      <c r="DC86" s="68" t="n"/>
      <c r="DD86" s="68" t="n"/>
      <c r="DE86" s="65">
        <f>IFERROR(IF(AND(DC86&lt;&gt;"",DD86&lt;&gt;""),ABS(DC86-DD86)/ABS(DC86)*100,""),"")</f>
        <v/>
      </c>
      <c r="DF86" s="62" t="inlineStr">
        <is>
          <t>ND</t>
        </is>
      </c>
      <c r="DG86" s="68" t="n"/>
      <c r="DH86" s="68" t="n"/>
      <c r="DI86" s="65">
        <f>IFERROR(IF(AND(DG86&lt;&gt;"",DH86&lt;&gt;""),ABS(DG86-DH86)/ABS(DG86)*100,""),"")</f>
        <v/>
      </c>
      <c r="DJ86" s="62" t="inlineStr">
        <is>
          <t>ND</t>
        </is>
      </c>
      <c r="DK86" s="68" t="n"/>
      <c r="DL86" s="68" t="n"/>
      <c r="DM86" s="65">
        <f>IFERROR(IF(AND(DK86&lt;&gt;"",DL86&lt;&gt;""),ABS(DK86-DL86)/ABS(DK86)*100,""),"")</f>
        <v/>
      </c>
      <c r="DN86" s="62" t="inlineStr">
        <is>
          <t>ND</t>
        </is>
      </c>
      <c r="DO86" s="68" t="n"/>
      <c r="DP86" s="68" t="n"/>
      <c r="DQ86" s="65">
        <f>IFERROR(IF(AND(DO86&lt;&gt;"",DP86&lt;&gt;""),ABS(DO86-DP86)/ABS(DO86)*100,""),"")</f>
        <v/>
      </c>
      <c r="DR86" s="62" t="inlineStr">
        <is>
          <t>ND</t>
        </is>
      </c>
      <c r="DS86" s="68" t="n"/>
      <c r="DT86" s="68" t="n"/>
      <c r="DU86" s="65">
        <f>IFERROR(IF(AND(DS86&lt;&gt;"",DT86&lt;&gt;""),ABS(DS86-DT86)/ABS(DS86)*100,""),"")</f>
        <v/>
      </c>
      <c r="DV86" s="62" t="inlineStr">
        <is>
          <t>ND</t>
        </is>
      </c>
      <c r="DW86" s="63" t="inlineStr">
        <is>
          <t>UPDATED - see 2019 note for full context. Ind.7/8 NOW COMPUTABLE: %Disabled=0.770 (42/5,452), %Foreign=0.385 (PROXY, same table-conflict caveat as 2019). **Ind.16/17: SAME SWAP PATTERN as 2019 - 2021 report had F=20/M=26; this 2022 report has F=26/M=20. Confirms this is a SYSTEMATIC swap across both years, not a one-off error - strengthens the case that one edition consistently mislabeled gender for this table. Recommend manual PDF verification.** Ind.14=497,043 vs 2021 report's 517,262 - source EXPLICITLY labels this 'Restated in report' (company's own aggregation-criteria change), not a random discrepancy - use restated value with confidence. Ind.20=1.05, NEWLY AVAILABLE, also 'Restated in report'. Ind.23=0, NEWLY AVAILABLE, PROXY (overseas-only). Ind.24=1, matches 2021 report's 1.05 closely (rounding only). **Ind.25 (COVID Response): 2021 report had a specific count of 10 for this year; this 2022 report RETRACTS it to 'na', finding the narrative couldn't be cleanly itemized into discrete non-overlapping actions - flag as a real data loss/methodological downgrade, though the more cautious treatment may well be correct.** || DEEPSEEK RECONCILIATION - MANUAL FLAGS: Ind.1 (Contract Workers%): Claude=8.97, DeepSeek=63.39, Diff=606.7%; Ind.3 (Female Contract%): Claude=2.66, DeepSeek=14.15, Diff=432.0%; Ind.4 (New Hire Rate): Claude=2.48, DeepSeek=2.07, Diff=16.5%; Ind.6 (New Hires Female%): Claude=16.3, DeepSeek=88.5, Diff=442.9%; Ind.9 (Female Middle Mgrs): Claude=4.29, DeepSeek=63.03, Diff=1369.2%; Ind.16 (Parental Leave F): Claude=26, DeepSeek=20, Diff=23.1%; Ind.17 (Parental Leave M): Claude=20, DeepSeek=26, Diff=30.0%; Ind.18 (Return to Work): Claude=65, DeepSeek=99, Diff=52.3%; Ind.24 (Fatality Rate): Claude=1, DeepSeek=1.77, Diff=77.0%; Ind.25 (COVID Response): Claude=10, DeepSeek=11, Diff=10.0%</t>
        </is>
      </c>
    </row>
    <row r="87" ht="15.75" customHeight="1" s="43">
      <c r="A87" s="69" t="n"/>
      <c r="B87" s="69" t="n"/>
      <c r="C87" s="69" t="inlineStr">
        <is>
          <t>Industrials</t>
        </is>
      </c>
      <c r="D87" s="69" t="inlineStr">
        <is>
          <t>2021</t>
        </is>
      </c>
      <c r="E87" s="70" t="inlineStr">
        <is>
          <t>DWEC_2022.pdf (only report covering 2021)</t>
        </is>
      </c>
      <c r="F87" s="69" t="n"/>
      <c r="G87" s="64" t="n">
        <v>12.57</v>
      </c>
      <c r="H87" s="64" t="n">
        <v>61.94</v>
      </c>
      <c r="I87" s="71">
        <f>IFERROR(IF(AND(G87&lt;&gt;"",H87&lt;&gt;""),ABS(G87-H87)/ABS(G87)*100,""),"")</f>
        <v/>
      </c>
      <c r="J87" s="66" t="inlineStr">
        <is>
          <t>MANUAL FLAG</t>
        </is>
      </c>
      <c r="K87" s="67" t="n">
        <v>8.91</v>
      </c>
      <c r="L87" s="67" t="n">
        <v>8.91</v>
      </c>
      <c r="M87" s="71">
        <f>IFERROR(IF(AND(K87&lt;&gt;"",L87&lt;&gt;""),ABS(K87-L87)/ABS(K87)*100,""),"")</f>
        <v/>
      </c>
      <c r="N87" s="69" t="inlineStr">
        <is>
          <t>Claude</t>
        </is>
      </c>
      <c r="O87" s="64" t="n">
        <v>6.3</v>
      </c>
      <c r="P87" s="64" t="n">
        <v>20.3</v>
      </c>
      <c r="Q87" s="71">
        <f>IFERROR(IF(AND(O87&lt;&gt;"",P87&lt;&gt;""),ABS(O87-P87)/ABS(O87)*100,""),"")</f>
        <v/>
      </c>
      <c r="R87" s="66" t="inlineStr">
        <is>
          <t>MANUAL FLAG</t>
        </is>
      </c>
      <c r="S87" s="64" t="n">
        <v>3.44</v>
      </c>
      <c r="T87" s="64" t="n">
        <v>3.09</v>
      </c>
      <c r="U87" s="71">
        <f>IFERROR(IF(AND(S87&lt;&gt;"",T87&lt;&gt;""),ABS(S87-T87)/ABS(S87)*100,""),"")</f>
        <v/>
      </c>
      <c r="V87" s="66" t="inlineStr">
        <is>
          <t>MANUAL FLAG</t>
        </is>
      </c>
      <c r="W87" s="67" t="n"/>
      <c r="X87" s="67" t="n"/>
      <c r="Y87" s="71">
        <f>IFERROR(IF(AND(W87&lt;&gt;"",X87&lt;&gt;""),ABS(W87-X87)/ABS(W87)*100,""),"")</f>
        <v/>
      </c>
      <c r="Z87" s="69" t="inlineStr">
        <is>
          <t>ND</t>
        </is>
      </c>
      <c r="AA87" s="64" t="n">
        <v>10.16</v>
      </c>
      <c r="AB87" s="64" t="n">
        <v>58.93</v>
      </c>
      <c r="AC87" s="71">
        <f>IFERROR(IF(AND(AA87&lt;&gt;"",AB87&lt;&gt;""),ABS(AA87-AB87)/ABS(AA87)*100,""),"")</f>
        <v/>
      </c>
      <c r="AD87" s="66" t="inlineStr">
        <is>
          <t>MANUAL FLAG</t>
        </is>
      </c>
      <c r="AE87" s="67" t="n">
        <v>0.773</v>
      </c>
      <c r="AF87" s="67" t="n"/>
      <c r="AG87" s="71">
        <f>IFERROR(IF(AND(AE87&lt;&gt;"",AF87&lt;&gt;""),ABS(AE87-AF87)/ABS(AE87)*100,""),"")</f>
        <v/>
      </c>
      <c r="AH87" s="69" t="inlineStr">
        <is>
          <t>Claude</t>
        </is>
      </c>
      <c r="AI87" s="67" t="n">
        <v>0.313</v>
      </c>
      <c r="AJ87" s="67" t="n"/>
      <c r="AK87" s="71">
        <f>IFERROR(IF(AND(AI87&lt;&gt;"",AJ87&lt;&gt;""),ABS(AI87-AJ87)/ABS(AI87)*100,""),"")</f>
        <v/>
      </c>
      <c r="AL87" s="69" t="inlineStr">
        <is>
          <t>Claude</t>
        </is>
      </c>
      <c r="AM87" s="64" t="n">
        <v>4.55</v>
      </c>
      <c r="AN87" s="64" t="n">
        <v>73.64</v>
      </c>
      <c r="AO87" s="71">
        <f>IFERROR(IF(AND(AM87&lt;&gt;"",AN87&lt;&gt;""),ABS(AM87-AN87)/ABS(AM87)*100,""),"")</f>
        <v/>
      </c>
      <c r="AP87" s="66" t="inlineStr">
        <is>
          <t>MANUAL FLAG</t>
        </is>
      </c>
      <c r="AQ87" s="67" t="n">
        <v>0</v>
      </c>
      <c r="AR87" s="67" t="n">
        <v>0</v>
      </c>
      <c r="AS87" s="71">
        <f>IFERROR(IF(AND(AQ87&lt;&gt;"",AR87&lt;&gt;""),ABS(AQ87-AR87)/ABS(AQ87)*100,""),"")</f>
        <v/>
      </c>
      <c r="AT87" s="69" t="inlineStr">
        <is>
          <t>Claude</t>
        </is>
      </c>
      <c r="AU87" s="67" t="n"/>
      <c r="AV87" s="67" t="n">
        <v>0</v>
      </c>
      <c r="AW87" s="71">
        <f>IFERROR(IF(AND(AU87&lt;&gt;"",AV87&lt;&gt;""),ABS(AU87-AV87)/ABS(AU87)*100,""),"")</f>
        <v/>
      </c>
      <c r="AX87" s="69" t="inlineStr">
        <is>
          <t>DeepSeek</t>
        </is>
      </c>
      <c r="AY87" s="67" t="n"/>
      <c r="AZ87" s="67" t="n"/>
      <c r="BA87" s="71">
        <f>IFERROR(IF(AND(AY87&lt;&gt;"",AZ87&lt;&gt;""),ABS(AY87-AZ87)/ABS(AY87)*100,""),"")</f>
        <v/>
      </c>
      <c r="BB87" s="69" t="inlineStr">
        <is>
          <t>ND</t>
        </is>
      </c>
      <c r="BC87" s="67" t="n"/>
      <c r="BD87" s="67" t="n">
        <v>0</v>
      </c>
      <c r="BE87" s="71">
        <f>IFERROR(IF(AND(BC87&lt;&gt;"",BD87&lt;&gt;""),ABS(BC87-BD87)/ABS(BC87)*100,""),"")</f>
        <v/>
      </c>
      <c r="BF87" s="69" t="inlineStr">
        <is>
          <t>DeepSeek</t>
        </is>
      </c>
      <c r="BG87" s="67" t="n">
        <v>599682</v>
      </c>
      <c r="BH87" s="67" t="n">
        <v>599682</v>
      </c>
      <c r="BI87" s="71">
        <f>IFERROR(IF(AND(BG87&lt;&gt;"",BH87&lt;&gt;""),ABS(BG87-BH87)/ABS(BG87)*100,""),"")</f>
        <v/>
      </c>
      <c r="BJ87" s="69" t="inlineStr">
        <is>
          <t>Claude</t>
        </is>
      </c>
      <c r="BK87" s="67" t="n">
        <v>57</v>
      </c>
      <c r="BL87" s="67" t="n">
        <v>57</v>
      </c>
      <c r="BM87" s="71">
        <f>IFERROR(IF(AND(BK87&lt;&gt;"",BL87&lt;&gt;""),ABS(BK87-BL87)/ABS(BK87)*100,""),"")</f>
        <v/>
      </c>
      <c r="BN87" s="69" t="inlineStr">
        <is>
          <t>Claude</t>
        </is>
      </c>
      <c r="BO87" s="67" t="n">
        <v>21</v>
      </c>
      <c r="BP87" s="67" t="n"/>
      <c r="BQ87" s="71">
        <f>IFERROR(IF(AND(BO87&lt;&gt;"",BP87&lt;&gt;""),ABS(BO87-BP87)/ABS(BO87)*100,""),"")</f>
        <v/>
      </c>
      <c r="BR87" s="69" t="inlineStr">
        <is>
          <t>Claude</t>
        </is>
      </c>
      <c r="BS87" s="67" t="n">
        <v>31</v>
      </c>
      <c r="BT87" s="67" t="n"/>
      <c r="BU87" s="71">
        <f>IFERROR(IF(AND(BS87&lt;&gt;"",BT87&lt;&gt;""),ABS(BS87-BT87)/ABS(BS87)*100,""),"")</f>
        <v/>
      </c>
      <c r="BV87" s="69" t="inlineStr">
        <is>
          <t>Claude</t>
        </is>
      </c>
      <c r="BW87" s="64" t="n">
        <v>67</v>
      </c>
      <c r="BX87" s="64" t="n">
        <v>99</v>
      </c>
      <c r="BY87" s="71">
        <f>IFERROR(IF(AND(BW87&lt;&gt;"",BX87&lt;&gt;""),ABS(BW87-BX87)/ABS(BW87)*100,""),"")</f>
        <v/>
      </c>
      <c r="BZ87" s="66" t="inlineStr">
        <is>
          <t>MANUAL FLAG</t>
        </is>
      </c>
      <c r="CA87" s="67" t="n"/>
      <c r="CB87" s="67" t="n"/>
      <c r="CC87" s="71">
        <f>IFERROR(IF(AND(CA87&lt;&gt;"",CB87&lt;&gt;""),ABS(CA87-CB87)/ABS(CA87)*100,""),"")</f>
        <v/>
      </c>
      <c r="CD87" s="69" t="inlineStr">
        <is>
          <t>ND</t>
        </is>
      </c>
      <c r="CE87" s="67" t="n">
        <v>3.83</v>
      </c>
      <c r="CF87" s="67" t="n">
        <v>3.83</v>
      </c>
      <c r="CG87" s="71">
        <f>IFERROR(IF(AND(CE87&lt;&gt;"",CF87&lt;&gt;""),ABS(CE87-CF87)/ABS(CE87)*100,""),"")</f>
        <v/>
      </c>
      <c r="CH87" s="69" t="inlineStr">
        <is>
          <t>Claude</t>
        </is>
      </c>
      <c r="CI87" s="67" t="n"/>
      <c r="CJ87" s="67" t="n"/>
      <c r="CK87" s="71">
        <f>IFERROR(IF(AND(CI87&lt;&gt;"",CJ87&lt;&gt;""),ABS(CI87-CJ87)/ABS(CI87)*100,""),"")</f>
        <v/>
      </c>
      <c r="CL87" s="69" t="inlineStr">
        <is>
          <t>ND</t>
        </is>
      </c>
      <c r="CM87" s="67" t="n">
        <v>53</v>
      </c>
      <c r="CN87" s="67" t="n">
        <v>53</v>
      </c>
      <c r="CO87" s="71">
        <f>IFERROR(IF(AND(CM87&lt;&gt;"",CN87&lt;&gt;""),ABS(CM87-CN87)/ABS(CM87)*100,""),"")</f>
        <v/>
      </c>
      <c r="CP87" s="69" t="inlineStr">
        <is>
          <t>Claude</t>
        </is>
      </c>
      <c r="CQ87" s="67" t="n">
        <v>0.12</v>
      </c>
      <c r="CR87" s="67" t="n">
        <v>0.12</v>
      </c>
      <c r="CS87" s="71">
        <f>IFERROR(IF(AND(CQ87&lt;&gt;"",CR87&lt;&gt;""),ABS(CQ87-CR87)/ABS(CQ87)*100,""),"")</f>
        <v/>
      </c>
      <c r="CT87" s="69" t="inlineStr">
        <is>
          <t>Claude</t>
        </is>
      </c>
      <c r="CU87" s="64" t="n">
        <v>0.73</v>
      </c>
      <c r="CV87" s="64" t="n">
        <v>10.73</v>
      </c>
      <c r="CW87" s="71">
        <f>IFERROR(IF(AND(CU87&lt;&gt;"",CV87&lt;&gt;""),ABS(CU87-CV87)/ABS(CU87)*100,""),"")</f>
        <v/>
      </c>
      <c r="CX87" s="66" t="inlineStr">
        <is>
          <t>MANUAL FLAG</t>
        </is>
      </c>
      <c r="CY87" s="68" t="n"/>
      <c r="CZ87" s="68" t="n">
        <v>11</v>
      </c>
      <c r="DA87" s="71">
        <f>IFERROR(IF(AND(CY87&lt;&gt;"",CZ87&lt;&gt;""),ABS(CY87-CZ87)/ABS(CY87)*100,""),"")</f>
        <v/>
      </c>
      <c r="DB87" s="69" t="inlineStr">
        <is>
          <t>DeepSeek</t>
        </is>
      </c>
      <c r="DC87" s="68" t="n"/>
      <c r="DD87" s="68" t="n">
        <v>8</v>
      </c>
      <c r="DE87" s="71">
        <f>IFERROR(IF(AND(DC87&lt;&gt;"",DD87&lt;&gt;""),ABS(DC87-DD87)/ABS(DC87)*100,""),"")</f>
        <v/>
      </c>
      <c r="DF87" s="69" t="inlineStr">
        <is>
          <t>DeepSeek</t>
        </is>
      </c>
      <c r="DG87" s="68" t="n"/>
      <c r="DH87" s="68" t="n"/>
      <c r="DI87" s="71">
        <f>IFERROR(IF(AND(DG87&lt;&gt;"",DH87&lt;&gt;""),ABS(DG87-DH87)/ABS(DG87)*100,""),"")</f>
        <v/>
      </c>
      <c r="DJ87" s="69" t="inlineStr">
        <is>
          <t>ND</t>
        </is>
      </c>
      <c r="DK87" s="68" t="n"/>
      <c r="DL87" s="68" t="n">
        <v>31</v>
      </c>
      <c r="DM87" s="71">
        <f>IFERROR(IF(AND(DK87&lt;&gt;"",DL87&lt;&gt;""),ABS(DK87-DL87)/ABS(DK87)*100,""),"")</f>
        <v/>
      </c>
      <c r="DN87" s="69" t="inlineStr">
        <is>
          <t>DeepSeek</t>
        </is>
      </c>
      <c r="DO87" s="68" t="n"/>
      <c r="DP87" s="68" t="n"/>
      <c r="DQ87" s="71">
        <f>IFERROR(IF(AND(DO87&lt;&gt;"",DP87&lt;&gt;""),ABS(DO87-DP87)/ABS(DO87)*100,""),"")</f>
        <v/>
      </c>
      <c r="DR87" s="69" t="inlineStr">
        <is>
          <t>ND</t>
        </is>
      </c>
      <c r="DS87" s="68" t="n"/>
      <c r="DT87" s="68" t="n"/>
      <c r="DU87" s="71">
        <f>IFERROR(IF(AND(DS87&lt;&gt;"",DT87&lt;&gt;""),ABS(DS87-DT87)/ABS(DS87)*100,""),"")</f>
        <v/>
      </c>
      <c r="DV87" s="69" t="inlineStr">
        <is>
          <t>ND</t>
        </is>
      </c>
      <c r="DW87" s="70" t="inlineStr">
        <is>
          <t>NEW - previously entirely ND (no report covered this year). Source=DWEC_2022.pdf, only report covering 2021. Ind.7=0.773 (%Disabled, 42/5,433). Ind.8=0.313 (%Foreign, PROXY - same conflicting-table caveat, primary figure=17 vs alt=9). Ind.9=4.55, PROXY ('manager or higher', not confirmed equivalent to middle manager). Ind.16/17=21/31 (Female/Male Parental Leave) - given the confirmed swap pattern found in 2019/2020 between report editions, treat this labeling with the same caution, though no second edition exists yet to cross-check 2021 specifically. Ind.18=67, PROXY (table blends return-to-work AND retention, not a pure return-to-work-only metric; source notes a separate more strictly retention-conditioned row exists at 67% too, coincidentally same value this year). Ind.23=0.12, PROXY, source marks this figure '(Prediction)' - provisional, not final. Ind.24=0.73, PROXY, also marked '(Prediction)'. || DEEPSEEK RECONCILIATION - MANUAL FLAGS: Ind.1 (Contract Workers%): Claude=12.57, DeepSeek=61.94, Diff=392.8%; Ind.3 (Female Contract%): Claude=6.3, DeepSeek=20.3, Diff=222.2%; Ind.4 (New Hire Rate): Claude=3.44, DeepSeek=3.09, Diff=10.2%; Ind.6 (New Hires Female%): Claude=10.16, DeepSeek=58.93, Diff=480.0%; Ind.9 (Female Middle Mgrs): Claude=4.55, DeepSeek=73.64, Diff=1518.5%; Ind.18 (Return to Work): Claude=67, DeepSeek=99, Diff=47.8%; Ind.24 (Fatality Rate): Claude=0.73, DeepSeek=10.73, Diff=1369.9% || NOTE: Ind.17 (Parental Leave Male) 2022-2024 shows a massive, unexplained gap (145/131/118 DeepSeek vs 48/28/28 Claude) that does NOT match the earlier swap pattern - these numbers don't correspond to any Claude value even after swapping. Also Ind.18 (Return to Work) consistently ~30-50pts higher in DeepSeek across 2020-2022, possibly reflecting a maternity-specific rate rather than general parental leave (DeepSeek's own batch2 notes mention 'Return rate after maternity leave' as its source row) - likely a SCOPE MISMATCH (maternity vs. parental leave), not random error.</t>
        </is>
      </c>
    </row>
    <row r="88" ht="15.75" customHeight="1" s="43">
      <c r="A88" s="62" t="n"/>
      <c r="B88" s="62" t="n"/>
      <c r="C88" s="62" t="inlineStr">
        <is>
          <t>Industrials</t>
        </is>
      </c>
      <c r="D88" s="62" t="inlineStr">
        <is>
          <t>2022</t>
        </is>
      </c>
      <c r="E88" s="63" t="inlineStr">
        <is>
          <t>DWEC 2025 report (only report covering 2022)</t>
        </is>
      </c>
      <c r="F88" s="62" t="n"/>
      <c r="G88" s="67" t="n">
        <v>35.43</v>
      </c>
      <c r="H88" s="67" t="n"/>
      <c r="I88" s="65">
        <f>IFERROR(IF(AND(G88&lt;&gt;"",H88&lt;&gt;""),ABS(G88-H88)/ABS(G88)*100,""),"")</f>
        <v/>
      </c>
      <c r="J88" s="62" t="inlineStr">
        <is>
          <t>Claude</t>
        </is>
      </c>
      <c r="K88" s="64" t="n">
        <v>9.77</v>
      </c>
      <c r="L88" s="64" t="n">
        <v>12.91</v>
      </c>
      <c r="M88" s="65">
        <f>IFERROR(IF(AND(K88&lt;&gt;"",L88&lt;&gt;""),ABS(K88-L88)/ABS(K88)*100,""),"")</f>
        <v/>
      </c>
      <c r="N88" s="66" t="inlineStr">
        <is>
          <t>MANUAL FLAG</t>
        </is>
      </c>
      <c r="O88" s="67" t="n">
        <v>19.03</v>
      </c>
      <c r="P88" s="67" t="n"/>
      <c r="Q88" s="65">
        <f>IFERROR(IF(AND(O88&lt;&gt;"",P88&lt;&gt;""),ABS(O88-P88)/ABS(O88)*100,""),"")</f>
        <v/>
      </c>
      <c r="R88" s="62" t="inlineStr">
        <is>
          <t>Claude</t>
        </is>
      </c>
      <c r="S88" s="67" t="n">
        <v>4.55</v>
      </c>
      <c r="T88" s="67" t="n">
        <v>4.55</v>
      </c>
      <c r="U88" s="65">
        <f>IFERROR(IF(AND(S88&lt;&gt;"",T88&lt;&gt;""),ABS(S88-T88)/ABS(S88)*100,""),"")</f>
        <v/>
      </c>
      <c r="V88" s="62" t="inlineStr">
        <is>
          <t>Claude</t>
        </is>
      </c>
      <c r="W88" s="67" t="n"/>
      <c r="X88" s="67" t="n"/>
      <c r="Y88" s="65">
        <f>IFERROR(IF(AND(W88&lt;&gt;"",X88&lt;&gt;""),ABS(W88-X88)/ABS(W88)*100,""),"")</f>
        <v/>
      </c>
      <c r="Z88" s="62" t="inlineStr">
        <is>
          <t>ND</t>
        </is>
      </c>
      <c r="AA88" s="67" t="n">
        <v>19.92</v>
      </c>
      <c r="AB88" s="67" t="n">
        <v>19.92</v>
      </c>
      <c r="AC88" s="65">
        <f>IFERROR(IF(AND(AA88&lt;&gt;"",AB88&lt;&gt;""),ABS(AA88-AB88)/ABS(AA88)*100,""),"")</f>
        <v/>
      </c>
      <c r="AD88" s="62" t="inlineStr">
        <is>
          <t>Claude</t>
        </is>
      </c>
      <c r="AE88" s="67" t="n"/>
      <c r="AF88" s="67" t="n"/>
      <c r="AG88" s="65">
        <f>IFERROR(IF(AND(AE88&lt;&gt;"",AF88&lt;&gt;""),ABS(AE88-AF88)/ABS(AE88)*100,""),"")</f>
        <v/>
      </c>
      <c r="AH88" s="62" t="inlineStr">
        <is>
          <t>ND</t>
        </is>
      </c>
      <c r="AI88" s="67" t="n"/>
      <c r="AJ88" s="67" t="n"/>
      <c r="AK88" s="65">
        <f>IFERROR(IF(AND(AI88&lt;&gt;"",AJ88&lt;&gt;""),ABS(AI88-AJ88)/ABS(AI88)*100,""),"")</f>
        <v/>
      </c>
      <c r="AL88" s="62" t="inlineStr">
        <is>
          <t>ND</t>
        </is>
      </c>
      <c r="AM88" s="67" t="n">
        <v>4.87</v>
      </c>
      <c r="AN88" s="67" t="n"/>
      <c r="AO88" s="65">
        <f>IFERROR(IF(AND(AM88&lt;&gt;"",AN88&lt;&gt;""),ABS(AM88-AN88)/ABS(AM88)*100,""),"")</f>
        <v/>
      </c>
      <c r="AP88" s="62" t="inlineStr">
        <is>
          <t>Claude</t>
        </is>
      </c>
      <c r="AQ88" s="67" t="n">
        <v>1.01</v>
      </c>
      <c r="AR88" s="67" t="n">
        <v>1.03</v>
      </c>
      <c r="AS88" s="65">
        <f>IFERROR(IF(AND(AQ88&lt;&gt;"",AR88&lt;&gt;""),ABS(AQ88-AR88)/ABS(AQ88)*100,""),"")</f>
        <v/>
      </c>
      <c r="AT88" s="62" t="inlineStr">
        <is>
          <t>Claude</t>
        </is>
      </c>
      <c r="AU88" s="64" t="n">
        <v>16.67</v>
      </c>
      <c r="AV88" s="64" t="n">
        <v>0</v>
      </c>
      <c r="AW88" s="65">
        <f>IFERROR(IF(AND(AU88&lt;&gt;"",AV88&lt;&gt;""),ABS(AU88-AV88)/ABS(AU88)*100,""),"")</f>
        <v/>
      </c>
      <c r="AX88" s="66" t="inlineStr">
        <is>
          <t>MANUAL FLAG</t>
        </is>
      </c>
      <c r="AY88" s="67" t="n">
        <v>94000000</v>
      </c>
      <c r="AZ88" s="67" t="n">
        <v>94000000</v>
      </c>
      <c r="BA88" s="65">
        <f>IFERROR(IF(AND(AY88&lt;&gt;"",AZ88&lt;&gt;""),ABS(AY88-AZ88)/ABS(AY88)*100,""),"")</f>
        <v/>
      </c>
      <c r="BB88" s="62" t="inlineStr">
        <is>
          <t>Claude</t>
        </is>
      </c>
      <c r="BC88" s="67" t="n">
        <v>40.4</v>
      </c>
      <c r="BD88" s="67" t="n">
        <v>40.4</v>
      </c>
      <c r="BE88" s="65">
        <f>IFERROR(IF(AND(BC88&lt;&gt;"",BD88&lt;&gt;""),ABS(BC88-BD88)/ABS(BC88)*100,""),"")</f>
        <v/>
      </c>
      <c r="BF88" s="62" t="inlineStr">
        <is>
          <t>Claude</t>
        </is>
      </c>
      <c r="BG88" s="67" t="n">
        <v>437089</v>
      </c>
      <c r="BH88" s="67" t="n"/>
      <c r="BI88" s="65">
        <f>IFERROR(IF(AND(BG88&lt;&gt;"",BH88&lt;&gt;""),ABS(BG88-BH88)/ABS(BG88)*100,""),"")</f>
        <v/>
      </c>
      <c r="BJ88" s="62" t="inlineStr">
        <is>
          <t>Claude</t>
        </is>
      </c>
      <c r="BK88" s="67" t="n">
        <v>37</v>
      </c>
      <c r="BL88" s="67" t="n"/>
      <c r="BM88" s="65">
        <f>IFERROR(IF(AND(BK88&lt;&gt;"",BL88&lt;&gt;""),ABS(BK88-BL88)/ABS(BK88)*100,""),"")</f>
        <v/>
      </c>
      <c r="BN88" s="62" t="inlineStr">
        <is>
          <t>Claude</t>
        </is>
      </c>
      <c r="BO88" s="64" t="n">
        <v>21</v>
      </c>
      <c r="BP88" s="64" t="n">
        <v>25</v>
      </c>
      <c r="BQ88" s="65">
        <f>IFERROR(IF(AND(BO88&lt;&gt;"",BP88&lt;&gt;""),ABS(BO88-BP88)/ABS(BO88)*100,""),"")</f>
        <v/>
      </c>
      <c r="BR88" s="66" t="inlineStr">
        <is>
          <t>MANUAL FLAG</t>
        </is>
      </c>
      <c r="BS88" s="64" t="n">
        <v>48</v>
      </c>
      <c r="BT88" s="64" t="n">
        <v>145</v>
      </c>
      <c r="BU88" s="65">
        <f>IFERROR(IF(AND(BS88&lt;&gt;"",BT88&lt;&gt;""),ABS(BS88-BT88)/ABS(BS88)*100,""),"")</f>
        <v/>
      </c>
      <c r="BV88" s="66" t="inlineStr">
        <is>
          <t>MANUAL FLAG</t>
        </is>
      </c>
      <c r="BW88" s="64" t="n">
        <v>75.36</v>
      </c>
      <c r="BX88" s="64" t="n">
        <v>99.41</v>
      </c>
      <c r="BY88" s="65">
        <f>IFERROR(IF(AND(BW88&lt;&gt;"",BX88&lt;&gt;""),ABS(BW88-BX88)/ABS(BW88)*100,""),"")</f>
        <v/>
      </c>
      <c r="BZ88" s="66" t="inlineStr">
        <is>
          <t>MANUAL FLAG</t>
        </is>
      </c>
      <c r="CA88" s="67" t="n"/>
      <c r="CB88" s="67" t="n"/>
      <c r="CC88" s="65">
        <f>IFERROR(IF(AND(CA88&lt;&gt;"",CB88&lt;&gt;""),ABS(CA88-CB88)/ABS(CA88)*100,""),"")</f>
        <v/>
      </c>
      <c r="CD88" s="62" t="inlineStr">
        <is>
          <t>ND</t>
        </is>
      </c>
      <c r="CE88" s="67" t="n">
        <v>2.5</v>
      </c>
      <c r="CF88" s="67" t="n">
        <v>2.5</v>
      </c>
      <c r="CG88" s="65">
        <f>IFERROR(IF(AND(CE88&lt;&gt;"",CF88&lt;&gt;""),ABS(CE88-CF88)/ABS(CE88)*100,""),"")</f>
        <v/>
      </c>
      <c r="CH88" s="62" t="inlineStr">
        <is>
          <t>Claude</t>
        </is>
      </c>
      <c r="CI88" s="67" t="n"/>
      <c r="CJ88" s="67" t="n"/>
      <c r="CK88" s="65">
        <f>IFERROR(IF(AND(CI88&lt;&gt;"",CJ88&lt;&gt;""),ABS(CI88-CJ88)/ABS(CI88)*100,""),"")</f>
        <v/>
      </c>
      <c r="CL88" s="62" t="inlineStr">
        <is>
          <t>ND</t>
        </is>
      </c>
      <c r="CM88" s="67" t="n">
        <v>58</v>
      </c>
      <c r="CN88" s="67" t="n">
        <v>58</v>
      </c>
      <c r="CO88" s="65">
        <f>IFERROR(IF(AND(CM88&lt;&gt;"",CN88&lt;&gt;""),ABS(CM88-CN88)/ABS(CM88)*100,""),"")</f>
        <v/>
      </c>
      <c r="CP88" s="62" t="inlineStr">
        <is>
          <t>Claude</t>
        </is>
      </c>
      <c r="CQ88" s="67" t="n"/>
      <c r="CR88" s="67" t="n"/>
      <c r="CS88" s="65">
        <f>IFERROR(IF(AND(CQ88&lt;&gt;"",CR88&lt;&gt;""),ABS(CQ88-CR88)/ABS(CQ88)*100,""),"")</f>
        <v/>
      </c>
      <c r="CT88" s="62" t="inlineStr">
        <is>
          <t>ND</t>
        </is>
      </c>
      <c r="CU88" s="64" t="n">
        <v>0.9</v>
      </c>
      <c r="CV88" s="64" t="n">
        <v>3</v>
      </c>
      <c r="CW88" s="65">
        <f>IFERROR(IF(AND(CU88&lt;&gt;"",CV88&lt;&gt;""),ABS(CU88-CV88)/ABS(CU88)*100,""),"")</f>
        <v/>
      </c>
      <c r="CX88" s="66" t="inlineStr">
        <is>
          <t>MANUAL FLAG</t>
        </is>
      </c>
      <c r="CY88" s="68" t="n"/>
      <c r="CZ88" s="68" t="n"/>
      <c r="DA88" s="65">
        <f>IFERROR(IF(AND(CY88&lt;&gt;"",CZ88&lt;&gt;""),ABS(CY88-CZ88)/ABS(CY88)*100,""),"")</f>
        <v/>
      </c>
      <c r="DB88" s="62" t="inlineStr">
        <is>
          <t>ND</t>
        </is>
      </c>
      <c r="DC88" s="68" t="n"/>
      <c r="DD88" s="68" t="n"/>
      <c r="DE88" s="65">
        <f>IFERROR(IF(AND(DC88&lt;&gt;"",DD88&lt;&gt;""),ABS(DC88-DD88)/ABS(DC88)*100,""),"")</f>
        <v/>
      </c>
      <c r="DF88" s="62" t="inlineStr">
        <is>
          <t>ND</t>
        </is>
      </c>
      <c r="DG88" s="68" t="n"/>
      <c r="DH88" s="68" t="n"/>
      <c r="DI88" s="65">
        <f>IFERROR(IF(AND(DG88&lt;&gt;"",DH88&lt;&gt;""),ABS(DG88-DH88)/ABS(DG88)*100,""),"")</f>
        <v/>
      </c>
      <c r="DJ88" s="62" t="inlineStr">
        <is>
          <t>ND</t>
        </is>
      </c>
      <c r="DK88" s="68" t="n"/>
      <c r="DL88" s="68" t="n"/>
      <c r="DM88" s="65">
        <f>IFERROR(IF(AND(DK88&lt;&gt;"",DL88&lt;&gt;""),ABS(DK88-DL88)/ABS(DK88)*100,""),"")</f>
        <v/>
      </c>
      <c r="DN88" s="62" t="inlineStr">
        <is>
          <t>ND</t>
        </is>
      </c>
      <c r="DO88" s="68" t="n"/>
      <c r="DP88" s="68" t="n"/>
      <c r="DQ88" s="65">
        <f>IFERROR(IF(AND(DO88&lt;&gt;"",DP88&lt;&gt;""),ABS(DO88-DP88)/ABS(DO88)*100,""),"")</f>
        <v/>
      </c>
      <c r="DR88" s="62" t="inlineStr">
        <is>
          <t>ND</t>
        </is>
      </c>
      <c r="DS88" s="68" t="n"/>
      <c r="DT88" s="68" t="n"/>
      <c r="DU88" s="65">
        <f>IFERROR(IF(AND(DS88&lt;&gt;"",DT88&lt;&gt;""),ABS(DS88-DT88)/ABS(DS88)*100,""),"")</f>
        <v/>
      </c>
      <c r="DV88" s="62" t="inlineStr">
        <is>
          <t>ND</t>
        </is>
      </c>
      <c r="DW88" s="63" t="inlineStr">
        <is>
          <t>Claude only (DeepSeek pending). Source=2025 report, only report covering 2022 (no overlap with 2021 report's 2018-2020 window). **FLAG: Ind.1 (Contract Workers %)=35.43 and Ind.3 (Female Contract Workers %)=19.03 - both show a DRAMATIC jump vs. 2020's 8.97%/2.66% (roughly 4-7x higher).** Since both move together and stay elevated through 2023-2024, this looks like either a genuine shift in DWEC's subcontracting/staffing model or a definitional change in the newer report's 'contract worker' category between editions - not enough information to say which. Recommend a manual source-PDF check if this indicator matters to your analysis. Ind.7/8=ND (headcount 50 disabled, 18 foreign, no total workforce). Ind.10=1.01, source notes a minor reconciliation gap vs. an alternative denominator (~1.03%) but Direct value used per Priority-1 rule. Ind.20=2.50, source notes this doesn't fully arithmetically reconcile with a headcount-derived alternative, but reported value used per rule. Ind.24=0.90, scope = domestic Daewoo E&amp;C + partner/subcontractor personnel combined (per footnote) - note this combined-personnel scope wasn't explicitly stated in the 2021 report, so pre/post comparability of this indicator is uncertain. || DEEPSEEK RECONCILIATION - MANUAL FLAGS: Ind.2 (Female Permanent%): Claude=9.77, DeepSeek=12.91, Diff=32.1%; Ind.11 (Female Board Directors): Claude=16.67, DeepSeek=0.0, Diff=100.0%; Ind.16 (Parental Leave F): Claude=21, DeepSeek=25, Diff=19.0%; Ind.17 (Parental Leave M): Claude=48, DeepSeek=145, Diff=202.1%; Ind.18 (Return to Work): Claude=75.36, DeepSeek=99.41, Diff=31.9%; Ind.24 (Fatality Rate): Claude=0.9, DeepSeek=3, Diff=233.3% || NOTE: Ind.24 (Fatality Rate) shows a possible YEAR-MISALIGNMENT between DeepSeek's batch values and Claude's - recommend checking whether DeepSeek's reported year-values are shifted by one year relative to Claude's, similar to an issue found in another company's DeepSeek batches. Ind.17 continues the large gap flagged for 2021.</t>
        </is>
      </c>
    </row>
    <row r="89" ht="15.75" customHeight="1" s="43">
      <c r="A89" s="69" t="n"/>
      <c r="B89" s="69" t="n"/>
      <c r="C89" s="69" t="inlineStr">
        <is>
          <t>Industrials</t>
        </is>
      </c>
      <c r="D89" s="69" t="inlineStr">
        <is>
          <t>2023</t>
        </is>
      </c>
      <c r="E89" s="70" t="inlineStr">
        <is>
          <t>DWEC 2025 report (only report covering 2023)</t>
        </is>
      </c>
      <c r="F89" s="69" t="n"/>
      <c r="G89" s="67" t="n">
        <v>37.05</v>
      </c>
      <c r="H89" s="67" t="n"/>
      <c r="I89" s="71">
        <f>IFERROR(IF(AND(G89&lt;&gt;"",H89&lt;&gt;""),ABS(G89-H89)/ABS(G89)*100,""),"")</f>
        <v/>
      </c>
      <c r="J89" s="69" t="inlineStr">
        <is>
          <t>Claude</t>
        </is>
      </c>
      <c r="K89" s="64" t="n">
        <v>9.66</v>
      </c>
      <c r="L89" s="64" t="n">
        <v>12.38</v>
      </c>
      <c r="M89" s="71">
        <f>IFERROR(IF(AND(K89&lt;&gt;"",L89&lt;&gt;""),ABS(K89-L89)/ABS(K89)*100,""),"")</f>
        <v/>
      </c>
      <c r="N89" s="66" t="inlineStr">
        <is>
          <t>MANUAL FLAG</t>
        </is>
      </c>
      <c r="O89" s="67" t="n">
        <v>17.41</v>
      </c>
      <c r="P89" s="67" t="n"/>
      <c r="Q89" s="71">
        <f>IFERROR(IF(AND(O89&lt;&gt;"",P89&lt;&gt;""),ABS(O89-P89)/ABS(O89)*100,""),"")</f>
        <v/>
      </c>
      <c r="R89" s="69" t="inlineStr">
        <is>
          <t>Claude</t>
        </is>
      </c>
      <c r="S89" s="67" t="n">
        <v>1.76</v>
      </c>
      <c r="T89" s="67" t="n">
        <v>1.76</v>
      </c>
      <c r="U89" s="71">
        <f>IFERROR(IF(AND(S89&lt;&gt;"",T89&lt;&gt;""),ABS(S89-T89)/ABS(S89)*100,""),"")</f>
        <v/>
      </c>
      <c r="V89" s="69" t="inlineStr">
        <is>
          <t>Claude</t>
        </is>
      </c>
      <c r="W89" s="67" t="n"/>
      <c r="X89" s="67" t="n"/>
      <c r="Y89" s="71">
        <f>IFERROR(IF(AND(W89&lt;&gt;"",X89&lt;&gt;""),ABS(W89-X89)/ABS(W89)*100,""),"")</f>
        <v/>
      </c>
      <c r="Z89" s="69" t="inlineStr">
        <is>
          <t>ND</t>
        </is>
      </c>
      <c r="AA89" s="67" t="n">
        <v>5.77</v>
      </c>
      <c r="AB89" s="67" t="n">
        <v>5.77</v>
      </c>
      <c r="AC89" s="71">
        <f>IFERROR(IF(AND(AA89&lt;&gt;"",AB89&lt;&gt;""),ABS(AA89-AB89)/ABS(AA89)*100,""),"")</f>
        <v/>
      </c>
      <c r="AD89" s="69" t="inlineStr">
        <is>
          <t>Claude</t>
        </is>
      </c>
      <c r="AE89" s="67" t="n"/>
      <c r="AF89" s="67" t="n"/>
      <c r="AG89" s="71">
        <f>IFERROR(IF(AND(AE89&lt;&gt;"",AF89&lt;&gt;""),ABS(AE89-AF89)/ABS(AE89)*100,""),"")</f>
        <v/>
      </c>
      <c r="AH89" s="69" t="inlineStr">
        <is>
          <t>ND</t>
        </is>
      </c>
      <c r="AI89" s="67" t="n"/>
      <c r="AJ89" s="67" t="n"/>
      <c r="AK89" s="71">
        <f>IFERROR(IF(AND(AI89&lt;&gt;"",AJ89&lt;&gt;""),ABS(AI89-AJ89)/ABS(AI89)*100,""),"")</f>
        <v/>
      </c>
      <c r="AL89" s="69" t="inlineStr">
        <is>
          <t>ND</t>
        </is>
      </c>
      <c r="AM89" s="67" t="n">
        <v>5.12</v>
      </c>
      <c r="AN89" s="67" t="n"/>
      <c r="AO89" s="71">
        <f>IFERROR(IF(AND(AM89&lt;&gt;"",AN89&lt;&gt;""),ABS(AM89-AN89)/ABS(AM89)*100,""),"")</f>
        <v/>
      </c>
      <c r="AP89" s="69" t="inlineStr">
        <is>
          <t>Claude</t>
        </is>
      </c>
      <c r="AQ89" s="67" t="n">
        <v>0</v>
      </c>
      <c r="AR89" s="67" t="n">
        <v>0</v>
      </c>
      <c r="AS89" s="71">
        <f>IFERROR(IF(AND(AQ89&lt;&gt;"",AR89&lt;&gt;""),ABS(AQ89-AR89)/ABS(AQ89)*100,""),"")</f>
        <v/>
      </c>
      <c r="AT89" s="69" t="inlineStr">
        <is>
          <t>Claude</t>
        </is>
      </c>
      <c r="AU89" s="64" t="n">
        <v>25</v>
      </c>
      <c r="AV89" s="64" t="n">
        <v>12.5</v>
      </c>
      <c r="AW89" s="71">
        <f>IFERROR(IF(AND(AU89&lt;&gt;"",AV89&lt;&gt;""),ABS(AU89-AV89)/ABS(AU89)*100,""),"")</f>
        <v/>
      </c>
      <c r="AX89" s="66" t="inlineStr">
        <is>
          <t>MANUAL FLAG</t>
        </is>
      </c>
      <c r="AY89" s="67" t="n">
        <v>100000000</v>
      </c>
      <c r="AZ89" s="67" t="n">
        <v>100000000</v>
      </c>
      <c r="BA89" s="71">
        <f>IFERROR(IF(AND(AY89&lt;&gt;"",AZ89&lt;&gt;""),ABS(AY89-AZ89)/ABS(AY89)*100,""),"")</f>
        <v/>
      </c>
      <c r="BB89" s="69" t="inlineStr">
        <is>
          <t>Claude</t>
        </is>
      </c>
      <c r="BC89" s="67" t="n">
        <v>40</v>
      </c>
      <c r="BD89" s="67" t="n">
        <v>40</v>
      </c>
      <c r="BE89" s="71">
        <f>IFERROR(IF(AND(BC89&lt;&gt;"",BD89&lt;&gt;""),ABS(BC89-BD89)/ABS(BC89)*100,""),"")</f>
        <v/>
      </c>
      <c r="BF89" s="69" t="inlineStr">
        <is>
          <t>Claude</t>
        </is>
      </c>
      <c r="BG89" s="67" t="n">
        <v>508745</v>
      </c>
      <c r="BH89" s="67" t="n"/>
      <c r="BI89" s="71">
        <f>IFERROR(IF(AND(BG89&lt;&gt;"",BH89&lt;&gt;""),ABS(BG89-BH89)/ABS(BG89)*100,""),"")</f>
        <v/>
      </c>
      <c r="BJ89" s="69" t="inlineStr">
        <is>
          <t>Claude</t>
        </is>
      </c>
      <c r="BK89" s="67" t="n">
        <v>43</v>
      </c>
      <c r="BL89" s="67" t="n"/>
      <c r="BM89" s="71">
        <f>IFERROR(IF(AND(BK89&lt;&gt;"",BL89&lt;&gt;""),ABS(BK89-BL89)/ABS(BK89)*100,""),"")</f>
        <v/>
      </c>
      <c r="BN89" s="69" t="inlineStr">
        <is>
          <t>Claude</t>
        </is>
      </c>
      <c r="BO89" s="64" t="n">
        <v>32</v>
      </c>
      <c r="BP89" s="64" t="n">
        <v>22</v>
      </c>
      <c r="BQ89" s="71">
        <f>IFERROR(IF(AND(BO89&lt;&gt;"",BP89&lt;&gt;""),ABS(BO89-BP89)/ABS(BO89)*100,""),"")</f>
        <v/>
      </c>
      <c r="BR89" s="66" t="inlineStr">
        <is>
          <t>MANUAL FLAG</t>
        </is>
      </c>
      <c r="BS89" s="64" t="n">
        <v>28</v>
      </c>
      <c r="BT89" s="64" t="n">
        <v>131</v>
      </c>
      <c r="BU89" s="71">
        <f>IFERROR(IF(AND(BS89&lt;&gt;"",BT89&lt;&gt;""),ABS(BS89-BT89)/ABS(BS89)*100,""),"")</f>
        <v/>
      </c>
      <c r="BV89" s="66" t="inlineStr">
        <is>
          <t>MANUAL FLAG</t>
        </is>
      </c>
      <c r="BW89" s="64" t="n">
        <v>83.33</v>
      </c>
      <c r="BX89" s="64" t="n">
        <v>98.69</v>
      </c>
      <c r="BY89" s="71">
        <f>IFERROR(IF(AND(BW89&lt;&gt;"",BX89&lt;&gt;""),ABS(BW89-BX89)/ABS(BW89)*100,""),"")</f>
        <v/>
      </c>
      <c r="BZ89" s="66" t="inlineStr">
        <is>
          <t>MANUAL FLAG</t>
        </is>
      </c>
      <c r="CA89" s="67" t="n"/>
      <c r="CB89" s="67" t="n"/>
      <c r="CC89" s="71">
        <f>IFERROR(IF(AND(CA89&lt;&gt;"",CB89&lt;&gt;""),ABS(CA89-CB89)/ABS(CA89)*100,""),"")</f>
        <v/>
      </c>
      <c r="CD89" s="69" t="inlineStr">
        <is>
          <t>ND</t>
        </is>
      </c>
      <c r="CE89" s="67" t="n">
        <v>0.9399999999999999</v>
      </c>
      <c r="CF89" s="67" t="n">
        <v>0.9399999999999999</v>
      </c>
      <c r="CG89" s="71">
        <f>IFERROR(IF(AND(CE89&lt;&gt;"",CF89&lt;&gt;""),ABS(CE89-CF89)/ABS(CE89)*100,""),"")</f>
        <v/>
      </c>
      <c r="CH89" s="69" t="inlineStr">
        <is>
          <t>Claude</t>
        </is>
      </c>
      <c r="CI89" s="67" t="n"/>
      <c r="CJ89" s="67" t="n"/>
      <c r="CK89" s="71">
        <f>IFERROR(IF(AND(CI89&lt;&gt;"",CJ89&lt;&gt;""),ABS(CI89-CJ89)/ABS(CI89)*100,""),"")</f>
        <v/>
      </c>
      <c r="CL89" s="69" t="inlineStr">
        <is>
          <t>ND</t>
        </is>
      </c>
      <c r="CM89" s="67" t="n">
        <v>67</v>
      </c>
      <c r="CN89" s="67" t="n">
        <v>67</v>
      </c>
      <c r="CO89" s="71">
        <f>IFERROR(IF(AND(CM89&lt;&gt;"",CN89&lt;&gt;""),ABS(CM89-CN89)/ABS(CM89)*100,""),"")</f>
        <v/>
      </c>
      <c r="CP89" s="69" t="inlineStr">
        <is>
          <t>Claude</t>
        </is>
      </c>
      <c r="CQ89" s="67" t="n"/>
      <c r="CR89" s="67" t="n"/>
      <c r="CS89" s="71">
        <f>IFERROR(IF(AND(CQ89&lt;&gt;"",CR89&lt;&gt;""),ABS(CQ89-CR89)/ABS(CQ89)*100,""),"")</f>
        <v/>
      </c>
      <c r="CT89" s="69" t="inlineStr">
        <is>
          <t>ND</t>
        </is>
      </c>
      <c r="CU89" s="64" t="n">
        <v>0.52</v>
      </c>
      <c r="CV89" s="64" t="n">
        <v>2</v>
      </c>
      <c r="CW89" s="71">
        <f>IFERROR(IF(AND(CU89&lt;&gt;"",CV89&lt;&gt;""),ABS(CU89-CV89)/ABS(CU89)*100,""),"")</f>
        <v/>
      </c>
      <c r="CX89" s="66" t="inlineStr">
        <is>
          <t>MANUAL FLAG</t>
        </is>
      </c>
      <c r="CY89" s="68" t="n"/>
      <c r="CZ89" s="68" t="n"/>
      <c r="DA89" s="71">
        <f>IFERROR(IF(AND(CY89&lt;&gt;"",CZ89&lt;&gt;""),ABS(CY89-CZ89)/ABS(CY89)*100,""),"")</f>
        <v/>
      </c>
      <c r="DB89" s="69" t="inlineStr">
        <is>
          <t>ND</t>
        </is>
      </c>
      <c r="DC89" s="68" t="n"/>
      <c r="DD89" s="68" t="n"/>
      <c r="DE89" s="71">
        <f>IFERROR(IF(AND(DC89&lt;&gt;"",DD89&lt;&gt;""),ABS(DC89-DD89)/ABS(DC89)*100,""),"")</f>
        <v/>
      </c>
      <c r="DF89" s="69" t="inlineStr">
        <is>
          <t>ND</t>
        </is>
      </c>
      <c r="DG89" s="68" t="n"/>
      <c r="DH89" s="68" t="n"/>
      <c r="DI89" s="71">
        <f>IFERROR(IF(AND(DG89&lt;&gt;"",DH89&lt;&gt;""),ABS(DG89-DH89)/ABS(DG89)*100,""),"")</f>
        <v/>
      </c>
      <c r="DJ89" s="69" t="inlineStr">
        <is>
          <t>ND</t>
        </is>
      </c>
      <c r="DK89" s="68" t="n"/>
      <c r="DL89" s="68" t="n"/>
      <c r="DM89" s="71">
        <f>IFERROR(IF(AND(DK89&lt;&gt;"",DL89&lt;&gt;""),ABS(DK89-DL89)/ABS(DK89)*100,""),"")</f>
        <v/>
      </c>
      <c r="DN89" s="69" t="inlineStr">
        <is>
          <t>ND</t>
        </is>
      </c>
      <c r="DO89" s="68" t="n"/>
      <c r="DP89" s="68" t="n"/>
      <c r="DQ89" s="71">
        <f>IFERROR(IF(AND(DO89&lt;&gt;"",DP89&lt;&gt;""),ABS(DO89-DP89)/ABS(DO89)*100,""),"")</f>
        <v/>
      </c>
      <c r="DR89" s="69" t="inlineStr">
        <is>
          <t>ND</t>
        </is>
      </c>
      <c r="DS89" s="68" t="n"/>
      <c r="DT89" s="68" t="n"/>
      <c r="DU89" s="71">
        <f>IFERROR(IF(AND(DS89&lt;&gt;"",DT89&lt;&gt;""),ABS(DS89-DT89)/ABS(DS89)*100,""),"")</f>
        <v/>
      </c>
      <c r="DV89" s="69" t="inlineStr">
        <is>
          <t>ND</t>
        </is>
      </c>
      <c r="DW89" s="70" t="inlineStr">
        <is>
          <t>Claude only (DeepSeek pending). Source=2025 report, only report covering 2023. Same Ind.1/3 elevated-contract-worker-ratio flag as 2022 (37.05%/17.41%) - continues the pattern, see 2022 note. Ind.7/8=ND (headcount 69 disabled, 23 foreign). || DEEPSEEK RECONCILIATION - MANUAL FLAGS: Ind.2 (Female Permanent%): Claude=9.66, DeepSeek=12.38, Diff=28.2%; Ind.11 (Female Board Directors): Claude=25, DeepSeek=12.5, Diff=50.0%; Ind.16 (Parental Leave F): Claude=32, DeepSeek=22, Diff=31.2%; Ind.17 (Parental Leave M): Claude=28, DeepSeek=131, Diff=367.9%; Ind.18 (Return to Work): Claude=83.33, DeepSeek=98.69, Diff=18.4%; Ind.24 (Fatality Rate): Claude=0.52, DeepSeek=2, Diff=284.6%</t>
        </is>
      </c>
    </row>
    <row r="90" ht="15.75" customHeight="1" s="43">
      <c r="A90" s="62" t="n"/>
      <c r="B90" s="62" t="n"/>
      <c r="C90" s="62" t="inlineStr">
        <is>
          <t>Industrials</t>
        </is>
      </c>
      <c r="D90" s="62" t="inlineStr">
        <is>
          <t>2024</t>
        </is>
      </c>
      <c r="E90" s="63" t="inlineStr">
        <is>
          <t>DWEC 2025 report (only report covering 2024)</t>
        </is>
      </c>
      <c r="F90" s="62" t="n"/>
      <c r="G90" s="67" t="n">
        <v>33.51</v>
      </c>
      <c r="H90" s="67" t="n"/>
      <c r="I90" s="65">
        <f>IFERROR(IF(AND(G90&lt;&gt;"",H90&lt;&gt;""),ABS(G90-H90)/ABS(G90)*100,""),"")</f>
        <v/>
      </c>
      <c r="J90" s="62" t="inlineStr">
        <is>
          <t>Claude</t>
        </is>
      </c>
      <c r="K90" s="64" t="n">
        <v>9.93</v>
      </c>
      <c r="L90" s="64" t="n">
        <v>12.36</v>
      </c>
      <c r="M90" s="65">
        <f>IFERROR(IF(AND(K90&lt;&gt;"",L90&lt;&gt;""),ABS(K90-L90)/ABS(K90)*100,""),"")</f>
        <v/>
      </c>
      <c r="N90" s="66" t="inlineStr">
        <is>
          <t>MANUAL FLAG</t>
        </is>
      </c>
      <c r="O90" s="67" t="n">
        <v>17.62</v>
      </c>
      <c r="P90" s="67" t="n"/>
      <c r="Q90" s="65">
        <f>IFERROR(IF(AND(O90&lt;&gt;"",P90&lt;&gt;""),ABS(O90-P90)/ABS(O90)*100,""),"")</f>
        <v/>
      </c>
      <c r="R90" s="62" t="inlineStr">
        <is>
          <t>Claude</t>
        </is>
      </c>
      <c r="S90" s="67" t="n">
        <v>1.85</v>
      </c>
      <c r="T90" s="67" t="n">
        <v>1.85</v>
      </c>
      <c r="U90" s="65">
        <f>IFERROR(IF(AND(S90&lt;&gt;"",T90&lt;&gt;""),ABS(S90-T90)/ABS(S90)*100,""),"")</f>
        <v/>
      </c>
      <c r="V90" s="62" t="inlineStr">
        <is>
          <t>Claude</t>
        </is>
      </c>
      <c r="W90" s="67" t="n"/>
      <c r="X90" s="67" t="n"/>
      <c r="Y90" s="65">
        <f>IFERROR(IF(AND(W90&lt;&gt;"",X90&lt;&gt;""),ABS(W90-X90)/ABS(W90)*100,""),"")</f>
        <v/>
      </c>
      <c r="Z90" s="62" t="inlineStr">
        <is>
          <t>ND</t>
        </is>
      </c>
      <c r="AA90" s="67" t="n">
        <v>13.73</v>
      </c>
      <c r="AB90" s="67" t="n">
        <v>13.73</v>
      </c>
      <c r="AC90" s="65">
        <f>IFERROR(IF(AND(AA90&lt;&gt;"",AB90&lt;&gt;""),ABS(AA90-AB90)/ABS(AA90)*100,""),"")</f>
        <v/>
      </c>
      <c r="AD90" s="62" t="inlineStr">
        <is>
          <t>Claude</t>
        </is>
      </c>
      <c r="AE90" s="67" t="n"/>
      <c r="AF90" s="67" t="n"/>
      <c r="AG90" s="65">
        <f>IFERROR(IF(AND(AE90&lt;&gt;"",AF90&lt;&gt;""),ABS(AE90-AF90)/ABS(AE90)*100,""),"")</f>
        <v/>
      </c>
      <c r="AH90" s="62" t="inlineStr">
        <is>
          <t>ND</t>
        </is>
      </c>
      <c r="AI90" s="67" t="n"/>
      <c r="AJ90" s="67" t="n"/>
      <c r="AK90" s="65">
        <f>IFERROR(IF(AND(AI90&lt;&gt;"",AJ90&lt;&gt;""),ABS(AI90-AJ90)/ABS(AI90)*100,""),"")</f>
        <v/>
      </c>
      <c r="AL90" s="62" t="inlineStr">
        <is>
          <t>ND</t>
        </is>
      </c>
      <c r="AM90" s="67" t="n">
        <v>4.51</v>
      </c>
      <c r="AN90" s="67" t="n"/>
      <c r="AO90" s="65">
        <f>IFERROR(IF(AND(AM90&lt;&gt;"",AN90&lt;&gt;""),ABS(AM90-AN90)/ABS(AM90)*100,""),"")</f>
        <v/>
      </c>
      <c r="AP90" s="62" t="inlineStr">
        <is>
          <t>Claude</t>
        </is>
      </c>
      <c r="AQ90" s="67" t="n">
        <v>0</v>
      </c>
      <c r="AR90" s="67" t="n">
        <v>0</v>
      </c>
      <c r="AS90" s="65">
        <f>IFERROR(IF(AND(AQ90&lt;&gt;"",AR90&lt;&gt;""),ABS(AQ90-AR90)/ABS(AQ90)*100,""),"")</f>
        <v/>
      </c>
      <c r="AT90" s="62" t="inlineStr">
        <is>
          <t>Claude</t>
        </is>
      </c>
      <c r="AU90" s="64" t="n">
        <v>28.57</v>
      </c>
      <c r="AV90" s="64" t="n">
        <v>14.29</v>
      </c>
      <c r="AW90" s="65">
        <f>IFERROR(IF(AND(AU90&lt;&gt;"",AV90&lt;&gt;""),ABS(AU90-AV90)/ABS(AU90)*100,""),"")</f>
        <v/>
      </c>
      <c r="AX90" s="66" t="inlineStr">
        <is>
          <t>MANUAL FLAG</t>
        </is>
      </c>
      <c r="AY90" s="67" t="n">
        <v>101000000</v>
      </c>
      <c r="AZ90" s="67" t="n">
        <v>101000000</v>
      </c>
      <c r="BA90" s="65">
        <f>IFERROR(IF(AND(AY90&lt;&gt;"",AZ90&lt;&gt;""),ABS(AY90-AZ90)/ABS(AY90)*100,""),"")</f>
        <v/>
      </c>
      <c r="BB90" s="62" t="inlineStr">
        <is>
          <t>Claude</t>
        </is>
      </c>
      <c r="BC90" s="67" t="n">
        <v>32.38</v>
      </c>
      <c r="BD90" s="67" t="n">
        <v>32.38</v>
      </c>
      <c r="BE90" s="65">
        <f>IFERROR(IF(AND(BC90&lt;&gt;"",BD90&lt;&gt;""),ABS(BC90-BD90)/ABS(BC90)*100,""),"")</f>
        <v/>
      </c>
      <c r="BF90" s="62" t="inlineStr">
        <is>
          <t>Claude</t>
        </is>
      </c>
      <c r="BG90" s="67" t="n">
        <v>475398</v>
      </c>
      <c r="BH90" s="67" t="n"/>
      <c r="BI90" s="65">
        <f>IFERROR(IF(AND(BG90&lt;&gt;"",BH90&lt;&gt;""),ABS(BG90-BH90)/ABS(BG90)*100,""),"")</f>
        <v/>
      </c>
      <c r="BJ90" s="62" t="inlineStr">
        <is>
          <t>Claude</t>
        </is>
      </c>
      <c r="BK90" s="67" t="n">
        <v>56</v>
      </c>
      <c r="BL90" s="67" t="n">
        <v>56.38</v>
      </c>
      <c r="BM90" s="65">
        <f>IFERROR(IF(AND(BK90&lt;&gt;"",BL90&lt;&gt;""),ABS(BK90-BL90)/ABS(BK90)*100,""),"")</f>
        <v/>
      </c>
      <c r="BN90" s="62" t="inlineStr">
        <is>
          <t>Claude</t>
        </is>
      </c>
      <c r="BO90" s="67" t="n">
        <v>24</v>
      </c>
      <c r="BP90" s="67" t="n">
        <v>25</v>
      </c>
      <c r="BQ90" s="65">
        <f>IFERROR(IF(AND(BO90&lt;&gt;"",BP90&lt;&gt;""),ABS(BO90-BP90)/ABS(BO90)*100,""),"")</f>
        <v/>
      </c>
      <c r="BR90" s="62" t="inlineStr">
        <is>
          <t>Claude</t>
        </is>
      </c>
      <c r="BS90" s="64" t="n">
        <v>28</v>
      </c>
      <c r="BT90" s="64" t="n">
        <v>118</v>
      </c>
      <c r="BU90" s="65">
        <f>IFERROR(IF(AND(BS90&lt;&gt;"",BT90&lt;&gt;""),ABS(BS90-BT90)/ABS(BS90)*100,""),"")</f>
        <v/>
      </c>
      <c r="BV90" s="66" t="inlineStr">
        <is>
          <t>MANUAL FLAG</t>
        </is>
      </c>
      <c r="BW90" s="64" t="n">
        <v>101.92</v>
      </c>
      <c r="BX90" s="64" t="n">
        <v>96.5</v>
      </c>
      <c r="BY90" s="65">
        <f>IFERROR(IF(AND(BW90&lt;&gt;"",BX90&lt;&gt;""),ABS(BW90-BX90)/ABS(BW90)*100,""),"")</f>
        <v/>
      </c>
      <c r="BZ90" s="66" t="inlineStr">
        <is>
          <t>MANUAL FLAG</t>
        </is>
      </c>
      <c r="CA90" s="67" t="n"/>
      <c r="CB90" s="67" t="n"/>
      <c r="CC90" s="65">
        <f>IFERROR(IF(AND(CA90&lt;&gt;"",CB90&lt;&gt;""),ABS(CA90-CB90)/ABS(CA90)*100,""),"")</f>
        <v/>
      </c>
      <c r="CD90" s="62" t="inlineStr">
        <is>
          <t>ND</t>
        </is>
      </c>
      <c r="CE90" s="67" t="n">
        <v>0.59</v>
      </c>
      <c r="CF90" s="67" t="n">
        <v>0.59</v>
      </c>
      <c r="CG90" s="65">
        <f>IFERROR(IF(AND(CE90&lt;&gt;"",CF90&lt;&gt;""),ABS(CE90-CF90)/ABS(CE90)*100,""),"")</f>
        <v/>
      </c>
      <c r="CH90" s="62" t="inlineStr">
        <is>
          <t>Claude</t>
        </is>
      </c>
      <c r="CI90" s="67" t="n"/>
      <c r="CJ90" s="67" t="n"/>
      <c r="CK90" s="65">
        <f>IFERROR(IF(AND(CI90&lt;&gt;"",CJ90&lt;&gt;""),ABS(CI90-CJ90)/ABS(CI90)*100,""),"")</f>
        <v/>
      </c>
      <c r="CL90" s="62" t="inlineStr">
        <is>
          <t>ND</t>
        </is>
      </c>
      <c r="CM90" s="67" t="n">
        <v>73</v>
      </c>
      <c r="CN90" s="67" t="n">
        <v>73</v>
      </c>
      <c r="CO90" s="65">
        <f>IFERROR(IF(AND(CM90&lt;&gt;"",CN90&lt;&gt;""),ABS(CM90-CN90)/ABS(CM90)*100,""),"")</f>
        <v/>
      </c>
      <c r="CP90" s="62" t="inlineStr">
        <is>
          <t>Claude</t>
        </is>
      </c>
      <c r="CQ90" s="67" t="n"/>
      <c r="CR90" s="67" t="n"/>
      <c r="CS90" s="65">
        <f>IFERROR(IF(AND(CQ90&lt;&gt;"",CR90&lt;&gt;""),ABS(CQ90-CR90)/ABS(CQ90)*100,""),"")</f>
        <v/>
      </c>
      <c r="CT90" s="62" t="inlineStr">
        <is>
          <t>ND</t>
        </is>
      </c>
      <c r="CU90" s="67" t="n">
        <v>1.15</v>
      </c>
      <c r="CV90" s="67" t="n"/>
      <c r="CW90" s="65">
        <f>IFERROR(IF(AND(CU90&lt;&gt;"",CV90&lt;&gt;""),ABS(CU90-CV90)/ABS(CU90)*100,""),"")</f>
        <v/>
      </c>
      <c r="CX90" s="62" t="inlineStr">
        <is>
          <t>Claude</t>
        </is>
      </c>
      <c r="CY90" s="68" t="n"/>
      <c r="CZ90" s="68" t="n"/>
      <c r="DA90" s="65">
        <f>IFERROR(IF(AND(CY90&lt;&gt;"",CZ90&lt;&gt;""),ABS(CY90-CZ90)/ABS(CY90)*100,""),"")</f>
        <v/>
      </c>
      <c r="DB90" s="62" t="inlineStr">
        <is>
          <t>ND</t>
        </is>
      </c>
      <c r="DC90" s="68" t="n"/>
      <c r="DD90" s="68" t="n"/>
      <c r="DE90" s="65">
        <f>IFERROR(IF(AND(DC90&lt;&gt;"",DD90&lt;&gt;""),ABS(DC90-DD90)/ABS(DC90)*100,""),"")</f>
        <v/>
      </c>
      <c r="DF90" s="62" t="inlineStr">
        <is>
          <t>ND</t>
        </is>
      </c>
      <c r="DG90" s="68" t="n"/>
      <c r="DH90" s="68" t="n"/>
      <c r="DI90" s="65">
        <f>IFERROR(IF(AND(DG90&lt;&gt;"",DH90&lt;&gt;""),ABS(DG90-DH90)/ABS(DG90)*100,""),"")</f>
        <v/>
      </c>
      <c r="DJ90" s="62" t="inlineStr">
        <is>
          <t>ND</t>
        </is>
      </c>
      <c r="DK90" s="68" t="n"/>
      <c r="DL90" s="68" t="n"/>
      <c r="DM90" s="65">
        <f>IFERROR(IF(AND(DK90&lt;&gt;"",DL90&lt;&gt;""),ABS(DK90-DL90)/ABS(DK90)*100,""),"")</f>
        <v/>
      </c>
      <c r="DN90" s="62" t="inlineStr">
        <is>
          <t>ND</t>
        </is>
      </c>
      <c r="DO90" s="68" t="n"/>
      <c r="DP90" s="68" t="n"/>
      <c r="DQ90" s="65">
        <f>IFERROR(IF(AND(DO90&lt;&gt;"",DP90&lt;&gt;""),ABS(DO90-DP90)/ABS(DO90)*100,""),"")</f>
        <v/>
      </c>
      <c r="DR90" s="62" t="inlineStr">
        <is>
          <t>ND</t>
        </is>
      </c>
      <c r="DS90" s="68" t="n"/>
      <c r="DT90" s="68" t="n"/>
      <c r="DU90" s="65">
        <f>IFERROR(IF(AND(DS90&lt;&gt;"",DT90&lt;&gt;""),ABS(DS90-DT90)/ABS(DS90)*100,""),"")</f>
        <v/>
      </c>
      <c r="DV90" s="62" t="inlineStr">
        <is>
          <t>ND</t>
        </is>
      </c>
      <c r="DW90" s="63" t="inlineStr">
        <is>
          <t>Claude only (DeepSeek pending). Source=2025 report, only report covering 2024. Same Ind.1/3 flag continues (33.51%/17.62%). Ind.7/8=ND (headcount 92 disabled, 19 foreign). Ind.9=4.51, source itself flags this doesn't reconcile with the tier-sum recalculation method that matched exactly in 2022/2023 (recalc implies ~5.88%) - Direct value used per Priority-1 rule, discrepancy unresolved. Ind.18=101.92%, EXCEEDS 100% due to a cross-year cohort mismatch between leave-takers and returners as defined by the company - reported as-is per source's own explanation, not an extraction error. Ind.24=1.15, company's OWN label marks this '(E)' for estimated/preliminary (underlying fatality count also '4(E)') - treat as provisional, not final. || DEEPSEEK RECONCILIATION - MANUAL FLAGS: Ind.2 (Female Permanent%): Claude=9.93, DeepSeek=12.36, Diff=24.5%; Ind.11 (Female Board Directors): Claude=28.57, DeepSeek=14.29, Diff=50.0%; Ind.17 (Parental Leave M): Claude=28, DeepSeek=118, Diff=321.4%; Ind.18 (Return to Work): Claude=101.92, DeepSeek=96.5, Diff=5.3%</t>
        </is>
      </c>
    </row>
    <row r="91" ht="4.5" customHeight="1" s="43">
      <c r="A91" s="72" t="n"/>
      <c r="B91" s="72" t="n"/>
      <c r="C91" s="72" t="n"/>
      <c r="D91" s="72" t="n"/>
      <c r="E91" s="72" t="n"/>
      <c r="F91" s="72" t="n"/>
      <c r="G91" s="72" t="n"/>
      <c r="H91" s="72" t="n"/>
      <c r="I91" s="72" t="n"/>
      <c r="J91" s="72" t="n"/>
      <c r="K91" s="72" t="n"/>
      <c r="L91" s="72" t="n"/>
      <c r="M91" s="72" t="n"/>
      <c r="N91" s="72" t="n"/>
      <c r="O91" s="72" t="n"/>
      <c r="P91" s="72" t="n"/>
      <c r="Q91" s="72" t="n"/>
      <c r="R91" s="72" t="n"/>
      <c r="S91" s="72" t="n"/>
      <c r="T91" s="72" t="n"/>
      <c r="U91" s="72" t="n"/>
      <c r="V91" s="72" t="n"/>
      <c r="W91" s="72" t="n"/>
      <c r="X91" s="72" t="n"/>
      <c r="Y91" s="72" t="n"/>
      <c r="Z91" s="72" t="n"/>
      <c r="AA91" s="72" t="n"/>
      <c r="AB91" s="72" t="n"/>
      <c r="AC91" s="72" t="n"/>
      <c r="AD91" s="72" t="n"/>
      <c r="AE91" s="72" t="n"/>
      <c r="AF91" s="72" t="n"/>
      <c r="AG91" s="72" t="n"/>
      <c r="AH91" s="72" t="n"/>
      <c r="AI91" s="72" t="n"/>
      <c r="AJ91" s="72" t="n"/>
      <c r="AK91" s="72" t="n"/>
      <c r="AL91" s="72" t="n"/>
      <c r="AM91" s="72" t="n"/>
      <c r="AN91" s="72" t="n"/>
      <c r="AO91" s="72" t="n"/>
      <c r="AP91" s="72" t="n"/>
      <c r="AQ91" s="72" t="n"/>
      <c r="AR91" s="72" t="n"/>
      <c r="AS91" s="72" t="n"/>
      <c r="AT91" s="72" t="n"/>
      <c r="AU91" s="72" t="n"/>
      <c r="AV91" s="72" t="n"/>
      <c r="AW91" s="72" t="n"/>
      <c r="AX91" s="72" t="n"/>
      <c r="AY91" s="72" t="n"/>
      <c r="AZ91" s="72" t="n"/>
      <c r="BA91" s="72" t="n"/>
      <c r="BB91" s="72" t="n"/>
      <c r="BC91" s="72" t="n"/>
      <c r="BD91" s="72" t="n"/>
      <c r="BE91" s="72" t="n"/>
      <c r="BF91" s="72" t="n"/>
      <c r="BG91" s="72" t="n"/>
      <c r="BH91" s="72" t="n"/>
      <c r="BI91" s="72" t="n"/>
      <c r="BJ91" s="72" t="n"/>
      <c r="BK91" s="72" t="n"/>
      <c r="BL91" s="72" t="n"/>
      <c r="BM91" s="72" t="n"/>
      <c r="BN91" s="72" t="n"/>
      <c r="BO91" s="72" t="n"/>
      <c r="BP91" s="72" t="n"/>
      <c r="BQ91" s="72" t="n"/>
      <c r="BR91" s="72" t="n"/>
      <c r="BS91" s="72" t="n"/>
      <c r="BT91" s="72" t="n"/>
      <c r="BU91" s="72" t="n"/>
      <c r="BV91" s="72" t="n"/>
      <c r="BW91" s="72" t="n"/>
      <c r="BX91" s="72" t="n"/>
      <c r="BY91" s="72" t="n"/>
      <c r="BZ91" s="72" t="n"/>
      <c r="CA91" s="72" t="n"/>
      <c r="CB91" s="72" t="n"/>
      <c r="CC91" s="72" t="n"/>
      <c r="CD91" s="72" t="n"/>
      <c r="CE91" s="72" t="n"/>
      <c r="CF91" s="72" t="n"/>
      <c r="CG91" s="72" t="n"/>
      <c r="CH91" s="72" t="n"/>
      <c r="CI91" s="72" t="n"/>
      <c r="CJ91" s="72" t="n"/>
      <c r="CK91" s="72" t="n"/>
      <c r="CL91" s="72" t="n"/>
      <c r="CM91" s="72" t="n"/>
      <c r="CN91" s="72" t="n"/>
      <c r="CO91" s="72" t="n"/>
      <c r="CP91" s="72" t="n"/>
      <c r="CQ91" s="72" t="n"/>
      <c r="CR91" s="72" t="n"/>
      <c r="CS91" s="72" t="n"/>
      <c r="CT91" s="72" t="n"/>
      <c r="CU91" s="72" t="n"/>
      <c r="CV91" s="72" t="n"/>
      <c r="CW91" s="72" t="n"/>
      <c r="CX91" s="72" t="n"/>
      <c r="CY91" s="72" t="n"/>
      <c r="CZ91" s="72" t="n"/>
      <c r="DA91" s="72" t="n"/>
      <c r="DB91" s="72" t="n"/>
      <c r="DC91" s="72" t="n"/>
      <c r="DD91" s="72" t="n"/>
      <c r="DE91" s="72" t="n"/>
      <c r="DF91" s="72" t="n"/>
      <c r="DG91" s="72" t="n"/>
      <c r="DH91" s="72" t="n"/>
      <c r="DI91" s="72" t="n"/>
      <c r="DJ91" s="72" t="n"/>
      <c r="DK91" s="72" t="n"/>
      <c r="DL91" s="72" t="n"/>
      <c r="DM91" s="72" t="n"/>
      <c r="DN91" s="72" t="n"/>
      <c r="DO91" s="72" t="n"/>
      <c r="DP91" s="72" t="n"/>
      <c r="DQ91" s="72" t="n"/>
      <c r="DR91" s="72" t="n"/>
      <c r="DS91" s="72" t="n"/>
      <c r="DT91" s="72" t="n"/>
      <c r="DU91" s="72" t="n"/>
      <c r="DV91" s="72" t="n"/>
      <c r="DW91" s="72" t="n"/>
    </row>
    <row r="92" ht="15.75" customHeight="1" s="43">
      <c r="A92" s="73" t="inlineStr">
        <is>
          <t>HANWHA</t>
        </is>
      </c>
      <c r="B92" s="69" t="inlineStr">
        <is>
          <t>000880</t>
        </is>
      </c>
      <c r="C92" s="69" t="inlineStr">
        <is>
          <t>Industrials</t>
        </is>
      </c>
      <c r="D92" s="69" t="inlineStr">
        <is>
          <t>2018</t>
        </is>
      </c>
      <c r="E92" s="70" t="inlineStr">
        <is>
          <t>hanwha_2021.pdf (only report covering 2018)</t>
        </is>
      </c>
      <c r="F92" s="69" t="n"/>
      <c r="G92" s="67" t="n">
        <v>5</v>
      </c>
      <c r="H92" s="67" t="n">
        <v>5.09</v>
      </c>
      <c r="I92" s="71">
        <f>IFERROR(IF(AND(G92&lt;&gt;"",H92&lt;&gt;""),ABS(G92-H92)/ABS(G92)*100,""),"")</f>
        <v/>
      </c>
      <c r="J92" s="69" t="inlineStr">
        <is>
          <t>Claude</t>
        </is>
      </c>
      <c r="K92" s="67" t="n"/>
      <c r="L92" s="67" t="n"/>
      <c r="M92" s="71">
        <f>IFERROR(IF(AND(K92&lt;&gt;"",L92&lt;&gt;""),ABS(K92-L92)/ABS(K92)*100,""),"")</f>
        <v/>
      </c>
      <c r="N92" s="69" t="inlineStr">
        <is>
          <t>ND</t>
        </is>
      </c>
      <c r="O92" s="67" t="n"/>
      <c r="P92" s="67" t="n"/>
      <c r="Q92" s="71">
        <f>IFERROR(IF(AND(O92&lt;&gt;"",P92&lt;&gt;""),ABS(O92-P92)/ABS(O92)*100,""),"")</f>
        <v/>
      </c>
      <c r="R92" s="69" t="inlineStr">
        <is>
          <t>ND</t>
        </is>
      </c>
      <c r="S92" s="67" t="n">
        <v>18.02</v>
      </c>
      <c r="T92" s="67" t="n">
        <v>18.02</v>
      </c>
      <c r="U92" s="71">
        <f>IFERROR(IF(AND(S92&lt;&gt;"",T92&lt;&gt;""),ABS(S92-T92)/ABS(S92)*100,""),"")</f>
        <v/>
      </c>
      <c r="V92" s="69" t="inlineStr">
        <is>
          <t>Claude</t>
        </is>
      </c>
      <c r="W92" s="67" t="n">
        <v>56.99</v>
      </c>
      <c r="X92" s="67" t="n">
        <v>56.99</v>
      </c>
      <c r="Y92" s="71">
        <f>IFERROR(IF(AND(W92&lt;&gt;"",X92&lt;&gt;""),ABS(W92-X92)/ABS(W92)*100,""),"")</f>
        <v/>
      </c>
      <c r="Z92" s="69" t="inlineStr">
        <is>
          <t>Claude</t>
        </is>
      </c>
      <c r="AA92" s="67" t="n">
        <v>8.529999999999999</v>
      </c>
      <c r="AB92" s="67" t="n">
        <v>8.529999999999999</v>
      </c>
      <c r="AC92" s="71">
        <f>IFERROR(IF(AND(AA92&lt;&gt;"",AB92&lt;&gt;""),ABS(AA92-AB92)/ABS(AA92)*100,""),"")</f>
        <v/>
      </c>
      <c r="AD92" s="69" t="inlineStr">
        <is>
          <t>Claude</t>
        </is>
      </c>
      <c r="AE92" s="67" t="n"/>
      <c r="AF92" s="67" t="n"/>
      <c r="AG92" s="71">
        <f>IFERROR(IF(AND(AE92&lt;&gt;"",AF92&lt;&gt;""),ABS(AE92-AF92)/ABS(AE92)*100,""),"")</f>
        <v/>
      </c>
      <c r="AH92" s="69" t="inlineStr">
        <is>
          <t>ND</t>
        </is>
      </c>
      <c r="AI92" s="67" t="n">
        <v>0.082</v>
      </c>
      <c r="AJ92" s="67" t="n"/>
      <c r="AK92" s="71">
        <f>IFERROR(IF(AND(AI92&lt;&gt;"",AJ92&lt;&gt;""),ABS(AI92-AJ92)/ABS(AI92)*100,""),"")</f>
        <v/>
      </c>
      <c r="AL92" s="69" t="inlineStr">
        <is>
          <t>Claude</t>
        </is>
      </c>
      <c r="AM92" s="67" t="n">
        <v>4</v>
      </c>
      <c r="AN92" s="67" t="n"/>
      <c r="AO92" s="71">
        <f>IFERROR(IF(AND(AM92&lt;&gt;"",AN92&lt;&gt;""),ABS(AM92-AN92)/ABS(AM92)*100,""),"")</f>
        <v/>
      </c>
      <c r="AP92" s="69" t="inlineStr">
        <is>
          <t>Claude</t>
        </is>
      </c>
      <c r="AQ92" s="67" t="n"/>
      <c r="AR92" s="67" t="n"/>
      <c r="AS92" s="71">
        <f>IFERROR(IF(AND(AQ92&lt;&gt;"",AR92&lt;&gt;""),ABS(AQ92-AR92)/ABS(AQ92)*100,""),"")</f>
        <v/>
      </c>
      <c r="AT92" s="69" t="inlineStr">
        <is>
          <t>ND</t>
        </is>
      </c>
      <c r="AU92" s="67" t="n">
        <v>0</v>
      </c>
      <c r="AV92" s="67" t="n">
        <v>0</v>
      </c>
      <c r="AW92" s="71">
        <f>IFERROR(IF(AND(AU92&lt;&gt;"",AV92&lt;&gt;""),ABS(AU92-AV92)/ABS(AU92)*100,""),"")</f>
        <v/>
      </c>
      <c r="AX92" s="69" t="inlineStr">
        <is>
          <t>Claude</t>
        </is>
      </c>
      <c r="AY92" s="67" t="n">
        <v>66000000</v>
      </c>
      <c r="AZ92" s="67" t="n">
        <v>66000000</v>
      </c>
      <c r="BA92" s="71">
        <f>IFERROR(IF(AND(AY92&lt;&gt;"",AZ92&lt;&gt;""),ABS(AY92-AZ92)/ABS(AY92)*100,""),"")</f>
        <v/>
      </c>
      <c r="BB92" s="69" t="inlineStr">
        <is>
          <t>Claude</t>
        </is>
      </c>
      <c r="BC92" s="67" t="n"/>
      <c r="BD92" s="67" t="n"/>
      <c r="BE92" s="71">
        <f>IFERROR(IF(AND(BC92&lt;&gt;"",BD92&lt;&gt;""),ABS(BC92-BD92)/ABS(BC92)*100,""),"")</f>
        <v/>
      </c>
      <c r="BF92" s="69" t="inlineStr">
        <is>
          <t>ND</t>
        </is>
      </c>
      <c r="BG92" s="67" t="n">
        <v>911000</v>
      </c>
      <c r="BH92" s="67" t="n">
        <v>910594</v>
      </c>
      <c r="BI92" s="71">
        <f>IFERROR(IF(AND(BG92&lt;&gt;"",BH92&lt;&gt;""),ABS(BG92-BH92)/ABS(BG92)*100,""),"")</f>
        <v/>
      </c>
      <c r="BJ92" s="69" t="inlineStr">
        <is>
          <t>Claude</t>
        </is>
      </c>
      <c r="BK92" s="67" t="n">
        <v>32</v>
      </c>
      <c r="BL92" s="67" t="n">
        <v>30.87</v>
      </c>
      <c r="BM92" s="71">
        <f>IFERROR(IF(AND(BK92&lt;&gt;"",BL92&lt;&gt;""),ABS(BK92-BL92)/ABS(BK92)*100,""),"")</f>
        <v/>
      </c>
      <c r="BN92" s="69" t="inlineStr">
        <is>
          <t>Claude</t>
        </is>
      </c>
      <c r="BO92" s="67" t="n">
        <v>44</v>
      </c>
      <c r="BP92" s="67" t="n">
        <v>44</v>
      </c>
      <c r="BQ92" s="71">
        <f>IFERROR(IF(AND(BO92&lt;&gt;"",BP92&lt;&gt;""),ABS(BO92-BP92)/ABS(BO92)*100,""),"")</f>
        <v/>
      </c>
      <c r="BR92" s="69" t="inlineStr">
        <is>
          <t>Claude</t>
        </is>
      </c>
      <c r="BS92" s="67" t="n">
        <v>10</v>
      </c>
      <c r="BT92" s="67" t="n">
        <v>10</v>
      </c>
      <c r="BU92" s="71">
        <f>IFERROR(IF(AND(BS92&lt;&gt;"",BT92&lt;&gt;""),ABS(BS92-BT92)/ABS(BS92)*100,""),"")</f>
        <v/>
      </c>
      <c r="BV92" s="69" t="inlineStr">
        <is>
          <t>Claude</t>
        </is>
      </c>
      <c r="BW92" s="67" t="n"/>
      <c r="BX92" s="67" t="n">
        <v>90.73999999999999</v>
      </c>
      <c r="BY92" s="71">
        <f>IFERROR(IF(AND(BW92&lt;&gt;"",BX92&lt;&gt;""),ABS(BW92-BX92)/ABS(BW92)*100,""),"")</f>
        <v/>
      </c>
      <c r="BZ92" s="69" t="inlineStr">
        <is>
          <t>DeepSeek</t>
        </is>
      </c>
      <c r="CA92" s="67" t="n">
        <v>9.9</v>
      </c>
      <c r="CB92" s="67" t="n">
        <v>9.9</v>
      </c>
      <c r="CC92" s="71">
        <f>IFERROR(IF(AND(CA92&lt;&gt;"",CB92&lt;&gt;""),ABS(CA92-CB92)/ABS(CA92)*100,""),"")</f>
        <v/>
      </c>
      <c r="CD92" s="69" t="inlineStr">
        <is>
          <t>Claude</t>
        </is>
      </c>
      <c r="CE92" s="67" t="n"/>
      <c r="CF92" s="67" t="n"/>
      <c r="CG92" s="71">
        <f>IFERROR(IF(AND(CE92&lt;&gt;"",CF92&lt;&gt;""),ABS(CE92-CF92)/ABS(CE92)*100,""),"")</f>
        <v/>
      </c>
      <c r="CH92" s="69" t="inlineStr">
        <is>
          <t>ND</t>
        </is>
      </c>
      <c r="CI92" s="67" t="n"/>
      <c r="CJ92" s="67" t="n"/>
      <c r="CK92" s="71">
        <f>IFERROR(IF(AND(CI92&lt;&gt;"",CJ92&lt;&gt;""),ABS(CI92-CJ92)/ABS(CI92)*100,""),"")</f>
        <v/>
      </c>
      <c r="CL92" s="69" t="inlineStr">
        <is>
          <t>ND</t>
        </is>
      </c>
      <c r="CM92" s="67" t="n"/>
      <c r="CN92" s="67" t="n"/>
      <c r="CO92" s="71">
        <f>IFERROR(IF(AND(CM92&lt;&gt;"",CN92&lt;&gt;""),ABS(CM92-CN92)/ABS(CM92)*100,""),"")</f>
        <v/>
      </c>
      <c r="CP92" s="69" t="inlineStr">
        <is>
          <t>ND</t>
        </is>
      </c>
      <c r="CQ92" s="67" t="n">
        <v>1.44</v>
      </c>
      <c r="CR92" s="67" t="n">
        <v>1.44</v>
      </c>
      <c r="CS92" s="71">
        <f>IFERROR(IF(AND(CQ92&lt;&gt;"",CR92&lt;&gt;""),ABS(CQ92-CR92)/ABS(CQ92)*100,""),"")</f>
        <v/>
      </c>
      <c r="CT92" s="69" t="inlineStr">
        <is>
          <t>Claude</t>
        </is>
      </c>
      <c r="CU92" s="67" t="n"/>
      <c r="CV92" s="67" t="n"/>
      <c r="CW92" s="71">
        <f>IFERROR(IF(AND(CU92&lt;&gt;"",CV92&lt;&gt;""),ABS(CU92-CV92)/ABS(CU92)*100,""),"")</f>
        <v/>
      </c>
      <c r="CX92" s="69" t="inlineStr">
        <is>
          <t>ND</t>
        </is>
      </c>
      <c r="CY92" s="68" t="n"/>
      <c r="CZ92" s="68" t="n"/>
      <c r="DA92" s="71">
        <f>IFERROR(IF(AND(CY92&lt;&gt;"",CZ92&lt;&gt;""),ABS(CY92-CZ92)/ABS(CY92)*100,""),"")</f>
        <v/>
      </c>
      <c r="DB92" s="69" t="inlineStr">
        <is>
          <t>ND</t>
        </is>
      </c>
      <c r="DC92" s="68" t="n"/>
      <c r="DD92" s="68" t="n"/>
      <c r="DE92" s="71">
        <f>IFERROR(IF(AND(DC92&lt;&gt;"",DD92&lt;&gt;""),ABS(DC92-DD92)/ABS(DC92)*100,""),"")</f>
        <v/>
      </c>
      <c r="DF92" s="69" t="inlineStr">
        <is>
          <t>ND</t>
        </is>
      </c>
      <c r="DG92" s="68" t="n"/>
      <c r="DH92" s="68" t="n"/>
      <c r="DI92" s="71">
        <f>IFERROR(IF(AND(DG92&lt;&gt;"",DH92&lt;&gt;""),ABS(DG92-DH92)/ABS(DG92)*100,""),"")</f>
        <v/>
      </c>
      <c r="DJ92" s="69" t="inlineStr">
        <is>
          <t>ND</t>
        </is>
      </c>
      <c r="DK92" s="68" t="n"/>
      <c r="DL92" s="68" t="n"/>
      <c r="DM92" s="71">
        <f>IFERROR(IF(AND(DK92&lt;&gt;"",DL92&lt;&gt;""),ABS(DK92-DL92)/ABS(DK92)*100,""),"")</f>
        <v/>
      </c>
      <c r="DN92" s="69" t="inlineStr">
        <is>
          <t>ND</t>
        </is>
      </c>
      <c r="DO92" s="68" t="n"/>
      <c r="DP92" s="68" t="n"/>
      <c r="DQ92" s="71">
        <f>IFERROR(IF(AND(DO92&lt;&gt;"",DP92&lt;&gt;""),ABS(DO92-DP92)/ABS(DO92)*100,""),"")</f>
        <v/>
      </c>
      <c r="DR92" s="69" t="inlineStr">
        <is>
          <t>ND</t>
        </is>
      </c>
      <c r="DS92" s="68" t="inlineStr">
        <is>
          <t>A</t>
        </is>
      </c>
      <c r="DT92" s="68" t="inlineStr">
        <is>
          <t>A</t>
        </is>
      </c>
      <c r="DU92" s="71">
        <f>IFERROR(IF(AND(DS92&lt;&gt;"",DT92&lt;&gt;""),ABS(DS92-DT92)/ABS(DS92)*100,""),"")</f>
        <v/>
      </c>
      <c r="DV92" s="69" t="inlineStr">
        <is>
          <t>Claude</t>
        </is>
      </c>
      <c r="DW92" s="70" t="inlineStr">
        <is>
          <t>Claude only (DeepSeek pending). Source=2021 report (only report covering 2018; no year overlap with 2025 report). Ind.1=5, PROXY ('비정규직' as stand-in for contract workers). Ind.7=%Disabled=ND (only a combined disabled+veteran RATE disclosed, 4.6%, not headcount - genuinely not computable). Ind.8=%Foreign=0.082, computed from direct headcount 5 / total workforce 6,116. Ind.9=4.0, Direct-with-supporting-calc, uses '관리직(과장이상,임원제외)' tier - NOTE: 2025 report's primary Ind.9 metric uses a narrower, more literal 'middle management' tier starting 2021, so pre/post-2021 Ind.9 values reflect DIFFERENT POPULATIONS, not a clean trend. Ind.18=ND: gendered M=90%/F=91% breakdown only, no combined figure this edition - recorded for reference. Ind.23=1.44, using the 'combined/통합' sub-scope as primary (employees-only=1.38, contractors-only=1.73, both logged here for reference). Ind.24=na (silence not assumed zero, per indicator's own rule - unlike 2020 which has an explicit proxy value). Ind.30='A' - part of Hanwha's 2017-2020 KCGS 'A' streak, which does NOT continue in the 2025 report (see 2021+ notes).</t>
        </is>
      </c>
    </row>
    <row r="93" ht="15.75" customHeight="1" s="43">
      <c r="A93" s="62" t="n"/>
      <c r="B93" s="62" t="n"/>
      <c r="C93" s="62" t="inlineStr">
        <is>
          <t>Industrials</t>
        </is>
      </c>
      <c r="D93" s="62" t="inlineStr">
        <is>
          <t>2019</t>
        </is>
      </c>
      <c r="E93" s="63" t="inlineStr">
        <is>
          <t>hanwha_2021.pdf (only report covering 2019)</t>
        </is>
      </c>
      <c r="F93" s="62" t="n"/>
      <c r="G93" s="64" t="n">
        <v>7</v>
      </c>
      <c r="H93" s="64" t="n">
        <v>6.54</v>
      </c>
      <c r="I93" s="65">
        <f>IFERROR(IF(AND(G93&lt;&gt;"",H93&lt;&gt;""),ABS(G93-H93)/ABS(G93)*100,""),"")</f>
        <v/>
      </c>
      <c r="J93" s="66" t="inlineStr">
        <is>
          <t>MANUAL FLAG</t>
        </is>
      </c>
      <c r="K93" s="67" t="n"/>
      <c r="L93" s="67" t="n"/>
      <c r="M93" s="65">
        <f>IFERROR(IF(AND(K93&lt;&gt;"",L93&lt;&gt;""),ABS(K93-L93)/ABS(K93)*100,""),"")</f>
        <v/>
      </c>
      <c r="N93" s="62" t="inlineStr">
        <is>
          <t>ND</t>
        </is>
      </c>
      <c r="O93" s="67" t="n"/>
      <c r="P93" s="67" t="n"/>
      <c r="Q93" s="65">
        <f>IFERROR(IF(AND(O93&lt;&gt;"",P93&lt;&gt;""),ABS(O93-P93)/ABS(O93)*100,""),"")</f>
        <v/>
      </c>
      <c r="R93" s="62" t="inlineStr">
        <is>
          <t>ND</t>
        </is>
      </c>
      <c r="S93" s="67" t="n">
        <v>13.04</v>
      </c>
      <c r="T93" s="67" t="n">
        <v>13.04</v>
      </c>
      <c r="U93" s="65">
        <f>IFERROR(IF(AND(S93&lt;&gt;"",T93&lt;&gt;""),ABS(S93-T93)/ABS(S93)*100,""),"")</f>
        <v/>
      </c>
      <c r="V93" s="62" t="inlineStr">
        <is>
          <t>Claude</t>
        </is>
      </c>
      <c r="W93" s="67" t="n">
        <v>51.24</v>
      </c>
      <c r="X93" s="67" t="n">
        <v>51.24</v>
      </c>
      <c r="Y93" s="65">
        <f>IFERROR(IF(AND(W93&lt;&gt;"",X93&lt;&gt;""),ABS(W93-X93)/ABS(W93)*100,""),"")</f>
        <v/>
      </c>
      <c r="Z93" s="62" t="inlineStr">
        <is>
          <t>Claude</t>
        </is>
      </c>
      <c r="AA93" s="67" t="n">
        <v>7.55</v>
      </c>
      <c r="AB93" s="67" t="n">
        <v>7.56</v>
      </c>
      <c r="AC93" s="65">
        <f>IFERROR(IF(AND(AA93&lt;&gt;"",AB93&lt;&gt;""),ABS(AA93-AB93)/ABS(AA93)*100,""),"")</f>
        <v/>
      </c>
      <c r="AD93" s="62" t="inlineStr">
        <is>
          <t>Claude</t>
        </is>
      </c>
      <c r="AE93" s="67" t="n"/>
      <c r="AF93" s="67" t="n"/>
      <c r="AG93" s="65">
        <f>IFERROR(IF(AND(AE93&lt;&gt;"",AF93&lt;&gt;""),ABS(AE93-AF93)/ABS(AE93)*100,""),"")</f>
        <v/>
      </c>
      <c r="AH93" s="62" t="inlineStr">
        <is>
          <t>ND</t>
        </is>
      </c>
      <c r="AI93" s="67" t="n">
        <v>0.09</v>
      </c>
      <c r="AJ93" s="67" t="n"/>
      <c r="AK93" s="65">
        <f>IFERROR(IF(AND(AI93&lt;&gt;"",AJ93&lt;&gt;""),ABS(AI93-AJ93)/ABS(AI93)*100,""),"")</f>
        <v/>
      </c>
      <c r="AL93" s="62" t="inlineStr">
        <is>
          <t>Claude</t>
        </is>
      </c>
      <c r="AM93" s="67" t="n">
        <v>5.2</v>
      </c>
      <c r="AN93" s="67" t="n"/>
      <c r="AO93" s="65">
        <f>IFERROR(IF(AND(AM93&lt;&gt;"",AN93&lt;&gt;""),ABS(AM93-AN93)/ABS(AM93)*100,""),"")</f>
        <v/>
      </c>
      <c r="AP93" s="62" t="inlineStr">
        <is>
          <t>Claude</t>
        </is>
      </c>
      <c r="AQ93" s="67" t="n"/>
      <c r="AR93" s="67" t="n"/>
      <c r="AS93" s="65">
        <f>IFERROR(IF(AND(AQ93&lt;&gt;"",AR93&lt;&gt;""),ABS(AQ93-AR93)/ABS(AQ93)*100,""),"")</f>
        <v/>
      </c>
      <c r="AT93" s="62" t="inlineStr">
        <is>
          <t>ND</t>
        </is>
      </c>
      <c r="AU93" s="67" t="n">
        <v>0</v>
      </c>
      <c r="AV93" s="67" t="n">
        <v>0</v>
      </c>
      <c r="AW93" s="65">
        <f>IFERROR(IF(AND(AU93&lt;&gt;"",AV93&lt;&gt;""),ABS(AU93-AV93)/ABS(AU93)*100,""),"")</f>
        <v/>
      </c>
      <c r="AX93" s="62" t="inlineStr">
        <is>
          <t>Claude</t>
        </is>
      </c>
      <c r="AY93" s="67" t="n">
        <v>68000000</v>
      </c>
      <c r="AZ93" s="67" t="n">
        <v>68000000</v>
      </c>
      <c r="BA93" s="65">
        <f>IFERROR(IF(AND(AY93&lt;&gt;"",AZ93&lt;&gt;""),ABS(AY93-AZ93)/ABS(AY93)*100,""),"")</f>
        <v/>
      </c>
      <c r="BB93" s="62" t="inlineStr">
        <is>
          <t>Claude</t>
        </is>
      </c>
      <c r="BC93" s="67" t="n"/>
      <c r="BD93" s="67" t="n"/>
      <c r="BE93" s="65">
        <f>IFERROR(IF(AND(BC93&lt;&gt;"",BD93&lt;&gt;""),ABS(BC93-BD93)/ABS(BC93)*100,""),"")</f>
        <v/>
      </c>
      <c r="BF93" s="62" t="inlineStr">
        <is>
          <t>ND</t>
        </is>
      </c>
      <c r="BG93" s="67" t="n">
        <v>1117000</v>
      </c>
      <c r="BH93" s="67" t="n">
        <v>1117095</v>
      </c>
      <c r="BI93" s="65">
        <f>IFERROR(IF(AND(BG93&lt;&gt;"",BH93&lt;&gt;""),ABS(BG93-BH93)/ABS(BG93)*100,""),"")</f>
        <v/>
      </c>
      <c r="BJ93" s="62" t="inlineStr">
        <is>
          <t>Claude</t>
        </is>
      </c>
      <c r="BK93" s="67" t="n">
        <v>61</v>
      </c>
      <c r="BL93" s="67" t="n">
        <v>61.19</v>
      </c>
      <c r="BM93" s="65">
        <f>IFERROR(IF(AND(BK93&lt;&gt;"",BL93&lt;&gt;""),ABS(BK93-BL93)/ABS(BK93)*100,""),"")</f>
        <v/>
      </c>
      <c r="BN93" s="62" t="inlineStr">
        <is>
          <t>Claude</t>
        </is>
      </c>
      <c r="BO93" s="67" t="n">
        <v>42</v>
      </c>
      <c r="BP93" s="67" t="n">
        <v>42</v>
      </c>
      <c r="BQ93" s="65">
        <f>IFERROR(IF(AND(BO93&lt;&gt;"",BP93&lt;&gt;""),ABS(BO93-BP93)/ABS(BO93)*100,""),"")</f>
        <v/>
      </c>
      <c r="BR93" s="62" t="inlineStr">
        <is>
          <t>Claude</t>
        </is>
      </c>
      <c r="BS93" s="67" t="n">
        <v>23</v>
      </c>
      <c r="BT93" s="67" t="n">
        <v>23</v>
      </c>
      <c r="BU93" s="65">
        <f>IFERROR(IF(AND(BS93&lt;&gt;"",BT93&lt;&gt;""),ABS(BS93-BT93)/ABS(BS93)*100,""),"")</f>
        <v/>
      </c>
      <c r="BV93" s="62" t="inlineStr">
        <is>
          <t>Claude</t>
        </is>
      </c>
      <c r="BW93" s="67" t="n"/>
      <c r="BX93" s="67" t="n">
        <v>95.38</v>
      </c>
      <c r="BY93" s="65">
        <f>IFERROR(IF(AND(BW93&lt;&gt;"",BX93&lt;&gt;""),ABS(BW93-BX93)/ABS(BW93)*100,""),"")</f>
        <v/>
      </c>
      <c r="BZ93" s="62" t="inlineStr">
        <is>
          <t>DeepSeek</t>
        </is>
      </c>
      <c r="CA93" s="67" t="n">
        <v>10</v>
      </c>
      <c r="CB93" s="67" t="n">
        <v>10</v>
      </c>
      <c r="CC93" s="65">
        <f>IFERROR(IF(AND(CA93&lt;&gt;"",CB93&lt;&gt;""),ABS(CA93-CB93)/ABS(CA93)*100,""),"")</f>
        <v/>
      </c>
      <c r="CD93" s="62" t="inlineStr">
        <is>
          <t>Claude</t>
        </is>
      </c>
      <c r="CE93" s="67" t="n"/>
      <c r="CF93" s="67" t="n"/>
      <c r="CG93" s="65">
        <f>IFERROR(IF(AND(CE93&lt;&gt;"",CF93&lt;&gt;""),ABS(CE93-CF93)/ABS(CE93)*100,""),"")</f>
        <v/>
      </c>
      <c r="CH93" s="62" t="inlineStr">
        <is>
          <t>ND</t>
        </is>
      </c>
      <c r="CI93" s="67" t="n"/>
      <c r="CJ93" s="67" t="n"/>
      <c r="CK93" s="65">
        <f>IFERROR(IF(AND(CI93&lt;&gt;"",CJ93&lt;&gt;""),ABS(CI93-CJ93)/ABS(CI93)*100,""),"")</f>
        <v/>
      </c>
      <c r="CL93" s="62" t="inlineStr">
        <is>
          <t>ND</t>
        </is>
      </c>
      <c r="CM93" s="67" t="n"/>
      <c r="CN93" s="67" t="n"/>
      <c r="CO93" s="65">
        <f>IFERROR(IF(AND(CM93&lt;&gt;"",CN93&lt;&gt;""),ABS(CM93-CN93)/ABS(CM93)*100,""),"")</f>
        <v/>
      </c>
      <c r="CP93" s="62" t="inlineStr">
        <is>
          <t>ND</t>
        </is>
      </c>
      <c r="CQ93" s="67" t="n">
        <v>0.95</v>
      </c>
      <c r="CR93" s="67" t="n">
        <v>0.95</v>
      </c>
      <c r="CS93" s="65">
        <f>IFERROR(IF(AND(CQ93&lt;&gt;"",CR93&lt;&gt;""),ABS(CQ93-CR93)/ABS(CQ93)*100,""),"")</f>
        <v/>
      </c>
      <c r="CT93" s="62" t="inlineStr">
        <is>
          <t>Claude</t>
        </is>
      </c>
      <c r="CU93" s="67" t="n"/>
      <c r="CV93" s="67" t="n"/>
      <c r="CW93" s="65">
        <f>IFERROR(IF(AND(CU93&lt;&gt;"",CV93&lt;&gt;""),ABS(CU93-CV93)/ABS(CU93)*100,""),"")</f>
        <v/>
      </c>
      <c r="CX93" s="62" t="inlineStr">
        <is>
          <t>ND</t>
        </is>
      </c>
      <c r="CY93" s="68" t="n"/>
      <c r="CZ93" s="68" t="n"/>
      <c r="DA93" s="65">
        <f>IFERROR(IF(AND(CY93&lt;&gt;"",CZ93&lt;&gt;""),ABS(CY93-CZ93)/ABS(CY93)*100,""),"")</f>
        <v/>
      </c>
      <c r="DB93" s="62" t="inlineStr">
        <is>
          <t>ND</t>
        </is>
      </c>
      <c r="DC93" s="68" t="n"/>
      <c r="DD93" s="68" t="n"/>
      <c r="DE93" s="65">
        <f>IFERROR(IF(AND(DC93&lt;&gt;"",DD93&lt;&gt;""),ABS(DC93-DD93)/ABS(DC93)*100,""),"")</f>
        <v/>
      </c>
      <c r="DF93" s="62" t="inlineStr">
        <is>
          <t>ND</t>
        </is>
      </c>
      <c r="DG93" s="68" t="n"/>
      <c r="DH93" s="68" t="n"/>
      <c r="DI93" s="65">
        <f>IFERROR(IF(AND(DG93&lt;&gt;"",DH93&lt;&gt;""),ABS(DG93-DH93)/ABS(DG93)*100,""),"")</f>
        <v/>
      </c>
      <c r="DJ93" s="62" t="inlineStr">
        <is>
          <t>ND</t>
        </is>
      </c>
      <c r="DK93" s="68" t="n"/>
      <c r="DL93" s="68" t="n"/>
      <c r="DM93" s="65">
        <f>IFERROR(IF(AND(DK93&lt;&gt;"",DL93&lt;&gt;""),ABS(DK93-DL93)/ABS(DK93)*100,""),"")</f>
        <v/>
      </c>
      <c r="DN93" s="62" t="inlineStr">
        <is>
          <t>ND</t>
        </is>
      </c>
      <c r="DO93" s="68" t="n"/>
      <c r="DP93" s="68" t="n"/>
      <c r="DQ93" s="65">
        <f>IFERROR(IF(AND(DO93&lt;&gt;"",DP93&lt;&gt;""),ABS(DO93-DP93)/ABS(DO93)*100,""),"")</f>
        <v/>
      </c>
      <c r="DR93" s="62" t="inlineStr">
        <is>
          <t>ND</t>
        </is>
      </c>
      <c r="DS93" s="68" t="inlineStr">
        <is>
          <t>A</t>
        </is>
      </c>
      <c r="DT93" s="68" t="inlineStr">
        <is>
          <t>A</t>
        </is>
      </c>
      <c r="DU93" s="65">
        <f>IFERROR(IF(AND(DS93&lt;&gt;"",DT93&lt;&gt;""),ABS(DS93-DT93)/ABS(DS93)*100,""),"")</f>
        <v/>
      </c>
      <c r="DV93" s="62" t="inlineStr">
        <is>
          <t>Claude</t>
        </is>
      </c>
      <c r="DW93" s="63" t="inlineStr">
        <is>
          <t>Claude only (DeepSeek pending). Source=2021 report. Ind.7=%Disabled=ND (same reasoning as 2018). Ind.8=%Foreign=0.090 (headcount 5/5,583). Ind.9=5.2, same definitional caveat as 2018. Ind.18=ND: M=100%/F=93% breakdown. Ind.23=0.95 combined (employees=0.74/contractors=1.78, noted for reference). Ind.30='A'. || DEEPSEEK RECONCILIATION - MANUAL FLAGS: Ind.1 (Contract Workers%): Claude=7, DeepSeek=6.54, Diff=6.6%</t>
        </is>
      </c>
    </row>
    <row r="94" ht="15.75" customHeight="1" s="43">
      <c r="A94" s="69" t="n"/>
      <c r="B94" s="69" t="n"/>
      <c r="C94" s="69" t="inlineStr">
        <is>
          <t>Industrials</t>
        </is>
      </c>
      <c r="D94" s="69" t="inlineStr">
        <is>
          <t>2020</t>
        </is>
      </c>
      <c r="E94" s="70" t="inlineStr">
        <is>
          <t>hanwha_2021.pdf (only report covering 2020)</t>
        </is>
      </c>
      <c r="F94" s="69" t="n"/>
      <c r="G94" s="67" t="n">
        <v>4</v>
      </c>
      <c r="H94" s="67" t="n">
        <v>3.98</v>
      </c>
      <c r="I94" s="71">
        <f>IFERROR(IF(AND(G94&lt;&gt;"",H94&lt;&gt;""),ABS(G94-H94)/ABS(G94)*100,""),"")</f>
        <v/>
      </c>
      <c r="J94" s="69" t="inlineStr">
        <is>
          <t>Claude</t>
        </is>
      </c>
      <c r="K94" s="67" t="n"/>
      <c r="L94" s="67" t="n"/>
      <c r="M94" s="71">
        <f>IFERROR(IF(AND(K94&lt;&gt;"",L94&lt;&gt;""),ABS(K94-L94)/ABS(K94)*100,""),"")</f>
        <v/>
      </c>
      <c r="N94" s="69" t="inlineStr">
        <is>
          <t>ND</t>
        </is>
      </c>
      <c r="O94" s="67" t="n"/>
      <c r="P94" s="67" t="n"/>
      <c r="Q94" s="71">
        <f>IFERROR(IF(AND(O94&lt;&gt;"",P94&lt;&gt;""),ABS(O94-P94)/ABS(O94)*100,""),"")</f>
        <v/>
      </c>
      <c r="R94" s="69" t="inlineStr">
        <is>
          <t>ND</t>
        </is>
      </c>
      <c r="S94" s="67" t="n">
        <v>3.15</v>
      </c>
      <c r="T94" s="67" t="n">
        <v>3.15</v>
      </c>
      <c r="U94" s="71">
        <f>IFERROR(IF(AND(S94&lt;&gt;"",T94&lt;&gt;""),ABS(S94-T94)/ABS(S94)*100,""),"")</f>
        <v/>
      </c>
      <c r="V94" s="69" t="inlineStr">
        <is>
          <t>Claude</t>
        </is>
      </c>
      <c r="W94" s="67" t="n">
        <v>40.13</v>
      </c>
      <c r="X94" s="67" t="n">
        <v>40.13</v>
      </c>
      <c r="Y94" s="71">
        <f>IFERROR(IF(AND(W94&lt;&gt;"",X94&lt;&gt;""),ABS(W94-X94)/ABS(W94)*100,""),"")</f>
        <v/>
      </c>
      <c r="Z94" s="69" t="inlineStr">
        <is>
          <t>Claude</t>
        </is>
      </c>
      <c r="AA94" s="67" t="n">
        <v>11.46</v>
      </c>
      <c r="AB94" s="67" t="n">
        <v>11.47</v>
      </c>
      <c r="AC94" s="71">
        <f>IFERROR(IF(AND(AA94&lt;&gt;"",AB94&lt;&gt;""),ABS(AA94-AB94)/ABS(AA94)*100,""),"")</f>
        <v/>
      </c>
      <c r="AD94" s="69" t="inlineStr">
        <is>
          <t>Claude</t>
        </is>
      </c>
      <c r="AE94" s="67" t="n"/>
      <c r="AF94" s="67" t="n"/>
      <c r="AG94" s="71">
        <f>IFERROR(IF(AND(AE94&lt;&gt;"",AF94&lt;&gt;""),ABS(AE94-AF94)/ABS(AE94)*100,""),"")</f>
        <v/>
      </c>
      <c r="AH94" s="69" t="inlineStr">
        <is>
          <t>ND</t>
        </is>
      </c>
      <c r="AI94" s="67" t="n">
        <v>0.1</v>
      </c>
      <c r="AJ94" s="67" t="n"/>
      <c r="AK94" s="71">
        <f>IFERROR(IF(AND(AI94&lt;&gt;"",AJ94&lt;&gt;""),ABS(AI94-AJ94)/ABS(AI94)*100,""),"")</f>
        <v/>
      </c>
      <c r="AL94" s="69" t="inlineStr">
        <is>
          <t>Claude</t>
        </is>
      </c>
      <c r="AM94" s="67" t="n">
        <v>5.5</v>
      </c>
      <c r="AN94" s="67" t="n"/>
      <c r="AO94" s="71">
        <f>IFERROR(IF(AND(AM94&lt;&gt;"",AN94&lt;&gt;""),ABS(AM94-AN94)/ABS(AM94)*100,""),"")</f>
        <v/>
      </c>
      <c r="AP94" s="69" t="inlineStr">
        <is>
          <t>Claude</t>
        </is>
      </c>
      <c r="AQ94" s="67" t="n"/>
      <c r="AR94" s="67" t="n"/>
      <c r="AS94" s="71">
        <f>IFERROR(IF(AND(AQ94&lt;&gt;"",AR94&lt;&gt;""),ABS(AQ94-AR94)/ABS(AQ94)*100,""),"")</f>
        <v/>
      </c>
      <c r="AT94" s="69" t="inlineStr">
        <is>
          <t>ND</t>
        </is>
      </c>
      <c r="AU94" s="67" t="n">
        <v>0</v>
      </c>
      <c r="AV94" s="67" t="n">
        <v>0</v>
      </c>
      <c r="AW94" s="71">
        <f>IFERROR(IF(AND(AU94&lt;&gt;"",AV94&lt;&gt;""),ABS(AU94-AV94)/ABS(AU94)*100,""),"")</f>
        <v/>
      </c>
      <c r="AX94" s="69" t="inlineStr">
        <is>
          <t>Claude</t>
        </is>
      </c>
      <c r="AY94" s="67" t="n">
        <v>70000000</v>
      </c>
      <c r="AZ94" s="67" t="n">
        <v>70000000</v>
      </c>
      <c r="BA94" s="71">
        <f>IFERROR(IF(AND(AY94&lt;&gt;"",AZ94&lt;&gt;""),ABS(AY94-AZ94)/ABS(AY94)*100,""),"")</f>
        <v/>
      </c>
      <c r="BB94" s="69" t="inlineStr">
        <is>
          <t>Claude</t>
        </is>
      </c>
      <c r="BC94" s="67" t="n"/>
      <c r="BD94" s="67" t="n"/>
      <c r="BE94" s="71">
        <f>IFERROR(IF(AND(BC94&lt;&gt;"",BD94&lt;&gt;""),ABS(BC94-BD94)/ABS(BC94)*100,""),"")</f>
        <v/>
      </c>
      <c r="BF94" s="69" t="inlineStr">
        <is>
          <t>ND</t>
        </is>
      </c>
      <c r="BG94" s="67" t="n">
        <v>371000</v>
      </c>
      <c r="BH94" s="67" t="n">
        <v>370556</v>
      </c>
      <c r="BI94" s="71">
        <f>IFERROR(IF(AND(BG94&lt;&gt;"",BH94&lt;&gt;""),ABS(BG94-BH94)/ABS(BG94)*100,""),"")</f>
        <v/>
      </c>
      <c r="BJ94" s="69" t="inlineStr">
        <is>
          <t>Claude</t>
        </is>
      </c>
      <c r="BK94" s="67" t="n">
        <v>25</v>
      </c>
      <c r="BL94" s="67" t="n">
        <v>24.57</v>
      </c>
      <c r="BM94" s="71">
        <f>IFERROR(IF(AND(BK94&lt;&gt;"",BL94&lt;&gt;""),ABS(BK94-BL94)/ABS(BK94)*100,""),"")</f>
        <v/>
      </c>
      <c r="BN94" s="69" t="inlineStr">
        <is>
          <t>Claude</t>
        </is>
      </c>
      <c r="BO94" s="67" t="n">
        <v>31</v>
      </c>
      <c r="BP94" s="67" t="n">
        <v>31</v>
      </c>
      <c r="BQ94" s="71">
        <f>IFERROR(IF(AND(BO94&lt;&gt;"",BP94&lt;&gt;""),ABS(BO94-BP94)/ABS(BO94)*100,""),"")</f>
        <v/>
      </c>
      <c r="BR94" s="69" t="inlineStr">
        <is>
          <t>Claude</t>
        </is>
      </c>
      <c r="BS94" s="67" t="n">
        <v>46</v>
      </c>
      <c r="BT94" s="67" t="n">
        <v>46</v>
      </c>
      <c r="BU94" s="71">
        <f>IFERROR(IF(AND(BS94&lt;&gt;"",BT94&lt;&gt;""),ABS(BS94-BT94)/ABS(BS94)*100,""),"")</f>
        <v/>
      </c>
      <c r="BV94" s="69" t="inlineStr">
        <is>
          <t>Claude</t>
        </is>
      </c>
      <c r="BW94" s="67" t="n"/>
      <c r="BX94" s="67" t="n">
        <v>89.61</v>
      </c>
      <c r="BY94" s="71">
        <f>IFERROR(IF(AND(BW94&lt;&gt;"",BX94&lt;&gt;""),ABS(BW94-BX94)/ABS(BW94)*100,""),"")</f>
        <v/>
      </c>
      <c r="BZ94" s="69" t="inlineStr">
        <is>
          <t>DeepSeek</t>
        </is>
      </c>
      <c r="CA94" s="67" t="n">
        <v>10.7</v>
      </c>
      <c r="CB94" s="67" t="n">
        <v>10.7</v>
      </c>
      <c r="CC94" s="71">
        <f>IFERROR(IF(AND(CA94&lt;&gt;"",CB94&lt;&gt;""),ABS(CA94-CB94)/ABS(CA94)*100,""),"")</f>
        <v/>
      </c>
      <c r="CD94" s="69" t="inlineStr">
        <is>
          <t>Claude</t>
        </is>
      </c>
      <c r="CE94" s="67" t="n"/>
      <c r="CF94" s="67" t="n"/>
      <c r="CG94" s="71">
        <f>IFERROR(IF(AND(CE94&lt;&gt;"",CF94&lt;&gt;""),ABS(CE94-CF94)/ABS(CE94)*100,""),"")</f>
        <v/>
      </c>
      <c r="CH94" s="69" t="inlineStr">
        <is>
          <t>ND</t>
        </is>
      </c>
      <c r="CI94" s="67" t="n"/>
      <c r="CJ94" s="67" t="n"/>
      <c r="CK94" s="71">
        <f>IFERROR(IF(AND(CI94&lt;&gt;"",CJ94&lt;&gt;""),ABS(CI94-CJ94)/ABS(CI94)*100,""),"")</f>
        <v/>
      </c>
      <c r="CL94" s="69" t="inlineStr">
        <is>
          <t>ND</t>
        </is>
      </c>
      <c r="CM94" s="67" t="n"/>
      <c r="CN94" s="67" t="n"/>
      <c r="CO94" s="71">
        <f>IFERROR(IF(AND(CM94&lt;&gt;"",CN94&lt;&gt;""),ABS(CM94-CN94)/ABS(CM94)*100,""),"")</f>
        <v/>
      </c>
      <c r="CP94" s="69" t="inlineStr">
        <is>
          <t>ND</t>
        </is>
      </c>
      <c r="CQ94" s="67" t="n">
        <v>0.9399999999999999</v>
      </c>
      <c r="CR94" s="67" t="n">
        <v>0.9399999999999999</v>
      </c>
      <c r="CS94" s="71">
        <f>IFERROR(IF(AND(CQ94&lt;&gt;"",CR94&lt;&gt;""),ABS(CQ94-CR94)/ABS(CQ94)*100,""),"")</f>
        <v/>
      </c>
      <c r="CT94" s="69" t="inlineStr">
        <is>
          <t>Claude</t>
        </is>
      </c>
      <c r="CU94" s="67" t="n">
        <v>0</v>
      </c>
      <c r="CV94" s="67" t="n"/>
      <c r="CW94" s="71">
        <f>IFERROR(IF(AND(CU94&lt;&gt;"",CV94&lt;&gt;""),ABS(CU94-CV94)/ABS(CU94)*100,""),"")</f>
        <v/>
      </c>
      <c r="CX94" s="69" t="inlineStr">
        <is>
          <t>Claude</t>
        </is>
      </c>
      <c r="CY94" s="64" t="n">
        <v>10</v>
      </c>
      <c r="CZ94" s="64" t="n">
        <v>8</v>
      </c>
      <c r="DA94" s="71">
        <f>IFERROR(IF(AND(CY94&lt;&gt;"",CZ94&lt;&gt;""),ABS(CY94-CZ94)/ABS(CY94)*100,""),"")</f>
        <v/>
      </c>
      <c r="DB94" s="66" t="inlineStr">
        <is>
          <t>MANUAL FLAG</t>
        </is>
      </c>
      <c r="DC94" s="68" t="n"/>
      <c r="DD94" s="68" t="n">
        <v>5</v>
      </c>
      <c r="DE94" s="71">
        <f>IFERROR(IF(AND(DC94&lt;&gt;"",DD94&lt;&gt;""),ABS(DC94-DD94)/ABS(DC94)*100,""),"")</f>
        <v/>
      </c>
      <c r="DF94" s="69" t="inlineStr">
        <is>
          <t>DeepSeek</t>
        </is>
      </c>
      <c r="DG94" s="68" t="n"/>
      <c r="DH94" s="68" t="n"/>
      <c r="DI94" s="71">
        <f>IFERROR(IF(AND(DG94&lt;&gt;"",DH94&lt;&gt;""),ABS(DG94-DH94)/ABS(DG94)*100,""),"")</f>
        <v/>
      </c>
      <c r="DJ94" s="69" t="inlineStr">
        <is>
          <t>ND</t>
        </is>
      </c>
      <c r="DK94" s="68" t="n"/>
      <c r="DL94" s="68" t="n"/>
      <c r="DM94" s="71">
        <f>IFERROR(IF(AND(DK94&lt;&gt;"",DL94&lt;&gt;""),ABS(DK94-DL94)/ABS(DK94)*100,""),"")</f>
        <v/>
      </c>
      <c r="DN94" s="69" t="inlineStr">
        <is>
          <t>ND</t>
        </is>
      </c>
      <c r="DO94" s="68" t="n"/>
      <c r="DP94" s="68" t="n"/>
      <c r="DQ94" s="71">
        <f>IFERROR(IF(AND(DO94&lt;&gt;"",DP94&lt;&gt;""),ABS(DO94-DP94)/ABS(DO94)*100,""),"")</f>
        <v/>
      </c>
      <c r="DR94" s="69" t="inlineStr">
        <is>
          <t>ND</t>
        </is>
      </c>
      <c r="DS94" s="68" t="inlineStr">
        <is>
          <t>A</t>
        </is>
      </c>
      <c r="DT94" s="68" t="inlineStr">
        <is>
          <t>A</t>
        </is>
      </c>
      <c r="DU94" s="71">
        <f>IFERROR(IF(AND(DS94&lt;&gt;"",DT94&lt;&gt;""),ABS(DS94-DT94)/ABS(DS94)*100,""),"")</f>
        <v/>
      </c>
      <c r="DV94" s="69" t="inlineStr">
        <is>
          <t>Claude</t>
        </is>
      </c>
      <c r="DW94" s="70" t="inlineStr">
        <is>
          <t>Claude only (DeepSeek pending). Source=2021 report, only report covering 2020. Ind.7=%Disabled=ND (same). Ind.8=%Foreign=0.100 (headcount 5/4,980). Ind.9=5.5, same definitional caveat. Ind.18=ND: M=89%/F=90% breakdown. Ind.23=0.94 combined (employees=0.46/contractors=2.61). Ind.24=0, PROXY: uses '중대재해' (Korean statutory serious-accident category, death+serious injury/illness thresholds), NOT an isolated fatality-only figure. Ind.25=10, itemized COVID actions (7 internal categories + 3 community actions, 2020 only). Ind.30='A', completes the 2017-2020 KCGS streak. || DEEPSEEK RECONCILIATION - MANUAL FLAGS: Ind.25 (COVID Response): Claude=10, DeepSeek=8, Diff=20.0%</t>
        </is>
      </c>
    </row>
    <row r="95" ht="15.75" customHeight="1" s="43">
      <c r="A95" s="62" t="n"/>
      <c r="B95" s="62" t="n"/>
      <c r="C95" s="62" t="inlineStr">
        <is>
          <t>Industrials</t>
        </is>
      </c>
      <c r="D95" s="62" t="inlineStr">
        <is>
          <t>2021</t>
        </is>
      </c>
      <c r="E95" s="63" t="inlineStr">
        <is>
          <t>hanwha_2025.pdf (only report covering 2021, no overlap with 2021 report)</t>
        </is>
      </c>
      <c r="F95" s="62" t="n"/>
      <c r="G95" s="64" t="n">
        <v>26.3</v>
      </c>
      <c r="H95" s="64" t="n">
        <v>22.94</v>
      </c>
      <c r="I95" s="65">
        <f>IFERROR(IF(AND(G95&lt;&gt;"",H95&lt;&gt;""),ABS(G95-H95)/ABS(G95)*100,""),"")</f>
        <v/>
      </c>
      <c r="J95" s="66" t="inlineStr">
        <is>
          <t>MANUAL FLAG</t>
        </is>
      </c>
      <c r="K95" s="67" t="n">
        <v>7.83</v>
      </c>
      <c r="L95" s="67" t="n"/>
      <c r="M95" s="65">
        <f>IFERROR(IF(AND(K95&lt;&gt;"",L95&lt;&gt;""),ABS(K95-L95)/ABS(K95)*100,""),"")</f>
        <v/>
      </c>
      <c r="N95" s="62" t="inlineStr">
        <is>
          <t>Claude</t>
        </is>
      </c>
      <c r="O95" s="67" t="n">
        <v>18.64</v>
      </c>
      <c r="P95" s="67" t="n">
        <v>18.64</v>
      </c>
      <c r="Q95" s="65">
        <f>IFERROR(IF(AND(O95&lt;&gt;"",P95&lt;&gt;""),ABS(O95-P95)/ABS(O95)*100,""),"")</f>
        <v/>
      </c>
      <c r="R95" s="62" t="inlineStr">
        <is>
          <t>Claude</t>
        </is>
      </c>
      <c r="S95" s="64" t="n">
        <v>10.96</v>
      </c>
      <c r="T95" s="64" t="n">
        <v>9.56</v>
      </c>
      <c r="U95" s="65">
        <f>IFERROR(IF(AND(S95&lt;&gt;"",T95&lt;&gt;""),ABS(S95-T95)/ABS(S95)*100,""),"")</f>
        <v/>
      </c>
      <c r="V95" s="66" t="inlineStr">
        <is>
          <t>MANUAL FLAG</t>
        </is>
      </c>
      <c r="W95" s="67" t="n">
        <v>39.21</v>
      </c>
      <c r="X95" s="67" t="n"/>
      <c r="Y95" s="65">
        <f>IFERROR(IF(AND(W95&lt;&gt;"",X95&lt;&gt;""),ABS(W95-X95)/ABS(W95)*100,""),"")</f>
        <v/>
      </c>
      <c r="Z95" s="62" t="inlineStr">
        <is>
          <t>Claude</t>
        </is>
      </c>
      <c r="AA95" s="67" t="n">
        <v>5.79</v>
      </c>
      <c r="AB95" s="67" t="n">
        <v>5.79</v>
      </c>
      <c r="AC95" s="65">
        <f>IFERROR(IF(AND(AA95&lt;&gt;"",AB95&lt;&gt;""),ABS(AA95-AB95)/ABS(AA95)*100,""),"")</f>
        <v/>
      </c>
      <c r="AD95" s="62" t="inlineStr">
        <is>
          <t>Claude</t>
        </is>
      </c>
      <c r="AE95" s="67" t="n"/>
      <c r="AF95" s="67" t="n"/>
      <c r="AG95" s="65">
        <f>IFERROR(IF(AND(AE95&lt;&gt;"",AF95&lt;&gt;""),ABS(AE95-AF95)/ABS(AE95)*100,""),"")</f>
        <v/>
      </c>
      <c r="AH95" s="62" t="inlineStr">
        <is>
          <t>ND</t>
        </is>
      </c>
      <c r="AI95" s="67" t="n"/>
      <c r="AJ95" s="67" t="n"/>
      <c r="AK95" s="65">
        <f>IFERROR(IF(AND(AI95&lt;&gt;"",AJ95&lt;&gt;""),ABS(AI95-AJ95)/ABS(AI95)*100,""),"")</f>
        <v/>
      </c>
      <c r="AL95" s="62" t="inlineStr">
        <is>
          <t>ND</t>
        </is>
      </c>
      <c r="AM95" s="67" t="n">
        <v>7.59</v>
      </c>
      <c r="AN95" s="67" t="n"/>
      <c r="AO95" s="65">
        <f>IFERROR(IF(AND(AM95&lt;&gt;"",AN95&lt;&gt;""),ABS(AM95-AN95)/ABS(AM95)*100,""),"")</f>
        <v/>
      </c>
      <c r="AP95" s="62" t="inlineStr">
        <is>
          <t>Claude</t>
        </is>
      </c>
      <c r="AQ95" s="67" t="n">
        <v>0</v>
      </c>
      <c r="AR95" s="67" t="n"/>
      <c r="AS95" s="65">
        <f>IFERROR(IF(AND(AQ95&lt;&gt;"",AR95&lt;&gt;""),ABS(AQ95-AR95)/ABS(AQ95)*100,""),"")</f>
        <v/>
      </c>
      <c r="AT95" s="62" t="inlineStr">
        <is>
          <t>Claude</t>
        </is>
      </c>
      <c r="AU95" s="67" t="n">
        <v>11.1</v>
      </c>
      <c r="AV95" s="67" t="n"/>
      <c r="AW95" s="65">
        <f>IFERROR(IF(AND(AU95&lt;&gt;"",AV95&lt;&gt;""),ABS(AU95-AV95)/ABS(AU95)*100,""),"")</f>
        <v/>
      </c>
      <c r="AX95" s="62" t="inlineStr">
        <is>
          <t>Claude</t>
        </is>
      </c>
      <c r="AY95" s="64" t="n">
        <v>76000000</v>
      </c>
      <c r="AZ95" s="64" t="n">
        <v>110371321</v>
      </c>
      <c r="BA95" s="65">
        <f>IFERROR(IF(AND(AY95&lt;&gt;"",AZ95&lt;&gt;""),ABS(AY95-AZ95)/ABS(AY95)*100,""),"")</f>
        <v/>
      </c>
      <c r="BB95" s="66" t="inlineStr">
        <is>
          <t>MANUAL FLAG</t>
        </is>
      </c>
      <c r="BC95" s="67" t="n">
        <v>45.57</v>
      </c>
      <c r="BD95" s="67" t="n"/>
      <c r="BE95" s="65">
        <f>IFERROR(IF(AND(BC95&lt;&gt;"",BD95&lt;&gt;""),ABS(BC95-BD95)/ABS(BC95)*100,""),"")</f>
        <v/>
      </c>
      <c r="BF95" s="62" t="inlineStr">
        <is>
          <t>Claude</t>
        </is>
      </c>
      <c r="BG95" s="67" t="n">
        <v>96364</v>
      </c>
      <c r="BH95" s="67" t="n"/>
      <c r="BI95" s="65">
        <f>IFERROR(IF(AND(BG95&lt;&gt;"",BH95&lt;&gt;""),ABS(BG95-BH95)/ABS(BG95)*100,""),"")</f>
        <v/>
      </c>
      <c r="BJ95" s="62" t="inlineStr">
        <is>
          <t>Claude</t>
        </is>
      </c>
      <c r="BK95" s="67" t="n">
        <v>20.62</v>
      </c>
      <c r="BL95" s="67" t="n"/>
      <c r="BM95" s="65">
        <f>IFERROR(IF(AND(BK95&lt;&gt;"",BL95&lt;&gt;""),ABS(BK95-BL95)/ABS(BK95)*100,""),"")</f>
        <v/>
      </c>
      <c r="BN95" s="62" t="inlineStr">
        <is>
          <t>Claude</t>
        </is>
      </c>
      <c r="BO95" s="67" t="n">
        <v>14</v>
      </c>
      <c r="BP95" s="67" t="n"/>
      <c r="BQ95" s="65">
        <f>IFERROR(IF(AND(BO95&lt;&gt;"",BP95&lt;&gt;""),ABS(BO95-BP95)/ABS(BO95)*100,""),"")</f>
        <v/>
      </c>
      <c r="BR95" s="62" t="inlineStr">
        <is>
          <t>Claude</t>
        </is>
      </c>
      <c r="BS95" s="67" t="n">
        <v>16</v>
      </c>
      <c r="BT95" s="67" t="n"/>
      <c r="BU95" s="65">
        <f>IFERROR(IF(AND(BS95&lt;&gt;"",BT95&lt;&gt;""),ABS(BS95-BT95)/ABS(BS95)*100,""),"")</f>
        <v/>
      </c>
      <c r="BV95" s="62" t="inlineStr">
        <is>
          <t>Claude</t>
        </is>
      </c>
      <c r="BW95" s="67" t="n">
        <v>87.5</v>
      </c>
      <c r="BX95" s="67" t="n"/>
      <c r="BY95" s="65">
        <f>IFERROR(IF(AND(BW95&lt;&gt;"",BX95&lt;&gt;""),ABS(BW95-BX95)/ABS(BW95)*100,""),"")</f>
        <v/>
      </c>
      <c r="BZ95" s="62" t="inlineStr">
        <is>
          <t>Claude</t>
        </is>
      </c>
      <c r="CA95" s="67" t="n">
        <v>11.2</v>
      </c>
      <c r="CB95" s="67" t="n">
        <v>11.2</v>
      </c>
      <c r="CC95" s="65">
        <f>IFERROR(IF(AND(CA95&lt;&gt;"",CB95&lt;&gt;""),ABS(CA95-CB95)/ABS(CA95)*100,""),"")</f>
        <v/>
      </c>
      <c r="CD95" s="62" t="inlineStr">
        <is>
          <t>Claude</t>
        </is>
      </c>
      <c r="CE95" s="64" t="n">
        <v>10.14</v>
      </c>
      <c r="CF95" s="64" t="n">
        <v>6.52</v>
      </c>
      <c r="CG95" s="65">
        <f>IFERROR(IF(AND(CE95&lt;&gt;"",CF95&lt;&gt;""),ABS(CE95-CF95)/ABS(CE95)*100,""),"")</f>
        <v/>
      </c>
      <c r="CH95" s="66" t="inlineStr">
        <is>
          <t>MANUAL FLAG</t>
        </is>
      </c>
      <c r="CI95" s="64" t="n">
        <v>0.35</v>
      </c>
      <c r="CJ95" s="64" t="n">
        <v>0.23</v>
      </c>
      <c r="CK95" s="65">
        <f>IFERROR(IF(AND(CI95&lt;&gt;"",CJ95&lt;&gt;""),ABS(CI95-CJ95)/ABS(CI95)*100,""),"")</f>
        <v/>
      </c>
      <c r="CL95" s="66" t="inlineStr">
        <is>
          <t>MANUAL FLAG</t>
        </is>
      </c>
      <c r="CM95" s="67" t="n">
        <v>100</v>
      </c>
      <c r="CN95" s="67" t="n">
        <v>100</v>
      </c>
      <c r="CO95" s="65">
        <f>IFERROR(IF(AND(CM95&lt;&gt;"",CN95&lt;&gt;""),ABS(CM95-CN95)/ABS(CM95)*100,""),"")</f>
        <v/>
      </c>
      <c r="CP95" s="62" t="inlineStr">
        <is>
          <t>Claude</t>
        </is>
      </c>
      <c r="CQ95" s="67" t="n">
        <v>0</v>
      </c>
      <c r="CR95" s="67" t="n"/>
      <c r="CS95" s="65">
        <f>IFERROR(IF(AND(CQ95&lt;&gt;"",CR95&lt;&gt;""),ABS(CQ95-CR95)/ABS(CQ95)*100,""),"")</f>
        <v/>
      </c>
      <c r="CT95" s="62" t="inlineStr">
        <is>
          <t>Claude</t>
        </is>
      </c>
      <c r="CU95" s="67" t="n">
        <v>0</v>
      </c>
      <c r="CV95" s="67" t="n">
        <v>0</v>
      </c>
      <c r="CW95" s="65">
        <f>IFERROR(IF(AND(CU95&lt;&gt;"",CV95&lt;&gt;""),ABS(CU95-CV95)/ABS(CU95)*100,""),"")</f>
        <v/>
      </c>
      <c r="CX95" s="62" t="inlineStr">
        <is>
          <t>Claude</t>
        </is>
      </c>
      <c r="CY95" s="68" t="n"/>
      <c r="CZ95" s="68" t="n"/>
      <c r="DA95" s="65">
        <f>IFERROR(IF(AND(CY95&lt;&gt;"",CZ95&lt;&gt;""),ABS(CY95-CZ95)/ABS(CY95)*100,""),"")</f>
        <v/>
      </c>
      <c r="DB95" s="62" t="inlineStr">
        <is>
          <t>ND</t>
        </is>
      </c>
      <c r="DC95" s="68" t="n"/>
      <c r="DD95" s="68" t="n"/>
      <c r="DE95" s="65">
        <f>IFERROR(IF(AND(DC95&lt;&gt;"",DD95&lt;&gt;""),ABS(DC95-DD95)/ABS(DC95)*100,""),"")</f>
        <v/>
      </c>
      <c r="DF95" s="62" t="inlineStr">
        <is>
          <t>ND</t>
        </is>
      </c>
      <c r="DG95" s="68" t="n"/>
      <c r="DH95" s="68" t="n"/>
      <c r="DI95" s="65">
        <f>IFERROR(IF(AND(DG95&lt;&gt;"",DH95&lt;&gt;""),ABS(DG95-DH95)/ABS(DG95)*100,""),"")</f>
        <v/>
      </c>
      <c r="DJ95" s="62" t="inlineStr">
        <is>
          <t>ND</t>
        </is>
      </c>
      <c r="DK95" s="68" t="n"/>
      <c r="DL95" s="68" t="n"/>
      <c r="DM95" s="65">
        <f>IFERROR(IF(AND(DK95&lt;&gt;"",DL95&lt;&gt;""),ABS(DK95-DL95)/ABS(DK95)*100,""),"")</f>
        <v/>
      </c>
      <c r="DN95" s="62" t="inlineStr">
        <is>
          <t>ND</t>
        </is>
      </c>
      <c r="DO95" s="68" t="n"/>
      <c r="DP95" s="68" t="n"/>
      <c r="DQ95" s="65">
        <f>IFERROR(IF(AND(DO95&lt;&gt;"",DP95&lt;&gt;""),ABS(DO95-DP95)/ABS(DO95)*100,""),"")</f>
        <v/>
      </c>
      <c r="DR95" s="62" t="inlineStr">
        <is>
          <t>ND</t>
        </is>
      </c>
      <c r="DS95" s="68" t="n"/>
      <c r="DT95" s="68" t="n"/>
      <c r="DU95" s="65">
        <f>IFERROR(IF(AND(DS95&lt;&gt;"",DT95&lt;&gt;""),ABS(DS95-DT95)/ABS(DS95)*100,""),"")</f>
        <v/>
      </c>
      <c r="DV95" s="62" t="inlineStr">
        <is>
          <t>ND</t>
        </is>
      </c>
      <c r="DW95" s="63" t="inlineStr">
        <is>
          <t>Claude only (DeepSeek pending). Source=2025 report, only report covering 2021 (no overlap with 2021 report - clean transition, no cross-edition conflicts to resolve for this company). **FLAG: Ind.1 (Contract Workers %)=26.3, a MASSIVE jump from 2020's 4% - the 2025 report explicitly states historical figures were RESTATED to exclude the divested Hanwha Momentum division and transferred Plant/Wind units, so this is very likely a genuine portfolio/scope change, not an error - but pre/post-2021 Ind.1 (and likely Ind.3, which shows a similar large jump) are NOT directly comparable.** Ind.2/3 NOW COMPUTABLE for the first time (were ND in 2021 report - genuine improvement, calculated from 정규직/비정규직-specific gender counts). Ind.7/8=%Disabled/%Foreign=ND (headcount 61 disabled, 5 foreign; no explicit total workforce number given in this batch's notes to compute %). Ind.9=7.59 - NEW, NARROWER 'middle management' tier ('중간관리직') than the 2021 report's proxy - see 2018 note on definitional discontinuity; a broader alternative metric closer to the old definition also exists in source (~3.2% for 2021) but wasn't used as primary. Ind.10=0.0, ambiguous dash interpreted as zero per source's own caveat. Ind.18=87.50, Direct SINGLE VALUE this time (the 2021 report only had gendered breakdowns) - good, resolves the earlier structural mismatch. Ind.19=11.2 (see 2022 note for the following year's large drop). Ind.22=100, SCOPE CAVEAT: covers only the union-ELIGIBLE sub-population (~350-370 people, Construction division has no union at all), NOT the full ~3,500+ person domestic workforce. Ind.23=0.00, single value this time (vs 2021 report's 3-way combined/employee/contractor split) - unit (per 200,000 hrs) presumed consistent with 2021 report though not explicitly re-confirmed. Ind.30=na: the 2017-2020 'A' KCGS streak does NOT continue - 2025 report explicitly notes older 'A' mentions exist but aren't repeated on the current awards page; may reflect a lapsed rating rather than confirmed absence. || DEEPSEEK RECONCILIATION - MANUAL FLAGS: Ind.1 (Contract Workers%): Claude=26.3, DeepSeek=22.94, Diff=12.8%; Ind.4 (New Hire Rate): Claude=10.96, DeepSeek=9.56, Diff=12.8%; Ind.12 (Annual Pay): Claude=76000000, DeepSeek=110371321, Diff=45.2%; Ind.20 (Voluntary Turnover): Claude=10.14, DeepSeek=6.52, Diff=35.7%; Ind.21 (Involuntary Turnover): Claude=0.35, DeepSeek=0.23, Diff=34.3%</t>
        </is>
      </c>
    </row>
    <row r="96" ht="15.75" customHeight="1" s="43">
      <c r="A96" s="69" t="n"/>
      <c r="B96" s="69" t="n"/>
      <c r="C96" s="69" t="inlineStr">
        <is>
          <t>Industrials</t>
        </is>
      </c>
      <c r="D96" s="69" t="inlineStr">
        <is>
          <t>2022</t>
        </is>
      </c>
      <c r="E96" s="70" t="inlineStr">
        <is>
          <t>hanwha_2025.pdf (only report covering 2022)</t>
        </is>
      </c>
      <c r="F96" s="69" t="n"/>
      <c r="G96" s="64" t="n">
        <v>27.7</v>
      </c>
      <c r="H96" s="64" t="n">
        <v>23.74</v>
      </c>
      <c r="I96" s="71">
        <f>IFERROR(IF(AND(G96&lt;&gt;"",H96&lt;&gt;""),ABS(G96-H96)/ABS(G96)*100,""),"")</f>
        <v/>
      </c>
      <c r="J96" s="66" t="inlineStr">
        <is>
          <t>MANUAL FLAG</t>
        </is>
      </c>
      <c r="K96" s="67" t="n">
        <v>9.59</v>
      </c>
      <c r="L96" s="67" t="n"/>
      <c r="M96" s="71">
        <f>IFERROR(IF(AND(K96&lt;&gt;"",L96&lt;&gt;""),ABS(K96-L96)/ABS(K96)*100,""),"")</f>
        <v/>
      </c>
      <c r="N96" s="69" t="inlineStr">
        <is>
          <t>Claude</t>
        </is>
      </c>
      <c r="O96" s="67" t="n">
        <v>17.27</v>
      </c>
      <c r="P96" s="67" t="n">
        <v>17.27</v>
      </c>
      <c r="Q96" s="71">
        <f>IFERROR(IF(AND(O96&lt;&gt;"",P96&lt;&gt;""),ABS(O96-P96)/ABS(O96)*100,""),"")</f>
        <v/>
      </c>
      <c r="R96" s="69" t="inlineStr">
        <is>
          <t>Claude</t>
        </is>
      </c>
      <c r="S96" s="64" t="n">
        <v>16.25</v>
      </c>
      <c r="T96" s="64" t="n">
        <v>13.94</v>
      </c>
      <c r="U96" s="71">
        <f>IFERROR(IF(AND(S96&lt;&gt;"",T96&lt;&gt;""),ABS(S96-T96)/ABS(S96)*100,""),"")</f>
        <v/>
      </c>
      <c r="V96" s="66" t="inlineStr">
        <is>
          <t>MANUAL FLAG</t>
        </is>
      </c>
      <c r="W96" s="67" t="n">
        <v>34.33</v>
      </c>
      <c r="X96" s="67" t="n"/>
      <c r="Y96" s="71">
        <f>IFERROR(IF(AND(W96&lt;&gt;"",X96&lt;&gt;""),ABS(W96-X96)/ABS(W96)*100,""),"")</f>
        <v/>
      </c>
      <c r="Z96" s="69" t="inlineStr">
        <is>
          <t>Claude</t>
        </is>
      </c>
      <c r="AA96" s="67" t="n">
        <v>9.85</v>
      </c>
      <c r="AB96" s="67" t="n">
        <v>9.85</v>
      </c>
      <c r="AC96" s="71">
        <f>IFERROR(IF(AND(AA96&lt;&gt;"",AB96&lt;&gt;""),ABS(AA96-AB96)/ABS(AA96)*100,""),"")</f>
        <v/>
      </c>
      <c r="AD96" s="69" t="inlineStr">
        <is>
          <t>Claude</t>
        </is>
      </c>
      <c r="AE96" s="67" t="n"/>
      <c r="AF96" s="67" t="n"/>
      <c r="AG96" s="71">
        <f>IFERROR(IF(AND(AE96&lt;&gt;"",AF96&lt;&gt;""),ABS(AE96-AF96)/ABS(AE96)*100,""),"")</f>
        <v/>
      </c>
      <c r="AH96" s="69" t="inlineStr">
        <is>
          <t>ND</t>
        </is>
      </c>
      <c r="AI96" s="67" t="n"/>
      <c r="AJ96" s="67" t="n"/>
      <c r="AK96" s="71">
        <f>IFERROR(IF(AND(AI96&lt;&gt;"",AJ96&lt;&gt;""),ABS(AI96-AJ96)/ABS(AI96)*100,""),"")</f>
        <v/>
      </c>
      <c r="AL96" s="69" t="inlineStr">
        <is>
          <t>ND</t>
        </is>
      </c>
      <c r="AM96" s="67" t="n">
        <v>7.97</v>
      </c>
      <c r="AN96" s="67" t="n"/>
      <c r="AO96" s="71">
        <f>IFERROR(IF(AND(AM96&lt;&gt;"",AN96&lt;&gt;""),ABS(AM96-AN96)/ABS(AM96)*100,""),"")</f>
        <v/>
      </c>
      <c r="AP96" s="69" t="inlineStr">
        <is>
          <t>Claude</t>
        </is>
      </c>
      <c r="AQ96" s="67" t="n">
        <v>2.3</v>
      </c>
      <c r="AR96" s="67" t="n"/>
      <c r="AS96" s="71">
        <f>IFERROR(IF(AND(AQ96&lt;&gt;"",AR96&lt;&gt;""),ABS(AQ96-AR96)/ABS(AQ96)*100,""),"")</f>
        <v/>
      </c>
      <c r="AT96" s="69" t="inlineStr">
        <is>
          <t>Claude</t>
        </is>
      </c>
      <c r="AU96" s="67" t="n">
        <v>9.1</v>
      </c>
      <c r="AV96" s="67" t="n"/>
      <c r="AW96" s="71">
        <f>IFERROR(IF(AND(AU96&lt;&gt;"",AV96&lt;&gt;""),ABS(AU96-AV96)/ABS(AU96)*100,""),"")</f>
        <v/>
      </c>
      <c r="AX96" s="69" t="inlineStr">
        <is>
          <t>Claude</t>
        </is>
      </c>
      <c r="AY96" s="64" t="n">
        <v>85000000</v>
      </c>
      <c r="AZ96" s="64" t="n">
        <v>90334305</v>
      </c>
      <c r="BA96" s="71">
        <f>IFERROR(IF(AND(AY96&lt;&gt;"",AZ96&lt;&gt;""),ABS(AY96-AZ96)/ABS(AY96)*100,""),"")</f>
        <v/>
      </c>
      <c r="BB96" s="66" t="inlineStr">
        <is>
          <t>MANUAL FLAG</t>
        </is>
      </c>
      <c r="BC96" s="67" t="n">
        <v>28.17</v>
      </c>
      <c r="BD96" s="67" t="n"/>
      <c r="BE96" s="71">
        <f>IFERROR(IF(AND(BC96&lt;&gt;"",BD96&lt;&gt;""),ABS(BC96-BD96)/ABS(BC96)*100,""),"")</f>
        <v/>
      </c>
      <c r="BF96" s="69" t="inlineStr">
        <is>
          <t>Claude</t>
        </is>
      </c>
      <c r="BG96" s="67" t="n">
        <v>345379</v>
      </c>
      <c r="BH96" s="67" t="n"/>
      <c r="BI96" s="71">
        <f>IFERROR(IF(AND(BG96&lt;&gt;"",BH96&lt;&gt;""),ABS(BG96-BH96)/ABS(BG96)*100,""),"")</f>
        <v/>
      </c>
      <c r="BJ96" s="69" t="inlineStr">
        <is>
          <t>Claude</t>
        </is>
      </c>
      <c r="BK96" s="64" t="n">
        <v>18.03</v>
      </c>
      <c r="BL96" s="64" t="n">
        <v>2</v>
      </c>
      <c r="BM96" s="71">
        <f>IFERROR(IF(AND(BK96&lt;&gt;"",BL96&lt;&gt;""),ABS(BK96-BL96)/ABS(BK96)*100,""),"")</f>
        <v/>
      </c>
      <c r="BN96" s="66" t="inlineStr">
        <is>
          <t>MANUAL FLAG</t>
        </is>
      </c>
      <c r="BO96" s="67" t="n">
        <v>18</v>
      </c>
      <c r="BP96" s="67" t="n"/>
      <c r="BQ96" s="71">
        <f>IFERROR(IF(AND(BO96&lt;&gt;"",BP96&lt;&gt;""),ABS(BO96-BP96)/ABS(BO96)*100,""),"")</f>
        <v/>
      </c>
      <c r="BR96" s="69" t="inlineStr">
        <is>
          <t>Claude</t>
        </is>
      </c>
      <c r="BS96" s="67" t="n">
        <v>14</v>
      </c>
      <c r="BT96" s="67" t="n"/>
      <c r="BU96" s="71">
        <f>IFERROR(IF(AND(BS96&lt;&gt;"",BT96&lt;&gt;""),ABS(BS96-BT96)/ABS(BS96)*100,""),"")</f>
        <v/>
      </c>
      <c r="BV96" s="69" t="inlineStr">
        <is>
          <t>Claude</t>
        </is>
      </c>
      <c r="BW96" s="67" t="n">
        <v>82.34999999999999</v>
      </c>
      <c r="BX96" s="67" t="n"/>
      <c r="BY96" s="71">
        <f>IFERROR(IF(AND(BW96&lt;&gt;"",BX96&lt;&gt;""),ABS(BW96-BX96)/ABS(BW96)*100,""),"")</f>
        <v/>
      </c>
      <c r="BZ96" s="69" t="inlineStr">
        <is>
          <t>Claude</t>
        </is>
      </c>
      <c r="CA96" s="67" t="n">
        <v>8</v>
      </c>
      <c r="CB96" s="67" t="n">
        <v>8</v>
      </c>
      <c r="CC96" s="71">
        <f>IFERROR(IF(AND(CA96&lt;&gt;"",CB96&lt;&gt;""),ABS(CA96-CB96)/ABS(CA96)*100,""),"")</f>
        <v/>
      </c>
      <c r="CD96" s="69" t="inlineStr">
        <is>
          <t>Claude</t>
        </is>
      </c>
      <c r="CE96" s="64" t="n">
        <v>6.77</v>
      </c>
      <c r="CF96" s="64" t="n">
        <v>4.2</v>
      </c>
      <c r="CG96" s="71">
        <f>IFERROR(IF(AND(CE96&lt;&gt;"",CF96&lt;&gt;""),ABS(CE96-CF96)/ABS(CE96)*100,""),"")</f>
        <v/>
      </c>
      <c r="CH96" s="66" t="inlineStr">
        <is>
          <t>MANUAL FLAG</t>
        </is>
      </c>
      <c r="CI96" s="64" t="n">
        <v>0.57</v>
      </c>
      <c r="CJ96" s="64" t="n">
        <v>0.33</v>
      </c>
      <c r="CK96" s="71">
        <f>IFERROR(IF(AND(CI96&lt;&gt;"",CJ96&lt;&gt;""),ABS(CI96-CJ96)/ABS(CI96)*100,""),"")</f>
        <v/>
      </c>
      <c r="CL96" s="66" t="inlineStr">
        <is>
          <t>MANUAL FLAG</t>
        </is>
      </c>
      <c r="CM96" s="67" t="n">
        <v>94</v>
      </c>
      <c r="CN96" s="67" t="n">
        <v>94</v>
      </c>
      <c r="CO96" s="71">
        <f>IFERROR(IF(AND(CM96&lt;&gt;"",CN96&lt;&gt;""),ABS(CM96-CN96)/ABS(CM96)*100,""),"")</f>
        <v/>
      </c>
      <c r="CP96" s="69" t="inlineStr">
        <is>
          <t>Claude</t>
        </is>
      </c>
      <c r="CQ96" s="64" t="n">
        <v>0.02</v>
      </c>
      <c r="CR96" s="64" t="n">
        <v>1.17</v>
      </c>
      <c r="CS96" s="71">
        <f>IFERROR(IF(AND(CQ96&lt;&gt;"",CR96&lt;&gt;""),ABS(CQ96-CR96)/ABS(CQ96)*100,""),"")</f>
        <v/>
      </c>
      <c r="CT96" s="66" t="inlineStr">
        <is>
          <t>MANUAL FLAG</t>
        </is>
      </c>
      <c r="CU96" s="67" t="n">
        <v>0</v>
      </c>
      <c r="CV96" s="67" t="n">
        <v>0</v>
      </c>
      <c r="CW96" s="71">
        <f>IFERROR(IF(AND(CU96&lt;&gt;"",CV96&lt;&gt;""),ABS(CU96-CV96)/ABS(CU96)*100,""),"")</f>
        <v/>
      </c>
      <c r="CX96" s="69" t="inlineStr">
        <is>
          <t>Claude</t>
        </is>
      </c>
      <c r="CY96" s="68" t="n"/>
      <c r="CZ96" s="68" t="n"/>
      <c r="DA96" s="71">
        <f>IFERROR(IF(AND(CY96&lt;&gt;"",CZ96&lt;&gt;""),ABS(CY96-CZ96)/ABS(CY96)*100,""),"")</f>
        <v/>
      </c>
      <c r="DB96" s="69" t="inlineStr">
        <is>
          <t>ND</t>
        </is>
      </c>
      <c r="DC96" s="68" t="n"/>
      <c r="DD96" s="68" t="n"/>
      <c r="DE96" s="71">
        <f>IFERROR(IF(AND(DC96&lt;&gt;"",DD96&lt;&gt;""),ABS(DC96-DD96)/ABS(DC96)*100,""),"")</f>
        <v/>
      </c>
      <c r="DF96" s="69" t="inlineStr">
        <is>
          <t>ND</t>
        </is>
      </c>
      <c r="DG96" s="68" t="n"/>
      <c r="DH96" s="68" t="n"/>
      <c r="DI96" s="71">
        <f>IFERROR(IF(AND(DG96&lt;&gt;"",DH96&lt;&gt;""),ABS(DG96-DH96)/ABS(DG96)*100,""),"")</f>
        <v/>
      </c>
      <c r="DJ96" s="69" t="inlineStr">
        <is>
          <t>ND</t>
        </is>
      </c>
      <c r="DK96" s="68" t="n"/>
      <c r="DL96" s="68" t="n"/>
      <c r="DM96" s="71">
        <f>IFERROR(IF(AND(DK96&lt;&gt;"",DL96&lt;&gt;""),ABS(DK96-DL96)/ABS(DK96)*100,""),"")</f>
        <v/>
      </c>
      <c r="DN96" s="69" t="inlineStr">
        <is>
          <t>ND</t>
        </is>
      </c>
      <c r="DO96" s="68" t="n"/>
      <c r="DP96" s="68" t="n"/>
      <c r="DQ96" s="71">
        <f>IFERROR(IF(AND(DO96&lt;&gt;"",DP96&lt;&gt;""),ABS(DO96-DP96)/ABS(DO96)*100,""),"")</f>
        <v/>
      </c>
      <c r="DR96" s="69" t="inlineStr">
        <is>
          <t>ND</t>
        </is>
      </c>
      <c r="DS96" s="68" t="n"/>
      <c r="DT96" s="68" t="n"/>
      <c r="DU96" s="71">
        <f>IFERROR(IF(AND(DS96&lt;&gt;"",DT96&lt;&gt;""),ABS(DS96-DT96)/ABS(DS96)*100,""),"")</f>
        <v/>
      </c>
      <c r="DV96" s="69" t="inlineStr">
        <is>
          <t>ND</t>
        </is>
      </c>
      <c r="DW96" s="70" t="inlineStr">
        <is>
          <t>Claude only (DeepSeek pending). Source=2025 report, only report covering 2022. Ind.7/8=ND (headcount 72 disabled, 9 foreign). Ind.9=7.97 (narrower tier, see 2021 note). Ind.14=345,379 - notable recovery from 2021's 96,364 (both post-COVID-disruption years per 2021 report's own note about 2020's sharp decline). Ind.15=18.03, PROXY: source's own footnote flags a scope mismatch (numerator excludes Strategy division, denominator likely includes it). **Ind.19=8.0, a large drop from 2021's 11.2 - source attributes this explicitly to Global-division restructuring, not a data quality issue.** || DEEPSEEK RECONCILIATION - MANUAL FLAGS: Ind.1 (Contract Workers%): Claude=27.7, DeepSeek=23.74, Diff=14.3%; Ind.4 (New Hire Rate): Claude=16.25, DeepSeek=13.94, Diff=14.2%; Ind.12 (Annual Pay): Claude=85000000, DeepSeek=90334305, Diff=6.3%; Ind.15 (Training Hours/Employee): Claude=18.03, DeepSeek=2.0, Diff=88.9%; Ind.20 (Voluntary Turnover): Claude=6.77, DeepSeek=4.2, Diff=38.0%; Ind.21 (Involuntary Turnover): Claude=0.57, DeepSeek=0.33, Diff=42.1%; Ind.23 (LTIFR): Claude=0.02, DeepSeek=1.17, Diff=5750.0% || NOTE: Ind.15 (Training Hours) discrepancy explained - DeepSeek's own notes say its 2022-2024 values represent SAFETY-TRAINING hours specifically (partial scope), not all training types like Claude's figure - a genuine scope difference, not an error. Ind.23 (LTIFR) shows an enormous gap (0.02 vs 1.17) despite both models citing the same 'per 200,000 hours' unit - this is unusually large even accounting for unit agreement; recommend a source-PDF check since one of these figures is likely a transcription error.</t>
        </is>
      </c>
    </row>
    <row r="97" ht="15.75" customHeight="1" s="43">
      <c r="A97" s="62" t="n"/>
      <c r="B97" s="62" t="n"/>
      <c r="C97" s="62" t="inlineStr">
        <is>
          <t>Industrials</t>
        </is>
      </c>
      <c r="D97" s="62" t="inlineStr">
        <is>
          <t>2023</t>
        </is>
      </c>
      <c r="E97" s="63" t="inlineStr">
        <is>
          <t>hanwha_2025.pdf (only report covering 2023)</t>
        </is>
      </c>
      <c r="F97" s="62" t="n"/>
      <c r="G97" s="64" t="n">
        <v>31</v>
      </c>
      <c r="H97" s="64" t="n">
        <v>26.82</v>
      </c>
      <c r="I97" s="65">
        <f>IFERROR(IF(AND(G97&lt;&gt;"",H97&lt;&gt;""),ABS(G97-H97)/ABS(G97)*100,""),"")</f>
        <v/>
      </c>
      <c r="J97" s="66" t="inlineStr">
        <is>
          <t>MANUAL FLAG</t>
        </is>
      </c>
      <c r="K97" s="67" t="n">
        <v>9.970000000000001</v>
      </c>
      <c r="L97" s="67" t="n"/>
      <c r="M97" s="65">
        <f>IFERROR(IF(AND(K97&lt;&gt;"",L97&lt;&gt;""),ABS(K97-L97)/ABS(K97)*100,""),"")</f>
        <v/>
      </c>
      <c r="N97" s="62" t="inlineStr">
        <is>
          <t>Claude</t>
        </is>
      </c>
      <c r="O97" s="67" t="n">
        <v>16.4</v>
      </c>
      <c r="P97" s="67" t="n">
        <v>16.4</v>
      </c>
      <c r="Q97" s="65">
        <f>IFERROR(IF(AND(O97&lt;&gt;"",P97&lt;&gt;""),ABS(O97-P97)/ABS(O97)*100,""),"")</f>
        <v/>
      </c>
      <c r="R97" s="62" t="inlineStr">
        <is>
          <t>Claude</t>
        </is>
      </c>
      <c r="S97" s="64" t="n">
        <v>10.95</v>
      </c>
      <c r="T97" s="64" t="n">
        <v>9.470000000000001</v>
      </c>
      <c r="U97" s="65">
        <f>IFERROR(IF(AND(S97&lt;&gt;"",T97&lt;&gt;""),ABS(S97-T97)/ABS(S97)*100,""),"")</f>
        <v/>
      </c>
      <c r="V97" s="66" t="inlineStr">
        <is>
          <t>MANUAL FLAG</t>
        </is>
      </c>
      <c r="W97" s="67" t="n">
        <v>61.08</v>
      </c>
      <c r="X97" s="67" t="n"/>
      <c r="Y97" s="65">
        <f>IFERROR(IF(AND(W97&lt;&gt;"",X97&lt;&gt;""),ABS(W97-X97)/ABS(W97)*100,""),"")</f>
        <v/>
      </c>
      <c r="Z97" s="62" t="inlineStr">
        <is>
          <t>Claude</t>
        </is>
      </c>
      <c r="AA97" s="67" t="n">
        <v>12.9</v>
      </c>
      <c r="AB97" s="67" t="n">
        <v>12.9</v>
      </c>
      <c r="AC97" s="65">
        <f>IFERROR(IF(AND(AA97&lt;&gt;"",AB97&lt;&gt;""),ABS(AA97-AB97)/ABS(AA97)*100,""),"")</f>
        <v/>
      </c>
      <c r="AD97" s="62" t="inlineStr">
        <is>
          <t>Claude</t>
        </is>
      </c>
      <c r="AE97" s="67" t="n"/>
      <c r="AF97" s="67" t="n"/>
      <c r="AG97" s="65">
        <f>IFERROR(IF(AND(AE97&lt;&gt;"",AF97&lt;&gt;""),ABS(AE97-AF97)/ABS(AE97)*100,""),"")</f>
        <v/>
      </c>
      <c r="AH97" s="62" t="inlineStr">
        <is>
          <t>ND</t>
        </is>
      </c>
      <c r="AI97" s="67" t="n"/>
      <c r="AJ97" s="67" t="n"/>
      <c r="AK97" s="65">
        <f>IFERROR(IF(AND(AI97&lt;&gt;"",AJ97&lt;&gt;""),ABS(AI97-AJ97)/ABS(AI97)*100,""),"")</f>
        <v/>
      </c>
      <c r="AL97" s="62" t="inlineStr">
        <is>
          <t>ND</t>
        </is>
      </c>
      <c r="AM97" s="67" t="n">
        <v>8.890000000000001</v>
      </c>
      <c r="AN97" s="67" t="n"/>
      <c r="AO97" s="65">
        <f>IFERROR(IF(AND(AM97&lt;&gt;"",AN97&lt;&gt;""),ABS(AM97-AN97)/ABS(AM97)*100,""),"")</f>
        <v/>
      </c>
      <c r="AP97" s="62" t="inlineStr">
        <is>
          <t>Claude</t>
        </is>
      </c>
      <c r="AQ97" s="67" t="n">
        <v>0.9</v>
      </c>
      <c r="AR97" s="67" t="n"/>
      <c r="AS97" s="65">
        <f>IFERROR(IF(AND(AQ97&lt;&gt;"",AR97&lt;&gt;""),ABS(AQ97-AR97)/ABS(AQ97)*100,""),"")</f>
        <v/>
      </c>
      <c r="AT97" s="62" t="inlineStr">
        <is>
          <t>Claude</t>
        </is>
      </c>
      <c r="AU97" s="67" t="n">
        <v>11.1</v>
      </c>
      <c r="AV97" s="67" t="n"/>
      <c r="AW97" s="65">
        <f>IFERROR(IF(AND(AU97&lt;&gt;"",AV97&lt;&gt;""),ABS(AU97-AV97)/ABS(AU97)*100,""),"")</f>
        <v/>
      </c>
      <c r="AX97" s="62" t="inlineStr">
        <is>
          <t>Claude</t>
        </is>
      </c>
      <c r="AY97" s="64" t="n">
        <v>90000000</v>
      </c>
      <c r="AZ97" s="64" t="n">
        <v>103152546</v>
      </c>
      <c r="BA97" s="65">
        <f>IFERROR(IF(AND(AY97&lt;&gt;"",AZ97&lt;&gt;""),ABS(AY97-AZ97)/ABS(AY97)*100,""),"")</f>
        <v/>
      </c>
      <c r="BB97" s="66" t="inlineStr">
        <is>
          <t>MANUAL FLAG</t>
        </is>
      </c>
      <c r="BC97" s="67" t="n">
        <v>34.88</v>
      </c>
      <c r="BD97" s="67" t="n"/>
      <c r="BE97" s="65">
        <f>IFERROR(IF(AND(BC97&lt;&gt;"",BD97&lt;&gt;""),ABS(BC97-BD97)/ABS(BC97)*100,""),"")</f>
        <v/>
      </c>
      <c r="BF97" s="62" t="inlineStr">
        <is>
          <t>Claude</t>
        </is>
      </c>
      <c r="BG97" s="67" t="n">
        <v>313706</v>
      </c>
      <c r="BH97" s="67" t="n"/>
      <c r="BI97" s="65">
        <f>IFERROR(IF(AND(BG97&lt;&gt;"",BH97&lt;&gt;""),ABS(BG97-BH97)/ABS(BG97)*100,""),"")</f>
        <v/>
      </c>
      <c r="BJ97" s="62" t="inlineStr">
        <is>
          <t>Claude</t>
        </is>
      </c>
      <c r="BK97" s="64" t="n">
        <v>17.66</v>
      </c>
      <c r="BL97" s="64" t="n">
        <v>1.9</v>
      </c>
      <c r="BM97" s="65">
        <f>IFERROR(IF(AND(BK97&lt;&gt;"",BL97&lt;&gt;""),ABS(BK97-BL97)/ABS(BK97)*100,""),"")</f>
        <v/>
      </c>
      <c r="BN97" s="66" t="inlineStr">
        <is>
          <t>MANUAL FLAG</t>
        </is>
      </c>
      <c r="BO97" s="67" t="n">
        <v>17</v>
      </c>
      <c r="BP97" s="67" t="n"/>
      <c r="BQ97" s="65">
        <f>IFERROR(IF(AND(BO97&lt;&gt;"",BP97&lt;&gt;""),ABS(BO97-BP97)/ABS(BO97)*100,""),"")</f>
        <v/>
      </c>
      <c r="BR97" s="62" t="inlineStr">
        <is>
          <t>Claude</t>
        </is>
      </c>
      <c r="BS97" s="67" t="n">
        <v>16</v>
      </c>
      <c r="BT97" s="67" t="n"/>
      <c r="BU97" s="65">
        <f>IFERROR(IF(AND(BS97&lt;&gt;"",BT97&lt;&gt;""),ABS(BS97-BT97)/ABS(BS97)*100,""),"")</f>
        <v/>
      </c>
      <c r="BV97" s="62" t="inlineStr">
        <is>
          <t>Claude</t>
        </is>
      </c>
      <c r="BW97" s="67" t="n">
        <v>100</v>
      </c>
      <c r="BX97" s="67" t="n"/>
      <c r="BY97" s="65">
        <f>IFERROR(IF(AND(BW97&lt;&gt;"",BX97&lt;&gt;""),ABS(BW97-BX97)/ABS(BW97)*100,""),"")</f>
        <v/>
      </c>
      <c r="BZ97" s="62" t="inlineStr">
        <is>
          <t>Claude</t>
        </is>
      </c>
      <c r="CA97" s="67" t="n">
        <v>7.8</v>
      </c>
      <c r="CB97" s="67" t="n">
        <v>7.8</v>
      </c>
      <c r="CC97" s="65">
        <f>IFERROR(IF(AND(CA97&lt;&gt;"",CB97&lt;&gt;""),ABS(CA97-CB97)/ABS(CA97)*100,""),"")</f>
        <v/>
      </c>
      <c r="CD97" s="62" t="inlineStr">
        <is>
          <t>Claude</t>
        </is>
      </c>
      <c r="CE97" s="64" t="n">
        <v>5.67</v>
      </c>
      <c r="CF97" s="64" t="n">
        <v>3.38</v>
      </c>
      <c r="CG97" s="65">
        <f>IFERROR(IF(AND(CE97&lt;&gt;"",CF97&lt;&gt;""),ABS(CE97-CF97)/ABS(CE97)*100,""),"")</f>
        <v/>
      </c>
      <c r="CH97" s="66" t="inlineStr">
        <is>
          <t>MANUAL FLAG</t>
        </is>
      </c>
      <c r="CI97" s="64" t="n">
        <v>0.34</v>
      </c>
      <c r="CJ97" s="64" t="n">
        <v>0.2</v>
      </c>
      <c r="CK97" s="65">
        <f>IFERROR(IF(AND(CI97&lt;&gt;"",CJ97&lt;&gt;""),ABS(CI97-CJ97)/ABS(CI97)*100,""),"")</f>
        <v/>
      </c>
      <c r="CL97" s="66" t="inlineStr">
        <is>
          <t>MANUAL FLAG</t>
        </is>
      </c>
      <c r="CM97" s="67" t="n">
        <v>90</v>
      </c>
      <c r="CN97" s="67" t="n">
        <v>90</v>
      </c>
      <c r="CO97" s="65">
        <f>IFERROR(IF(AND(CM97&lt;&gt;"",CN97&lt;&gt;""),ABS(CM97-CN97)/ABS(CM97)*100,""),"")</f>
        <v/>
      </c>
      <c r="CP97" s="62" t="inlineStr">
        <is>
          <t>Claude</t>
        </is>
      </c>
      <c r="CQ97" s="64" t="n">
        <v>0.02</v>
      </c>
      <c r="CR97" s="64" t="n">
        <v>1.22</v>
      </c>
      <c r="CS97" s="65">
        <f>IFERROR(IF(AND(CQ97&lt;&gt;"",CR97&lt;&gt;""),ABS(CQ97-CR97)/ABS(CQ97)*100,""),"")</f>
        <v/>
      </c>
      <c r="CT97" s="66" t="inlineStr">
        <is>
          <t>MANUAL FLAG</t>
        </is>
      </c>
      <c r="CU97" s="67" t="n">
        <v>0</v>
      </c>
      <c r="CV97" s="67" t="n">
        <v>0</v>
      </c>
      <c r="CW97" s="65">
        <f>IFERROR(IF(AND(CU97&lt;&gt;"",CV97&lt;&gt;""),ABS(CU97-CV97)/ABS(CU97)*100,""),"")</f>
        <v/>
      </c>
      <c r="CX97" s="62" t="inlineStr">
        <is>
          <t>Claude</t>
        </is>
      </c>
      <c r="CY97" s="68" t="n"/>
      <c r="CZ97" s="68" t="n"/>
      <c r="DA97" s="65">
        <f>IFERROR(IF(AND(CY97&lt;&gt;"",CZ97&lt;&gt;""),ABS(CY97-CZ97)/ABS(CY97)*100,""),"")</f>
        <v/>
      </c>
      <c r="DB97" s="62" t="inlineStr">
        <is>
          <t>ND</t>
        </is>
      </c>
      <c r="DC97" s="68" t="n"/>
      <c r="DD97" s="68" t="n"/>
      <c r="DE97" s="65">
        <f>IFERROR(IF(AND(DC97&lt;&gt;"",DD97&lt;&gt;""),ABS(DC97-DD97)/ABS(DC97)*100,""),"")</f>
        <v/>
      </c>
      <c r="DF97" s="62" t="inlineStr">
        <is>
          <t>ND</t>
        </is>
      </c>
      <c r="DG97" s="68" t="n"/>
      <c r="DH97" s="68" t="n"/>
      <c r="DI97" s="65">
        <f>IFERROR(IF(AND(DG97&lt;&gt;"",DH97&lt;&gt;""),ABS(DG97-DH97)/ABS(DG97)*100,""),"")</f>
        <v/>
      </c>
      <c r="DJ97" s="62" t="inlineStr">
        <is>
          <t>ND</t>
        </is>
      </c>
      <c r="DK97" s="68" t="n"/>
      <c r="DL97" s="68" t="n"/>
      <c r="DM97" s="65">
        <f>IFERROR(IF(AND(DK97&lt;&gt;"",DL97&lt;&gt;""),ABS(DK97-DL97)/ABS(DK97)*100,""),"")</f>
        <v/>
      </c>
      <c r="DN97" s="62" t="inlineStr">
        <is>
          <t>ND</t>
        </is>
      </c>
      <c r="DO97" s="68" t="n"/>
      <c r="DP97" s="68" t="n"/>
      <c r="DQ97" s="65">
        <f>IFERROR(IF(AND(DO97&lt;&gt;"",DP97&lt;&gt;""),ABS(DO97-DP97)/ABS(DO97)*100,""),"")</f>
        <v/>
      </c>
      <c r="DR97" s="62" t="inlineStr">
        <is>
          <t>ND</t>
        </is>
      </c>
      <c r="DS97" s="68" t="n"/>
      <c r="DT97" s="68" t="n"/>
      <c r="DU97" s="65">
        <f>IFERROR(IF(AND(DS97&lt;&gt;"",DT97&lt;&gt;""),ABS(DS97-DT97)/ABS(DS97)*100,""),"")</f>
        <v/>
      </c>
      <c r="DV97" s="62" t="inlineStr">
        <is>
          <t>ND</t>
        </is>
      </c>
      <c r="DW97" s="63" t="inlineStr">
        <is>
          <t>Claude only (DeepSeek pending). Source=2025 report, only report covering 2023. Ind.7/8=ND (headcount 80 disabled, 5 foreign). Ind.9=8.89 (narrower tier). Ind.15=17.66, same scope-mismatch PROXY flag as 2022. Ind.20/21: source notes recalculation against disclosed leaver counts reveals the true (previously unstated) denominator is PERMANENT employees only, not total workforce - confirmed by exact match in 5 of 6 comparisons; this year's involuntary-turnover figure has an unresolved ~0.03-point gap specifically for 2022 (not 2023). || DEEPSEEK RECONCILIATION - MANUAL FLAGS: Ind.1 (Contract Workers%): Claude=31, DeepSeek=26.82, Diff=13.5%; Ind.4 (New Hire Rate): Claude=10.95, DeepSeek=9.47, Diff=13.5%; Ind.12 (Annual Pay): Claude=90000000, DeepSeek=103152546, Diff=14.6%; Ind.15 (Training Hours/Employee): Claude=17.66, DeepSeek=1.9, Diff=89.2%; Ind.20 (Voluntary Turnover): Claude=5.67, DeepSeek=3.38, Diff=40.4%; Ind.21 (Involuntary Turnover): Claude=0.34, DeepSeek=0.2, Diff=41.2%; Ind.23 (LTIFR): Claude=0.02, DeepSeek=1.22, Diff=6000.0% || NOTE: Same Ind.15 scope caveat as 2022 (safety-training only in DeepSeek). Ind.23 LTIFR gap (0.02 vs 1.22) continues, same unit but vastly different magnitude - flag for source verification.</t>
        </is>
      </c>
    </row>
    <row r="98" ht="15.75" customHeight="1" s="43">
      <c r="A98" s="69" t="n"/>
      <c r="B98" s="69" t="n"/>
      <c r="C98" s="69" t="inlineStr">
        <is>
          <t>Industrials</t>
        </is>
      </c>
      <c r="D98" s="69" t="inlineStr">
        <is>
          <t>2024</t>
        </is>
      </c>
      <c r="E98" s="70" t="inlineStr">
        <is>
          <t>hanwha_2025.pdf (only report covering 2024)</t>
        </is>
      </c>
      <c r="F98" s="69" t="n"/>
      <c r="G98" s="64" t="n">
        <v>31.4</v>
      </c>
      <c r="H98" s="64" t="n">
        <v>26.89</v>
      </c>
      <c r="I98" s="71">
        <f>IFERROR(IF(AND(G98&lt;&gt;"",H98&lt;&gt;""),ABS(G98-H98)/ABS(G98)*100,""),"")</f>
        <v/>
      </c>
      <c r="J98" s="66" t="inlineStr">
        <is>
          <t>MANUAL FLAG</t>
        </is>
      </c>
      <c r="K98" s="67" t="n">
        <v>11.06</v>
      </c>
      <c r="L98" s="67" t="n"/>
      <c r="M98" s="71">
        <f>IFERROR(IF(AND(K98&lt;&gt;"",L98&lt;&gt;""),ABS(K98-L98)/ABS(K98)*100,""),"")</f>
        <v/>
      </c>
      <c r="N98" s="69" t="inlineStr">
        <is>
          <t>Claude</t>
        </is>
      </c>
      <c r="O98" s="67" t="n">
        <v>15.13</v>
      </c>
      <c r="P98" s="67" t="n">
        <v>15.13</v>
      </c>
      <c r="Q98" s="71">
        <f>IFERROR(IF(AND(O98&lt;&gt;"",P98&lt;&gt;""),ABS(O98-P98)/ABS(O98)*100,""),"")</f>
        <v/>
      </c>
      <c r="R98" s="69" t="inlineStr">
        <is>
          <t>Claude</t>
        </is>
      </c>
      <c r="S98" s="64" t="n">
        <v>8.65</v>
      </c>
      <c r="T98" s="64" t="n">
        <v>7.4</v>
      </c>
      <c r="U98" s="71">
        <f>IFERROR(IF(AND(S98&lt;&gt;"",T98&lt;&gt;""),ABS(S98-T98)/ABS(S98)*100,""),"")</f>
        <v/>
      </c>
      <c r="V98" s="66" t="inlineStr">
        <is>
          <t>MANUAL FLAG</t>
        </is>
      </c>
      <c r="W98" s="67" t="n">
        <v>51.99</v>
      </c>
      <c r="X98" s="67" t="n"/>
      <c r="Y98" s="71">
        <f>IFERROR(IF(AND(W98&lt;&gt;"",X98&lt;&gt;""),ABS(W98-X98)/ABS(W98)*100,""),"")</f>
        <v/>
      </c>
      <c r="Z98" s="69" t="inlineStr">
        <is>
          <t>Claude</t>
        </is>
      </c>
      <c r="AA98" s="67" t="n">
        <v>17.22</v>
      </c>
      <c r="AB98" s="67" t="n">
        <v>17.22</v>
      </c>
      <c r="AC98" s="71">
        <f>IFERROR(IF(AND(AA98&lt;&gt;"",AB98&lt;&gt;""),ABS(AA98-AB98)/ABS(AA98)*100,""),"")</f>
        <v/>
      </c>
      <c r="AD98" s="69" t="inlineStr">
        <is>
          <t>Claude</t>
        </is>
      </c>
      <c r="AE98" s="67" t="n"/>
      <c r="AF98" s="67" t="n"/>
      <c r="AG98" s="71">
        <f>IFERROR(IF(AND(AE98&lt;&gt;"",AF98&lt;&gt;""),ABS(AE98-AF98)/ABS(AE98)*100,""),"")</f>
        <v/>
      </c>
      <c r="AH98" s="69" t="inlineStr">
        <is>
          <t>ND</t>
        </is>
      </c>
      <c r="AI98" s="67" t="n"/>
      <c r="AJ98" s="67" t="n"/>
      <c r="AK98" s="71">
        <f>IFERROR(IF(AND(AI98&lt;&gt;"",AJ98&lt;&gt;""),ABS(AI98-AJ98)/ABS(AI98)*100,""),"")</f>
        <v/>
      </c>
      <c r="AL98" s="69" t="inlineStr">
        <is>
          <t>ND</t>
        </is>
      </c>
      <c r="AM98" s="67" t="n">
        <v>7.13</v>
      </c>
      <c r="AN98" s="67" t="n"/>
      <c r="AO98" s="71">
        <f>IFERROR(IF(AND(AM98&lt;&gt;"",AN98&lt;&gt;""),ABS(AM98-AN98)/ABS(AM98)*100,""),"")</f>
        <v/>
      </c>
      <c r="AP98" s="69" t="inlineStr">
        <is>
          <t>Claude</t>
        </is>
      </c>
      <c r="AQ98" s="67" t="n">
        <v>1.1</v>
      </c>
      <c r="AR98" s="67" t="n"/>
      <c r="AS98" s="71">
        <f>IFERROR(IF(AND(AQ98&lt;&gt;"",AR98&lt;&gt;""),ABS(AQ98-AR98)/ABS(AQ98)*100,""),"")</f>
        <v/>
      </c>
      <c r="AT98" s="69" t="inlineStr">
        <is>
          <t>Claude</t>
        </is>
      </c>
      <c r="AU98" s="67" t="n">
        <v>12.5</v>
      </c>
      <c r="AV98" s="67" t="n"/>
      <c r="AW98" s="71">
        <f>IFERROR(IF(AND(AU98&lt;&gt;"",AV98&lt;&gt;""),ABS(AU98-AV98)/ABS(AU98)*100,""),"")</f>
        <v/>
      </c>
      <c r="AX98" s="69" t="inlineStr">
        <is>
          <t>Claude</t>
        </is>
      </c>
      <c r="AY98" s="64" t="n">
        <v>88000000</v>
      </c>
      <c r="AZ98" s="64" t="n">
        <v>114277517</v>
      </c>
      <c r="BA98" s="71">
        <f>IFERROR(IF(AND(AY98&lt;&gt;"",AZ98&lt;&gt;""),ABS(AY98-AZ98)/ABS(AY98)*100,""),"")</f>
        <v/>
      </c>
      <c r="BB98" s="66" t="inlineStr">
        <is>
          <t>MANUAL FLAG</t>
        </is>
      </c>
      <c r="BC98" s="67" t="n">
        <v>30.14</v>
      </c>
      <c r="BD98" s="67" t="n"/>
      <c r="BE98" s="71">
        <f>IFERROR(IF(AND(BC98&lt;&gt;"",BD98&lt;&gt;""),ABS(BC98-BD98)/ABS(BC98)*100,""),"")</f>
        <v/>
      </c>
      <c r="BF98" s="69" t="inlineStr">
        <is>
          <t>Claude</t>
        </is>
      </c>
      <c r="BG98" s="67" t="n">
        <v>360240</v>
      </c>
      <c r="BH98" s="67" t="n"/>
      <c r="BI98" s="71">
        <f>IFERROR(IF(AND(BG98&lt;&gt;"",BH98&lt;&gt;""),ABS(BG98-BH98)/ABS(BG98)*100,""),"")</f>
        <v/>
      </c>
      <c r="BJ98" s="69" t="inlineStr">
        <is>
          <t>Claude</t>
        </is>
      </c>
      <c r="BK98" s="64" t="n">
        <v>24.95</v>
      </c>
      <c r="BL98" s="64" t="n">
        <v>2.2</v>
      </c>
      <c r="BM98" s="71">
        <f>IFERROR(IF(AND(BK98&lt;&gt;"",BL98&lt;&gt;""),ABS(BK98-BL98)/ABS(BK98)*100,""),"")</f>
        <v/>
      </c>
      <c r="BN98" s="66" t="inlineStr">
        <is>
          <t>MANUAL FLAG</t>
        </is>
      </c>
      <c r="BO98" s="67" t="n">
        <v>19</v>
      </c>
      <c r="BP98" s="67" t="n"/>
      <c r="BQ98" s="71">
        <f>IFERROR(IF(AND(BO98&lt;&gt;"",BP98&lt;&gt;""),ABS(BO98-BP98)/ABS(BO98)*100,""),"")</f>
        <v/>
      </c>
      <c r="BR98" s="69" t="inlineStr">
        <is>
          <t>Claude</t>
        </is>
      </c>
      <c r="BS98" s="67" t="n">
        <v>23</v>
      </c>
      <c r="BT98" s="67" t="n"/>
      <c r="BU98" s="71">
        <f>IFERROR(IF(AND(BS98&lt;&gt;"",BT98&lt;&gt;""),ABS(BS98-BT98)/ABS(BS98)*100,""),"")</f>
        <v/>
      </c>
      <c r="BV98" s="69" t="inlineStr">
        <is>
          <t>Claude</t>
        </is>
      </c>
      <c r="BW98" s="67" t="n">
        <v>80.59999999999999</v>
      </c>
      <c r="BX98" s="67" t="n"/>
      <c r="BY98" s="71">
        <f>IFERROR(IF(AND(BW98&lt;&gt;"",BX98&lt;&gt;""),ABS(BW98-BX98)/ABS(BW98)*100,""),"")</f>
        <v/>
      </c>
      <c r="BZ98" s="69" t="inlineStr">
        <is>
          <t>Claude</t>
        </is>
      </c>
      <c r="CA98" s="67" t="n">
        <v>8.800000000000001</v>
      </c>
      <c r="CB98" s="67" t="n">
        <v>8.800000000000001</v>
      </c>
      <c r="CC98" s="71">
        <f>IFERROR(IF(AND(CA98&lt;&gt;"",CB98&lt;&gt;""),ABS(CA98-CB98)/ABS(CA98)*100,""),"")</f>
        <v/>
      </c>
      <c r="CD98" s="69" t="inlineStr">
        <is>
          <t>Claude</t>
        </is>
      </c>
      <c r="CE98" s="64" t="n">
        <v>10.69</v>
      </c>
      <c r="CF98" s="64" t="n">
        <v>6.28</v>
      </c>
      <c r="CG98" s="71">
        <f>IFERROR(IF(AND(CE98&lt;&gt;"",CF98&lt;&gt;""),ABS(CE98-CF98)/ABS(CE98)*100,""),"")</f>
        <v/>
      </c>
      <c r="CH98" s="66" t="inlineStr">
        <is>
          <t>MANUAL FLAG</t>
        </is>
      </c>
      <c r="CI98" s="64" t="n">
        <v>0.79</v>
      </c>
      <c r="CJ98" s="64" t="n">
        <v>0.47</v>
      </c>
      <c r="CK98" s="71">
        <f>IFERROR(IF(AND(CI98&lt;&gt;"",CJ98&lt;&gt;""),ABS(CI98-CJ98)/ABS(CI98)*100,""),"")</f>
        <v/>
      </c>
      <c r="CL98" s="66" t="inlineStr">
        <is>
          <t>MANUAL FLAG</t>
        </is>
      </c>
      <c r="CM98" s="67" t="n">
        <v>90</v>
      </c>
      <c r="CN98" s="67" t="n">
        <v>90</v>
      </c>
      <c r="CO98" s="71">
        <f>IFERROR(IF(AND(CM98&lt;&gt;"",CN98&lt;&gt;""),ABS(CM98-CN98)/ABS(CM98)*100,""),"")</f>
        <v/>
      </c>
      <c r="CP98" s="69" t="inlineStr">
        <is>
          <t>Claude</t>
        </is>
      </c>
      <c r="CQ98" s="64" t="n">
        <v>0</v>
      </c>
      <c r="CR98" s="64" t="n">
        <v>1.51</v>
      </c>
      <c r="CS98" s="71">
        <f>IFERROR(IF(AND(CQ98&lt;&gt;"",CR98&lt;&gt;""),ABS(CQ98-CR98)/ABS(CQ98)*100,""),"")</f>
        <v/>
      </c>
      <c r="CT98" s="66" t="inlineStr">
        <is>
          <t>MANUAL FLAG</t>
        </is>
      </c>
      <c r="CU98" s="67" t="n">
        <v>0</v>
      </c>
      <c r="CV98" s="67" t="n">
        <v>0</v>
      </c>
      <c r="CW98" s="71">
        <f>IFERROR(IF(AND(CU98&lt;&gt;"",CV98&lt;&gt;""),ABS(CU98-CV98)/ABS(CU98)*100,""),"")</f>
        <v/>
      </c>
      <c r="CX98" s="69" t="inlineStr">
        <is>
          <t>Claude</t>
        </is>
      </c>
      <c r="CY98" s="68" t="n"/>
      <c r="CZ98" s="68" t="n"/>
      <c r="DA98" s="71">
        <f>IFERROR(IF(AND(CY98&lt;&gt;"",CZ98&lt;&gt;""),ABS(CY98-CZ98)/ABS(CY98)*100,""),"")</f>
        <v/>
      </c>
      <c r="DB98" s="69" t="inlineStr">
        <is>
          <t>ND</t>
        </is>
      </c>
      <c r="DC98" s="68" t="n"/>
      <c r="DD98" s="68" t="n"/>
      <c r="DE98" s="71">
        <f>IFERROR(IF(AND(DC98&lt;&gt;"",DD98&lt;&gt;""),ABS(DC98-DD98)/ABS(DC98)*100,""),"")</f>
        <v/>
      </c>
      <c r="DF98" s="69" t="inlineStr">
        <is>
          <t>ND</t>
        </is>
      </c>
      <c r="DG98" s="68" t="n"/>
      <c r="DH98" s="68" t="n"/>
      <c r="DI98" s="71">
        <f>IFERROR(IF(AND(DG98&lt;&gt;"",DH98&lt;&gt;""),ABS(DG98-DH98)/ABS(DG98)*100,""),"")</f>
        <v/>
      </c>
      <c r="DJ98" s="69" t="inlineStr">
        <is>
          <t>ND</t>
        </is>
      </c>
      <c r="DK98" s="68" t="n"/>
      <c r="DL98" s="68" t="n"/>
      <c r="DM98" s="71">
        <f>IFERROR(IF(AND(DK98&lt;&gt;"",DL98&lt;&gt;""),ABS(DK98-DL98)/ABS(DK98)*100,""),"")</f>
        <v/>
      </c>
      <c r="DN98" s="69" t="inlineStr">
        <is>
          <t>ND</t>
        </is>
      </c>
      <c r="DO98" s="68" t="n"/>
      <c r="DP98" s="68" t="n"/>
      <c r="DQ98" s="71">
        <f>IFERROR(IF(AND(DO98&lt;&gt;"",DP98&lt;&gt;""),ABS(DO98-DP98)/ABS(DO98)*100,""),"")</f>
        <v/>
      </c>
      <c r="DR98" s="69" t="inlineStr">
        <is>
          <t>ND</t>
        </is>
      </c>
      <c r="DS98" s="68" t="n"/>
      <c r="DT98" s="68" t="n"/>
      <c r="DU98" s="71">
        <f>IFERROR(IF(AND(DS98&lt;&gt;"",DT98&lt;&gt;""),ABS(DS98-DT98)/ABS(DS98)*100,""),"")</f>
        <v/>
      </c>
      <c r="DV98" s="69" t="inlineStr">
        <is>
          <t>ND</t>
        </is>
      </c>
      <c r="DW98" s="70" t="inlineStr">
        <is>
          <t>Claude only (DeepSeek pending). Source=2025 report, only report covering 2024. Ind.7/8=ND (headcount 98 disabled, 4 foreign). Ind.9=7.13 (narrower tier) - down from 2023's 8.89, real fluctuation within the new definition. Ind.15=24.95, same scope-mismatch PROXY flag. Ind.22=90, same union-eligible-population-only scope caveat as 2021-2023. || DEEPSEEK RECONCILIATION - MANUAL FLAGS: Ind.1 (Contract Workers%): Claude=31.4, DeepSeek=26.89, Diff=14.4%; Ind.4 (New Hire Rate): Claude=8.65, DeepSeek=7.4, Diff=14.5%; Ind.12 (Annual Pay): Claude=88000000, DeepSeek=114277517, Diff=29.9%; Ind.15 (Training Hours/Employee): Claude=24.95, DeepSeek=2.2, Diff=91.2%; Ind.20 (Voluntary Turnover): Claude=10.69, DeepSeek=6.28, Diff=41.3%; Ind.21 (Involuntary Turnover): Claude=0.79, DeepSeek=0.47, Diff=40.5%; Ind.23 (LTIFR): Claude=0, DeepSeek=1.51, Diff=999999.0% || NOTE: Same Ind.15 scope caveat. Ind.23 LTIFR gap (0 vs 1.51) - Claude's own value of exactly 0 for this year is worth double-checking given DeepSeek's non-zero figure and the same stated unit.</t>
        </is>
      </c>
    </row>
    <row r="99" ht="4.5" customHeight="1" s="43">
      <c r="A99" s="72" t="n"/>
      <c r="B99" s="72" t="n"/>
      <c r="C99" s="72" t="n"/>
      <c r="D99" s="72" t="n"/>
      <c r="E99" s="72" t="n"/>
      <c r="F99" s="72" t="n"/>
      <c r="G99" s="72" t="n"/>
      <c r="H99" s="72" t="n"/>
      <c r="I99" s="72" t="n"/>
      <c r="J99" s="72" t="n"/>
      <c r="K99" s="72" t="n"/>
      <c r="L99" s="72" t="n"/>
      <c r="M99" s="72" t="n"/>
      <c r="N99" s="72" t="n"/>
      <c r="O99" s="72" t="n"/>
      <c r="P99" s="72" t="n"/>
      <c r="Q99" s="72" t="n"/>
      <c r="R99" s="72" t="n"/>
      <c r="S99" s="72" t="n"/>
      <c r="T99" s="72" t="n"/>
      <c r="U99" s="72" t="n"/>
      <c r="V99" s="72" t="n"/>
      <c r="W99" s="72" t="n"/>
      <c r="X99" s="72" t="n"/>
      <c r="Y99" s="72" t="n"/>
      <c r="Z99" s="72" t="n"/>
      <c r="AA99" s="72" t="n"/>
      <c r="AB99" s="72" t="n"/>
      <c r="AC99" s="72" t="n"/>
      <c r="AD99" s="72" t="n"/>
      <c r="AE99" s="72" t="n"/>
      <c r="AF99" s="72" t="n"/>
      <c r="AG99" s="72" t="n"/>
      <c r="AH99" s="72" t="n"/>
      <c r="AI99" s="72" t="n"/>
      <c r="AJ99" s="72" t="n"/>
      <c r="AK99" s="72" t="n"/>
      <c r="AL99" s="72" t="n"/>
      <c r="AM99" s="72" t="n"/>
      <c r="AN99" s="72" t="n"/>
      <c r="AO99" s="72" t="n"/>
      <c r="AP99" s="72" t="n"/>
      <c r="AQ99" s="72" t="n"/>
      <c r="AR99" s="72" t="n"/>
      <c r="AS99" s="72" t="n"/>
      <c r="AT99" s="72" t="n"/>
      <c r="AU99" s="72" t="n"/>
      <c r="AV99" s="72" t="n"/>
      <c r="AW99" s="72" t="n"/>
      <c r="AX99" s="72" t="n"/>
      <c r="AY99" s="72" t="n"/>
      <c r="AZ99" s="72" t="n"/>
      <c r="BA99" s="72" t="n"/>
      <c r="BB99" s="72" t="n"/>
      <c r="BC99" s="72" t="n"/>
      <c r="BD99" s="72" t="n"/>
      <c r="BE99" s="72" t="n"/>
      <c r="BF99" s="72" t="n"/>
      <c r="BG99" s="72" t="n"/>
      <c r="BH99" s="72" t="n"/>
      <c r="BI99" s="72" t="n"/>
      <c r="BJ99" s="72" t="n"/>
      <c r="BK99" s="72" t="n"/>
      <c r="BL99" s="72" t="n"/>
      <c r="BM99" s="72" t="n"/>
      <c r="BN99" s="72" t="n"/>
      <c r="BO99" s="72" t="n"/>
      <c r="BP99" s="72" t="n"/>
      <c r="BQ99" s="72" t="n"/>
      <c r="BR99" s="72" t="n"/>
      <c r="BS99" s="72" t="n"/>
      <c r="BT99" s="72" t="n"/>
      <c r="BU99" s="72" t="n"/>
      <c r="BV99" s="72" t="n"/>
      <c r="BW99" s="72" t="n"/>
      <c r="BX99" s="72" t="n"/>
      <c r="BY99" s="72" t="n"/>
      <c r="BZ99" s="72" t="n"/>
      <c r="CA99" s="72" t="n"/>
      <c r="CB99" s="72" t="n"/>
      <c r="CC99" s="72" t="n"/>
      <c r="CD99" s="72" t="n"/>
      <c r="CE99" s="72" t="n"/>
      <c r="CF99" s="72" t="n"/>
      <c r="CG99" s="72" t="n"/>
      <c r="CH99" s="72" t="n"/>
      <c r="CI99" s="72" t="n"/>
      <c r="CJ99" s="72" t="n"/>
      <c r="CK99" s="72" t="n"/>
      <c r="CL99" s="72" t="n"/>
      <c r="CM99" s="72" t="n"/>
      <c r="CN99" s="72" t="n"/>
      <c r="CO99" s="72" t="n"/>
      <c r="CP99" s="72" t="n"/>
      <c r="CQ99" s="72" t="n"/>
      <c r="CR99" s="72" t="n"/>
      <c r="CS99" s="72" t="n"/>
      <c r="CT99" s="72" t="n"/>
      <c r="CU99" s="72" t="n"/>
      <c r="CV99" s="72" t="n"/>
      <c r="CW99" s="72" t="n"/>
      <c r="CX99" s="72" t="n"/>
      <c r="CY99" s="72" t="n"/>
      <c r="CZ99" s="72" t="n"/>
      <c r="DA99" s="72" t="n"/>
      <c r="DB99" s="72" t="n"/>
      <c r="DC99" s="72" t="n"/>
      <c r="DD99" s="72" t="n"/>
      <c r="DE99" s="72" t="n"/>
      <c r="DF99" s="72" t="n"/>
      <c r="DG99" s="72" t="n"/>
      <c r="DH99" s="72" t="n"/>
      <c r="DI99" s="72" t="n"/>
      <c r="DJ99" s="72" t="n"/>
      <c r="DK99" s="72" t="n"/>
      <c r="DL99" s="72" t="n"/>
      <c r="DM99" s="72" t="n"/>
      <c r="DN99" s="72" t="n"/>
      <c r="DO99" s="72" t="n"/>
      <c r="DP99" s="72" t="n"/>
      <c r="DQ99" s="72" t="n"/>
      <c r="DR99" s="72" t="n"/>
      <c r="DS99" s="72" t="n"/>
      <c r="DT99" s="72" t="n"/>
      <c r="DU99" s="72" t="n"/>
      <c r="DV99" s="72" t="n"/>
      <c r="DW99" s="72" t="n"/>
    </row>
    <row r="100" ht="15.75" customHeight="1" s="43">
      <c r="A100" s="61" t="inlineStr">
        <is>
          <t>HANWHA AEROSPACE</t>
        </is>
      </c>
      <c r="B100" s="62" t="inlineStr">
        <is>
          <t>012450</t>
        </is>
      </c>
      <c r="C100" s="62" t="inlineStr">
        <is>
          <t>Industrials</t>
        </is>
      </c>
      <c r="D100" s="62" t="inlineStr">
        <is>
          <t>2018</t>
        </is>
      </c>
      <c r="E100" s="63" t="inlineStr">
        <is>
          <t>HANWHA_AEROSPACE_2021.pdf (only report covering 2018)</t>
        </is>
      </c>
      <c r="F100" s="62" t="n"/>
      <c r="G100" s="67" t="n">
        <v>5.31</v>
      </c>
      <c r="H100" s="67" t="n">
        <v>5.31</v>
      </c>
      <c r="I100" s="65">
        <f>IFERROR(IF(AND(G100&lt;&gt;"",H100&lt;&gt;""),ABS(G100-H100)/ABS(G100)*100,""),"")</f>
        <v/>
      </c>
      <c r="J100" s="62" t="inlineStr">
        <is>
          <t>Claude</t>
        </is>
      </c>
      <c r="K100" s="67" t="n"/>
      <c r="L100" s="67" t="n"/>
      <c r="M100" s="65">
        <f>IFERROR(IF(AND(K100&lt;&gt;"",L100&lt;&gt;""),ABS(K100-L100)/ABS(K100)*100,""),"")</f>
        <v/>
      </c>
      <c r="N100" s="62" t="inlineStr">
        <is>
          <t>ND</t>
        </is>
      </c>
      <c r="O100" s="67" t="n"/>
      <c r="P100" s="67" t="n">
        <v>2.41</v>
      </c>
      <c r="Q100" s="65">
        <f>IFERROR(IF(AND(O100&lt;&gt;"",P100&lt;&gt;""),ABS(O100-P100)/ABS(O100)*100,""),"")</f>
        <v/>
      </c>
      <c r="R100" s="62" t="inlineStr">
        <is>
          <t>DeepSeek</t>
        </is>
      </c>
      <c r="S100" s="67" t="n"/>
      <c r="T100" s="67" t="n"/>
      <c r="U100" s="65">
        <f>IFERROR(IF(AND(S100&lt;&gt;"",T100&lt;&gt;""),ABS(S100-T100)/ABS(S100)*100,""),"")</f>
        <v/>
      </c>
      <c r="V100" s="62" t="inlineStr">
        <is>
          <t>ND</t>
        </is>
      </c>
      <c r="W100" s="67" t="n"/>
      <c r="X100" s="67" t="n"/>
      <c r="Y100" s="65">
        <f>IFERROR(IF(AND(W100&lt;&gt;"",X100&lt;&gt;""),ABS(W100-X100)/ABS(W100)*100,""),"")</f>
        <v/>
      </c>
      <c r="Z100" s="62" t="inlineStr">
        <is>
          <t>ND</t>
        </is>
      </c>
      <c r="AA100" s="67" t="n"/>
      <c r="AB100" s="67" t="n"/>
      <c r="AC100" s="65">
        <f>IFERROR(IF(AND(AA100&lt;&gt;"",AB100&lt;&gt;""),ABS(AA100-AB100)/ABS(AA100)*100,""),"")</f>
        <v/>
      </c>
      <c r="AD100" s="62" t="inlineStr">
        <is>
          <t>ND</t>
        </is>
      </c>
      <c r="AE100" s="67" t="n"/>
      <c r="AF100" s="67" t="n"/>
      <c r="AG100" s="65">
        <f>IFERROR(IF(AND(AE100&lt;&gt;"",AF100&lt;&gt;""),ABS(AE100-AF100)/ABS(AE100)*100,""),"")</f>
        <v/>
      </c>
      <c r="AH100" s="62" t="inlineStr">
        <is>
          <t>ND</t>
        </is>
      </c>
      <c r="AI100" s="67" t="n"/>
      <c r="AJ100" s="67" t="n"/>
      <c r="AK100" s="65">
        <f>IFERROR(IF(AND(AI100&lt;&gt;"",AJ100&lt;&gt;""),ABS(AI100-AJ100)/ABS(AI100)*100,""),"")</f>
        <v/>
      </c>
      <c r="AL100" s="62" t="inlineStr">
        <is>
          <t>ND</t>
        </is>
      </c>
      <c r="AM100" s="67" t="n">
        <v>4</v>
      </c>
      <c r="AN100" s="67" t="n">
        <v>4</v>
      </c>
      <c r="AO100" s="65">
        <f>IFERROR(IF(AND(AM100&lt;&gt;"",AN100&lt;&gt;""),ABS(AM100-AN100)/ABS(AM100)*100,""),"")</f>
        <v/>
      </c>
      <c r="AP100" s="62" t="inlineStr">
        <is>
          <t>Claude</t>
        </is>
      </c>
      <c r="AQ100" s="67" t="n"/>
      <c r="AR100" s="67" t="n"/>
      <c r="AS100" s="65">
        <f>IFERROR(IF(AND(AQ100&lt;&gt;"",AR100&lt;&gt;""),ABS(AQ100-AR100)/ABS(AQ100)*100,""),"")</f>
        <v/>
      </c>
      <c r="AT100" s="62" t="inlineStr">
        <is>
          <t>ND</t>
        </is>
      </c>
      <c r="AU100" s="67" t="n"/>
      <c r="AV100" s="67" t="n">
        <v>0</v>
      </c>
      <c r="AW100" s="65">
        <f>IFERROR(IF(AND(AU100&lt;&gt;"",AV100&lt;&gt;""),ABS(AU100-AV100)/ABS(AU100)*100,""),"")</f>
        <v/>
      </c>
      <c r="AX100" s="62" t="inlineStr">
        <is>
          <t>DeepSeek</t>
        </is>
      </c>
      <c r="AY100" s="67" t="n">
        <v>125350000</v>
      </c>
      <c r="AZ100" s="67" t="n">
        <v>125349105</v>
      </c>
      <c r="BA100" s="65">
        <f>IFERROR(IF(AND(AY100&lt;&gt;"",AZ100&lt;&gt;""),ABS(AY100-AZ100)/ABS(AY100)*100,""),"")</f>
        <v/>
      </c>
      <c r="BB100" s="62" t="inlineStr">
        <is>
          <t>Claude</t>
        </is>
      </c>
      <c r="BC100" s="67" t="n">
        <v>17</v>
      </c>
      <c r="BD100" s="67" t="n">
        <v>17</v>
      </c>
      <c r="BE100" s="65">
        <f>IFERROR(IF(AND(BC100&lt;&gt;"",BD100&lt;&gt;""),ABS(BC100-BD100)/ABS(BC100)*100,""),"")</f>
        <v/>
      </c>
      <c r="BF100" s="62" t="inlineStr">
        <is>
          <t>Claude</t>
        </is>
      </c>
      <c r="BG100" s="67" t="n">
        <v>680000</v>
      </c>
      <c r="BH100" s="67" t="n"/>
      <c r="BI100" s="65">
        <f>IFERROR(IF(AND(BG100&lt;&gt;"",BH100&lt;&gt;""),ABS(BG100-BH100)/ABS(BG100)*100,""),"")</f>
        <v/>
      </c>
      <c r="BJ100" s="62" t="inlineStr">
        <is>
          <t>Claude</t>
        </is>
      </c>
      <c r="BK100" s="67" t="n">
        <v>40.6</v>
      </c>
      <c r="BL100" s="67" t="n"/>
      <c r="BM100" s="65">
        <f>IFERROR(IF(AND(BK100&lt;&gt;"",BL100&lt;&gt;""),ABS(BK100-BL100)/ABS(BK100)*100,""),"")</f>
        <v/>
      </c>
      <c r="BN100" s="62" t="inlineStr">
        <is>
          <t>Claude</t>
        </is>
      </c>
      <c r="BO100" s="67" t="n">
        <v>9</v>
      </c>
      <c r="BP100" s="67" t="n">
        <v>9</v>
      </c>
      <c r="BQ100" s="65">
        <f>IFERROR(IF(AND(BO100&lt;&gt;"",BP100&lt;&gt;""),ABS(BO100-BP100)/ABS(BO100)*100,""),"")</f>
        <v/>
      </c>
      <c r="BR100" s="62" t="inlineStr">
        <is>
          <t>Claude</t>
        </is>
      </c>
      <c r="BS100" s="67" t="n">
        <v>5</v>
      </c>
      <c r="BT100" s="67" t="n">
        <v>5</v>
      </c>
      <c r="BU100" s="65">
        <f>IFERROR(IF(AND(BS100&lt;&gt;"",BT100&lt;&gt;""),ABS(BS100-BT100)/ABS(BS100)*100,""),"")</f>
        <v/>
      </c>
      <c r="BV100" s="62" t="inlineStr">
        <is>
          <t>Claude</t>
        </is>
      </c>
      <c r="BW100" s="67" t="n">
        <v>100</v>
      </c>
      <c r="BX100" s="67" t="n">
        <v>100</v>
      </c>
      <c r="BY100" s="65">
        <f>IFERROR(IF(AND(BW100&lt;&gt;"",BX100&lt;&gt;""),ABS(BW100-BX100)/ABS(BW100)*100,""),"")</f>
        <v/>
      </c>
      <c r="BZ100" s="62" t="inlineStr">
        <is>
          <t>Claude</t>
        </is>
      </c>
      <c r="CA100" s="67" t="n"/>
      <c r="CB100" s="67" t="n"/>
      <c r="CC100" s="65">
        <f>IFERROR(IF(AND(CA100&lt;&gt;"",CB100&lt;&gt;""),ABS(CA100-CB100)/ABS(CA100)*100,""),"")</f>
        <v/>
      </c>
      <c r="CD100" s="62" t="inlineStr">
        <is>
          <t>ND</t>
        </is>
      </c>
      <c r="CE100" s="67" t="n"/>
      <c r="CF100" s="67" t="n"/>
      <c r="CG100" s="65">
        <f>IFERROR(IF(AND(CE100&lt;&gt;"",CF100&lt;&gt;""),ABS(CE100-CF100)/ABS(CE100)*100,""),"")</f>
        <v/>
      </c>
      <c r="CH100" s="62" t="inlineStr">
        <is>
          <t>ND</t>
        </is>
      </c>
      <c r="CI100" s="67" t="n"/>
      <c r="CJ100" s="67" t="n"/>
      <c r="CK100" s="65">
        <f>IFERROR(IF(AND(CI100&lt;&gt;"",CJ100&lt;&gt;""),ABS(CI100-CJ100)/ABS(CI100)*100,""),"")</f>
        <v/>
      </c>
      <c r="CL100" s="62" t="inlineStr">
        <is>
          <t>ND</t>
        </is>
      </c>
      <c r="CM100" s="67" t="n"/>
      <c r="CN100" s="67" t="n"/>
      <c r="CO100" s="65">
        <f>IFERROR(IF(AND(CM100&lt;&gt;"",CN100&lt;&gt;""),ABS(CM100-CN100)/ABS(CM100)*100,""),"")</f>
        <v/>
      </c>
      <c r="CP100" s="62" t="inlineStr">
        <is>
          <t>ND</t>
        </is>
      </c>
      <c r="CQ100" s="67" t="n">
        <v>0.1</v>
      </c>
      <c r="CR100" s="67" t="n"/>
      <c r="CS100" s="65">
        <f>IFERROR(IF(AND(CQ100&lt;&gt;"",CR100&lt;&gt;""),ABS(CQ100-CR100)/ABS(CQ100)*100,""),"")</f>
        <v/>
      </c>
      <c r="CT100" s="62" t="inlineStr">
        <is>
          <t>Claude</t>
        </is>
      </c>
      <c r="CU100" s="67" t="n"/>
      <c r="CV100" s="67" t="n"/>
      <c r="CW100" s="65">
        <f>IFERROR(IF(AND(CU100&lt;&gt;"",CV100&lt;&gt;""),ABS(CU100-CV100)/ABS(CU100)*100,""),"")</f>
        <v/>
      </c>
      <c r="CX100" s="62" t="inlineStr">
        <is>
          <t>ND</t>
        </is>
      </c>
      <c r="CY100" s="68" t="n"/>
      <c r="CZ100" s="68" t="n"/>
      <c r="DA100" s="65">
        <f>IFERROR(IF(AND(CY100&lt;&gt;"",CZ100&lt;&gt;""),ABS(CY100-CZ100)/ABS(CY100)*100,""),"")</f>
        <v/>
      </c>
      <c r="DB100" s="62" t="inlineStr">
        <is>
          <t>ND</t>
        </is>
      </c>
      <c r="DC100" s="68" t="n"/>
      <c r="DD100" s="68" t="n"/>
      <c r="DE100" s="65">
        <f>IFERROR(IF(AND(DC100&lt;&gt;"",DD100&lt;&gt;""),ABS(DC100-DD100)/ABS(DC100)*100,""),"")</f>
        <v/>
      </c>
      <c r="DF100" s="62" t="inlineStr">
        <is>
          <t>ND</t>
        </is>
      </c>
      <c r="DG100" s="68" t="n"/>
      <c r="DH100" s="68" t="n"/>
      <c r="DI100" s="65">
        <f>IFERROR(IF(AND(DG100&lt;&gt;"",DH100&lt;&gt;""),ABS(DG100-DH100)/ABS(DG100)*100,""),"")</f>
        <v/>
      </c>
      <c r="DJ100" s="62" t="inlineStr">
        <is>
          <t>ND</t>
        </is>
      </c>
      <c r="DK100" s="68" t="n"/>
      <c r="DL100" s="68" t="n"/>
      <c r="DM100" s="65">
        <f>IFERROR(IF(AND(DK100&lt;&gt;"",DL100&lt;&gt;""),ABS(DK100-DL100)/ABS(DK100)*100,""),"")</f>
        <v/>
      </c>
      <c r="DN100" s="62" t="inlineStr">
        <is>
          <t>ND</t>
        </is>
      </c>
      <c r="DO100" s="68" t="n"/>
      <c r="DP100" s="68" t="n"/>
      <c r="DQ100" s="65">
        <f>IFERROR(IF(AND(DO100&lt;&gt;"",DP100&lt;&gt;""),ABS(DO100-DP100)/ABS(DO100)*100,""),"")</f>
        <v/>
      </c>
      <c r="DR100" s="62" t="inlineStr">
        <is>
          <t>ND</t>
        </is>
      </c>
      <c r="DS100" s="68" t="inlineStr">
        <is>
          <t>B+</t>
        </is>
      </c>
      <c r="DT100" s="68" t="inlineStr">
        <is>
          <t>B+</t>
        </is>
      </c>
      <c r="DU100" s="65">
        <f>IFERROR(IF(AND(DS100&lt;&gt;"",DT100&lt;&gt;""),ABS(DS100-DT100)/ABS(DS100)*100,""),"")</f>
        <v/>
      </c>
      <c r="DV100" s="62" t="inlineStr">
        <is>
          <t>Claude</t>
        </is>
      </c>
      <c r="DW100" s="63" t="inlineStr">
        <is>
          <t>Claude only (DeepSeek pending). Source=2021 report (only report covering 2018). Ind.7/8=ND (disability headcount 42, foreign na; no total workforce disclosed this edition). Ind.10=ND (headcount 1/1 executives given, no total-executive denominator - correctly not guessed). Ind.12=125,350,000 KRW - LATER RETRACTED/CONFLICTED: the 2022 report finds this aggregate-wages/headcount method 'does NOT reconcile' with the report's own directly-labeled compensation table (84M for 2019) - treat 2018's figure with the same caution even though no later report covers this specific year to confirm/correct it. Ind.23=0.10, PROXY (%-based 'Accident Rate', not confirmed LTIFR-equivalent). Ind.30='B+' - part of a real B+/B+/A upgrade trend across 2018-2020 that gets FULLY RETRACTED by the 2022 report (grades existed only as unextractable graphics that edition) before reappearing confirmed as 'A' for 2024.</t>
        </is>
      </c>
    </row>
    <row r="101" ht="15.75" customHeight="1" s="43">
      <c r="A101" s="69" t="n"/>
      <c r="B101" s="69" t="n"/>
      <c r="C101" s="69" t="inlineStr">
        <is>
          <t>Industrials</t>
        </is>
      </c>
      <c r="D101" s="69" t="inlineStr">
        <is>
          <t>2019</t>
        </is>
      </c>
      <c r="E101" s="70" t="inlineStr">
        <is>
          <t>HANWHA_AEROSPACE_2022.pdf (most recent covering 2019)</t>
        </is>
      </c>
      <c r="F101" s="69" t="n"/>
      <c r="G101" s="67" t="n">
        <v>3.3</v>
      </c>
      <c r="H101" s="67" t="n">
        <v>3.34</v>
      </c>
      <c r="I101" s="71">
        <f>IFERROR(IF(AND(G101&lt;&gt;"",H101&lt;&gt;""),ABS(G101-H101)/ABS(G101)*100,""),"")</f>
        <v/>
      </c>
      <c r="J101" s="69" t="inlineStr">
        <is>
          <t>Claude</t>
        </is>
      </c>
      <c r="K101" s="67" t="n"/>
      <c r="L101" s="67" t="n"/>
      <c r="M101" s="71">
        <f>IFERROR(IF(AND(K101&lt;&gt;"",L101&lt;&gt;""),ABS(K101-L101)/ABS(K101)*100,""),"")</f>
        <v/>
      </c>
      <c r="N101" s="69" t="inlineStr">
        <is>
          <t>ND</t>
        </is>
      </c>
      <c r="O101" s="67" t="n"/>
      <c r="P101" s="67" t="n"/>
      <c r="Q101" s="71">
        <f>IFERROR(IF(AND(O101&lt;&gt;"",P101&lt;&gt;""),ABS(O101-P101)/ABS(O101)*100,""),"")</f>
        <v/>
      </c>
      <c r="R101" s="69" t="inlineStr">
        <is>
          <t>ND</t>
        </is>
      </c>
      <c r="S101" s="67" t="n">
        <v>2.5</v>
      </c>
      <c r="T101" s="67" t="n">
        <v>2.51</v>
      </c>
      <c r="U101" s="71">
        <f>IFERROR(IF(AND(S101&lt;&gt;"",T101&lt;&gt;""),ABS(S101-T101)/ABS(S101)*100,""),"")</f>
        <v/>
      </c>
      <c r="V101" s="69" t="inlineStr">
        <is>
          <t>Claude</t>
        </is>
      </c>
      <c r="W101" s="67" t="n">
        <v>21.6</v>
      </c>
      <c r="X101" s="67" t="n">
        <v>21.57</v>
      </c>
      <c r="Y101" s="71">
        <f>IFERROR(IF(AND(W101&lt;&gt;"",X101&lt;&gt;""),ABS(W101-X101)/ABS(W101)*100,""),"")</f>
        <v/>
      </c>
      <c r="Z101" s="69" t="inlineStr">
        <is>
          <t>Claude</t>
        </is>
      </c>
      <c r="AA101" s="64" t="n">
        <v>23.5</v>
      </c>
      <c r="AB101" s="64" t="n">
        <v>1.96</v>
      </c>
      <c r="AC101" s="71">
        <f>IFERROR(IF(AND(AA101&lt;&gt;"",AB101&lt;&gt;""),ABS(AA101-AB101)/ABS(AA101)*100,""),"")</f>
        <v/>
      </c>
      <c r="AD101" s="66" t="inlineStr">
        <is>
          <t>MANUAL FLAG</t>
        </is>
      </c>
      <c r="AE101" s="67" t="n"/>
      <c r="AF101" s="67" t="n"/>
      <c r="AG101" s="71">
        <f>IFERROR(IF(AND(AE101&lt;&gt;"",AF101&lt;&gt;""),ABS(AE101-AF101)/ABS(AE101)*100,""),"")</f>
        <v/>
      </c>
      <c r="AH101" s="69" t="inlineStr">
        <is>
          <t>ND</t>
        </is>
      </c>
      <c r="AI101" s="67" t="n"/>
      <c r="AJ101" s="67" t="n"/>
      <c r="AK101" s="71">
        <f>IFERROR(IF(AND(AI101&lt;&gt;"",AJ101&lt;&gt;""),ABS(AI101-AJ101)/ABS(AI101)*100,""),"")</f>
        <v/>
      </c>
      <c r="AL101" s="69" t="inlineStr">
        <is>
          <t>ND</t>
        </is>
      </c>
      <c r="AM101" s="67" t="n"/>
      <c r="AN101" s="67" t="n">
        <v>13.33</v>
      </c>
      <c r="AO101" s="71">
        <f>IFERROR(IF(AND(AM101&lt;&gt;"",AN101&lt;&gt;""),ABS(AM101-AN101)/ABS(AM101)*100,""),"")</f>
        <v/>
      </c>
      <c r="AP101" s="69" t="inlineStr">
        <is>
          <t>DeepSeek</t>
        </is>
      </c>
      <c r="AQ101" s="67" t="n">
        <v>3.4</v>
      </c>
      <c r="AR101" s="67" t="n">
        <v>3.45</v>
      </c>
      <c r="AS101" s="71">
        <f>IFERROR(IF(AND(AQ101&lt;&gt;"",AR101&lt;&gt;""),ABS(AQ101-AR101)/ABS(AQ101)*100,""),"")</f>
        <v/>
      </c>
      <c r="AT101" s="69" t="inlineStr">
        <is>
          <t>Claude</t>
        </is>
      </c>
      <c r="AU101" s="67" t="n">
        <v>0</v>
      </c>
      <c r="AV101" s="67" t="n">
        <v>0</v>
      </c>
      <c r="AW101" s="71">
        <f>IFERROR(IF(AND(AU101&lt;&gt;"",AV101&lt;&gt;""),ABS(AU101-AV101)/ABS(AU101)*100,""),"")</f>
        <v/>
      </c>
      <c r="AX101" s="69" t="inlineStr">
        <is>
          <t>Claude</t>
        </is>
      </c>
      <c r="AY101" s="67" t="n">
        <v>84000000</v>
      </c>
      <c r="AZ101" s="67" t="n">
        <v>84000000</v>
      </c>
      <c r="BA101" s="71">
        <f>IFERROR(IF(AND(AY101&lt;&gt;"",AZ101&lt;&gt;""),ABS(AY101-AZ101)/ABS(AY101)*100,""),"")</f>
        <v/>
      </c>
      <c r="BB101" s="69" t="inlineStr">
        <is>
          <t>Claude</t>
        </is>
      </c>
      <c r="BC101" s="67" t="n">
        <v>18</v>
      </c>
      <c r="BD101" s="67" t="n">
        <v>18</v>
      </c>
      <c r="BE101" s="71">
        <f>IFERROR(IF(AND(BC101&lt;&gt;"",BD101&lt;&gt;""),ABS(BC101-BD101)/ABS(BC101)*100,""),"")</f>
        <v/>
      </c>
      <c r="BF101" s="69" t="inlineStr">
        <is>
          <t>Claude</t>
        </is>
      </c>
      <c r="BG101" s="67" t="n">
        <v>685000</v>
      </c>
      <c r="BH101" s="67" t="n">
        <v>685000</v>
      </c>
      <c r="BI101" s="71">
        <f>IFERROR(IF(AND(BG101&lt;&gt;"",BH101&lt;&gt;""),ABS(BG101-BH101)/ABS(BG101)*100,""),"")</f>
        <v/>
      </c>
      <c r="BJ101" s="69" t="inlineStr">
        <is>
          <t>Claude</t>
        </is>
      </c>
      <c r="BK101" s="67" t="n">
        <v>25</v>
      </c>
      <c r="BL101" s="67" t="n">
        <v>25</v>
      </c>
      <c r="BM101" s="71">
        <f>IFERROR(IF(AND(BK101&lt;&gt;"",BL101&lt;&gt;""),ABS(BK101-BL101)/ABS(BK101)*100,""),"")</f>
        <v/>
      </c>
      <c r="BN101" s="69" t="inlineStr">
        <is>
          <t>Claude</t>
        </is>
      </c>
      <c r="BO101" s="67" t="n">
        <v>13</v>
      </c>
      <c r="BP101" s="67" t="n">
        <v>13</v>
      </c>
      <c r="BQ101" s="71">
        <f>IFERROR(IF(AND(BO101&lt;&gt;"",BP101&lt;&gt;""),ABS(BO101-BP101)/ABS(BO101)*100,""),"")</f>
        <v/>
      </c>
      <c r="BR101" s="69" t="inlineStr">
        <is>
          <t>Claude</t>
        </is>
      </c>
      <c r="BS101" s="67" t="n">
        <v>5</v>
      </c>
      <c r="BT101" s="67" t="n">
        <v>5</v>
      </c>
      <c r="BU101" s="71">
        <f>IFERROR(IF(AND(BS101&lt;&gt;"",BT101&lt;&gt;""),ABS(BS101-BT101)/ABS(BS101)*100,""),"")</f>
        <v/>
      </c>
      <c r="BV101" s="69" t="inlineStr">
        <is>
          <t>Claude</t>
        </is>
      </c>
      <c r="BW101" s="67" t="n">
        <v>77.8</v>
      </c>
      <c r="BX101" s="67" t="n">
        <v>77.8</v>
      </c>
      <c r="BY101" s="71">
        <f>IFERROR(IF(AND(BW101&lt;&gt;"",BX101&lt;&gt;""),ABS(BW101-BX101)/ABS(BW101)*100,""),"")</f>
        <v/>
      </c>
      <c r="BZ101" s="69" t="inlineStr">
        <is>
          <t>Claude</t>
        </is>
      </c>
      <c r="CA101" s="67" t="n">
        <v>17.8</v>
      </c>
      <c r="CB101" s="67" t="n">
        <v>17.8</v>
      </c>
      <c r="CC101" s="71">
        <f>IFERROR(IF(AND(CA101&lt;&gt;"",CB101&lt;&gt;""),ABS(CA101-CB101)/ABS(CA101)*100,""),"")</f>
        <v/>
      </c>
      <c r="CD101" s="69" t="inlineStr">
        <is>
          <t>Claude</t>
        </is>
      </c>
      <c r="CE101" s="67" t="n">
        <v>1.6</v>
      </c>
      <c r="CF101" s="67" t="n">
        <v>1.6</v>
      </c>
      <c r="CG101" s="71">
        <f>IFERROR(IF(AND(CE101&lt;&gt;"",CF101&lt;&gt;""),ABS(CE101-CF101)/ABS(CE101)*100,""),"")</f>
        <v/>
      </c>
      <c r="CH101" s="69" t="inlineStr">
        <is>
          <t>Claude</t>
        </is>
      </c>
      <c r="CI101" s="67" t="n">
        <v>1</v>
      </c>
      <c r="CJ101" s="67" t="n">
        <v>1</v>
      </c>
      <c r="CK101" s="71">
        <f>IFERROR(IF(AND(CI101&lt;&gt;"",CJ101&lt;&gt;""),ABS(CI101-CJ101)/ABS(CI101)*100,""),"")</f>
        <v/>
      </c>
      <c r="CL101" s="69" t="inlineStr">
        <is>
          <t>Claude</t>
        </is>
      </c>
      <c r="CM101" s="67" t="n">
        <v>38</v>
      </c>
      <c r="CN101" s="67" t="n">
        <v>38</v>
      </c>
      <c r="CO101" s="71">
        <f>IFERROR(IF(AND(CM101&lt;&gt;"",CN101&lt;&gt;""),ABS(CM101-CN101)/ABS(CM101)*100,""),"")</f>
        <v/>
      </c>
      <c r="CP101" s="69" t="inlineStr">
        <is>
          <t>Claude</t>
        </is>
      </c>
      <c r="CQ101" s="67" t="n">
        <v>0.93</v>
      </c>
      <c r="CR101" s="67" t="n"/>
      <c r="CS101" s="71">
        <f>IFERROR(IF(AND(CQ101&lt;&gt;"",CR101&lt;&gt;""),ABS(CQ101-CR101)/ABS(CQ101)*100,""),"")</f>
        <v/>
      </c>
      <c r="CT101" s="69" t="inlineStr">
        <is>
          <t>Claude</t>
        </is>
      </c>
      <c r="CU101" s="67" t="n">
        <v>0</v>
      </c>
      <c r="CV101" s="67" t="n">
        <v>0</v>
      </c>
      <c r="CW101" s="71">
        <f>IFERROR(IF(AND(CU101&lt;&gt;"",CV101&lt;&gt;""),ABS(CU101-CV101)/ABS(CU101)*100,""),"")</f>
        <v/>
      </c>
      <c r="CX101" s="69" t="inlineStr">
        <is>
          <t>Claude</t>
        </is>
      </c>
      <c r="CY101" s="68" t="n"/>
      <c r="CZ101" s="68" t="n"/>
      <c r="DA101" s="71">
        <f>IFERROR(IF(AND(CY101&lt;&gt;"",CZ101&lt;&gt;""),ABS(CY101-CZ101)/ABS(CY101)*100,""),"")</f>
        <v/>
      </c>
      <c r="DB101" s="69" t="inlineStr">
        <is>
          <t>ND</t>
        </is>
      </c>
      <c r="DC101" s="68" t="n"/>
      <c r="DD101" s="68" t="n"/>
      <c r="DE101" s="71">
        <f>IFERROR(IF(AND(DC101&lt;&gt;"",DD101&lt;&gt;""),ABS(DC101-DD101)/ABS(DC101)*100,""),"")</f>
        <v/>
      </c>
      <c r="DF101" s="69" t="inlineStr">
        <is>
          <t>ND</t>
        </is>
      </c>
      <c r="DG101" s="68" t="n"/>
      <c r="DH101" s="68" t="n"/>
      <c r="DI101" s="71">
        <f>IFERROR(IF(AND(DG101&lt;&gt;"",DH101&lt;&gt;""),ABS(DG101-DH101)/ABS(DG101)*100,""),"")</f>
        <v/>
      </c>
      <c r="DJ101" s="69" t="inlineStr">
        <is>
          <t>ND</t>
        </is>
      </c>
      <c r="DK101" s="68" t="n"/>
      <c r="DL101" s="68" t="n"/>
      <c r="DM101" s="71">
        <f>IFERROR(IF(AND(DK101&lt;&gt;"",DL101&lt;&gt;""),ABS(DK101-DL101)/ABS(DK101)*100,""),"")</f>
        <v/>
      </c>
      <c r="DN101" s="69" t="inlineStr">
        <is>
          <t>ND</t>
        </is>
      </c>
      <c r="DO101" s="68" t="n"/>
      <c r="DP101" s="68" t="n"/>
      <c r="DQ101" s="71">
        <f>IFERROR(IF(AND(DO101&lt;&gt;"",DP101&lt;&gt;""),ABS(DO101-DP101)/ABS(DO101)*100,""),"")</f>
        <v/>
      </c>
      <c r="DR101" s="69" t="inlineStr">
        <is>
          <t>ND</t>
        </is>
      </c>
      <c r="DS101" s="68" t="n"/>
      <c r="DT101" s="68" t="n"/>
      <c r="DU101" s="71">
        <f>IFERROR(IF(AND(DS101&lt;&gt;"",DT101&lt;&gt;""),ABS(DS101-DT101)/ABS(DS101)*100,""),"")</f>
        <v/>
      </c>
      <c r="DV101" s="69" t="inlineStr">
        <is>
          <t>ND</t>
        </is>
      </c>
      <c r="DW101" s="70" t="inlineStr">
        <is>
          <t>Claude only (DeepSeek pending). Source=2022 report (more recent than 2021 report). Ind.1=3.3 matches 2021 report's 3.34 closely - no real conflict. Ind.7/8=ND (headcount 42, matches 2021 report exactly). Ind.9=ND: **2022 report RETRACTS the 2021 report's 4.6% - could only find a broader combined 'managers and above' ratio, not an isolated middle-tier figure.** Ind.10=3.4, NOW COMPUTABLE (2022 report found the denominator: 1 female/29 total executives). Ind.11=0, NEW (2021 report had no year-end board data for this year). **Ind.12=84,000,000 vs 2021 report's 108,540,000 - MAJOR CONFLICT: 2022 report explicitly found its own directly-labeled 'Average compensation' table doesn't reconcile with an aggregate-wages/headcount calculation (likely what the 2021 report used) - used the more rigorous table-based figure.** Ind.15=25 vs 2021 report's 26.42 - minor conflict, but source notes a genuine 'methodology revision for 2019-2020' was footnoted. Ind.16/17 match exactly (13/5). **Ind.23=0.93 vs 2021 report's 0.29 - MAJOR CONFLICT, and this edition explicitly flags 'Standardised Unit = Not sure' (unclear if per-200k or per-million hours) - neither year's LTIFR value should be trusted without a source-PDF check.** Ind.24=0, NEW (explicit direct headcount, not assumed). **Ind.30=na: RETRACTS 2021 report's 'B+' - letter grades exist only as unextractable graphic elements in this edition, not a confirmed absence.** || DEEPSEEK RECONCILIATION - MANUAL FLAGS: Ind.6 (New Hires Female%): Claude=23.5, DeepSeek=1.96, Diff=91.7%</t>
        </is>
      </c>
    </row>
    <row r="102" ht="15.75" customHeight="1" s="43">
      <c r="A102" s="62" t="n"/>
      <c r="B102" s="62" t="n"/>
      <c r="C102" s="62" t="inlineStr">
        <is>
          <t>Industrials</t>
        </is>
      </c>
      <c r="D102" s="62" t="inlineStr">
        <is>
          <t>2020</t>
        </is>
      </c>
      <c r="E102" s="63" t="inlineStr">
        <is>
          <t>HANWHA_AEROSPACE_2022.pdf (most recent covering 2020)</t>
        </is>
      </c>
      <c r="F102" s="62" t="n"/>
      <c r="G102" s="67" t="n">
        <v>2</v>
      </c>
      <c r="H102" s="67" t="n">
        <v>2.04</v>
      </c>
      <c r="I102" s="65">
        <f>IFERROR(IF(AND(G102&lt;&gt;"",H102&lt;&gt;""),ABS(G102-H102)/ABS(G102)*100,""),"")</f>
        <v/>
      </c>
      <c r="J102" s="62" t="inlineStr">
        <is>
          <t>Claude</t>
        </is>
      </c>
      <c r="K102" s="67" t="n"/>
      <c r="L102" s="67" t="n"/>
      <c r="M102" s="65">
        <f>IFERROR(IF(AND(K102&lt;&gt;"",L102&lt;&gt;""),ABS(K102-L102)/ABS(K102)*100,""),"")</f>
        <v/>
      </c>
      <c r="N102" s="62" t="inlineStr">
        <is>
          <t>ND</t>
        </is>
      </c>
      <c r="O102" s="67" t="n"/>
      <c r="P102" s="67" t="n"/>
      <c r="Q102" s="65">
        <f>IFERROR(IF(AND(O102&lt;&gt;"",P102&lt;&gt;""),ABS(O102-P102)/ABS(O102)*100,""),"")</f>
        <v/>
      </c>
      <c r="R102" s="62" t="inlineStr">
        <is>
          <t>ND</t>
        </is>
      </c>
      <c r="S102" s="67" t="n">
        <v>1</v>
      </c>
      <c r="T102" s="67" t="n">
        <v>1.04</v>
      </c>
      <c r="U102" s="65">
        <f>IFERROR(IF(AND(S102&lt;&gt;"",T102&lt;&gt;""),ABS(S102-T102)/ABS(S102)*100,""),"")</f>
        <v/>
      </c>
      <c r="V102" s="62" t="inlineStr">
        <is>
          <t>Claude</t>
        </is>
      </c>
      <c r="W102" s="67" t="n">
        <v>23.8</v>
      </c>
      <c r="X102" s="67" t="n">
        <v>23.81</v>
      </c>
      <c r="Y102" s="65">
        <f>IFERROR(IF(AND(W102&lt;&gt;"",X102&lt;&gt;""),ABS(W102-X102)/ABS(W102)*100,""),"")</f>
        <v/>
      </c>
      <c r="Z102" s="62" t="inlineStr">
        <is>
          <t>Claude</t>
        </is>
      </c>
      <c r="AA102" s="64" t="n">
        <v>19</v>
      </c>
      <c r="AB102" s="64" t="n">
        <v>9.52</v>
      </c>
      <c r="AC102" s="65">
        <f>IFERROR(IF(AND(AA102&lt;&gt;"",AB102&lt;&gt;""),ABS(AA102-AB102)/ABS(AA102)*100,""),"")</f>
        <v/>
      </c>
      <c r="AD102" s="66" t="inlineStr">
        <is>
          <t>MANUAL FLAG</t>
        </is>
      </c>
      <c r="AE102" s="67" t="n"/>
      <c r="AF102" s="67" t="n"/>
      <c r="AG102" s="65">
        <f>IFERROR(IF(AND(AE102&lt;&gt;"",AF102&lt;&gt;""),ABS(AE102-AF102)/ABS(AE102)*100,""),"")</f>
        <v/>
      </c>
      <c r="AH102" s="62" t="inlineStr">
        <is>
          <t>ND</t>
        </is>
      </c>
      <c r="AI102" s="67" t="n"/>
      <c r="AJ102" s="67" t="n"/>
      <c r="AK102" s="65">
        <f>IFERROR(IF(AND(AI102&lt;&gt;"",AJ102&lt;&gt;""),ABS(AI102-AJ102)/ABS(AI102)*100,""),"")</f>
        <v/>
      </c>
      <c r="AL102" s="62" t="inlineStr">
        <is>
          <t>ND</t>
        </is>
      </c>
      <c r="AM102" s="67" t="n"/>
      <c r="AN102" s="67" t="n">
        <v>15.79</v>
      </c>
      <c r="AO102" s="65">
        <f>IFERROR(IF(AND(AM102&lt;&gt;"",AN102&lt;&gt;""),ABS(AM102-AN102)/ABS(AM102)*100,""),"")</f>
        <v/>
      </c>
      <c r="AP102" s="62" t="inlineStr">
        <is>
          <t>DeepSeek</t>
        </is>
      </c>
      <c r="AQ102" s="67" t="n">
        <v>3.4</v>
      </c>
      <c r="AR102" s="67" t="n">
        <v>3.45</v>
      </c>
      <c r="AS102" s="65">
        <f>IFERROR(IF(AND(AQ102&lt;&gt;"",AR102&lt;&gt;""),ABS(AQ102-AR102)/ABS(AQ102)*100,""),"")</f>
        <v/>
      </c>
      <c r="AT102" s="62" t="inlineStr">
        <is>
          <t>Claude</t>
        </is>
      </c>
      <c r="AU102" s="67" t="n">
        <v>0</v>
      </c>
      <c r="AV102" s="67" t="n">
        <v>0</v>
      </c>
      <c r="AW102" s="65">
        <f>IFERROR(IF(AND(AU102&lt;&gt;"",AV102&lt;&gt;""),ABS(AU102-AV102)/ABS(AU102)*100,""),"")</f>
        <v/>
      </c>
      <c r="AX102" s="62" t="inlineStr">
        <is>
          <t>Claude</t>
        </is>
      </c>
      <c r="AY102" s="67" t="n">
        <v>79000000</v>
      </c>
      <c r="AZ102" s="67" t="n">
        <v>79000000</v>
      </c>
      <c r="BA102" s="65">
        <f>IFERROR(IF(AND(AY102&lt;&gt;"",AZ102&lt;&gt;""),ABS(AY102-AZ102)/ABS(AY102)*100,""),"")</f>
        <v/>
      </c>
      <c r="BB102" s="62" t="inlineStr">
        <is>
          <t>Claude</t>
        </is>
      </c>
      <c r="BC102" s="67" t="n">
        <v>18</v>
      </c>
      <c r="BD102" s="67" t="n">
        <v>18</v>
      </c>
      <c r="BE102" s="65">
        <f>IFERROR(IF(AND(BC102&lt;&gt;"",BD102&lt;&gt;""),ABS(BC102-BD102)/ABS(BC102)*100,""),"")</f>
        <v/>
      </c>
      <c r="BF102" s="62" t="inlineStr">
        <is>
          <t>Claude</t>
        </is>
      </c>
      <c r="BG102" s="67" t="n">
        <v>213000</v>
      </c>
      <c r="BH102" s="67" t="n">
        <v>213000</v>
      </c>
      <c r="BI102" s="65">
        <f>IFERROR(IF(AND(BG102&lt;&gt;"",BH102&lt;&gt;""),ABS(BG102-BH102)/ABS(BG102)*100,""),"")</f>
        <v/>
      </c>
      <c r="BJ102" s="62" t="inlineStr">
        <is>
          <t>Claude</t>
        </is>
      </c>
      <c r="BK102" s="67" t="n">
        <v>13</v>
      </c>
      <c r="BL102" s="67" t="n">
        <v>13</v>
      </c>
      <c r="BM102" s="65">
        <f>IFERROR(IF(AND(BK102&lt;&gt;"",BL102&lt;&gt;""),ABS(BK102-BL102)/ABS(BK102)*100,""),"")</f>
        <v/>
      </c>
      <c r="BN102" s="62" t="inlineStr">
        <is>
          <t>Claude</t>
        </is>
      </c>
      <c r="BO102" s="67" t="n">
        <v>7</v>
      </c>
      <c r="BP102" s="67" t="n">
        <v>7</v>
      </c>
      <c r="BQ102" s="65">
        <f>IFERROR(IF(AND(BO102&lt;&gt;"",BP102&lt;&gt;""),ABS(BO102-BP102)/ABS(BO102)*100,""),"")</f>
        <v/>
      </c>
      <c r="BR102" s="62" t="inlineStr">
        <is>
          <t>Claude</t>
        </is>
      </c>
      <c r="BS102" s="67" t="n">
        <v>5</v>
      </c>
      <c r="BT102" s="67" t="n">
        <v>5</v>
      </c>
      <c r="BU102" s="65">
        <f>IFERROR(IF(AND(BS102&lt;&gt;"",BT102&lt;&gt;""),ABS(BS102-BT102)/ABS(BS102)*100,""),"")</f>
        <v/>
      </c>
      <c r="BV102" s="62" t="inlineStr">
        <is>
          <t>Claude</t>
        </is>
      </c>
      <c r="BW102" s="67" t="n">
        <v>83.3</v>
      </c>
      <c r="BX102" s="67" t="n">
        <v>83.3</v>
      </c>
      <c r="BY102" s="65">
        <f>IFERROR(IF(AND(BW102&lt;&gt;"",BX102&lt;&gt;""),ABS(BW102-BX102)/ABS(BW102)*100,""),"")</f>
        <v/>
      </c>
      <c r="BZ102" s="62" t="inlineStr">
        <is>
          <t>Claude</t>
        </is>
      </c>
      <c r="CA102" s="67" t="n">
        <v>18.7</v>
      </c>
      <c r="CB102" s="67" t="n">
        <v>18.7</v>
      </c>
      <c r="CC102" s="65">
        <f>IFERROR(IF(AND(CA102&lt;&gt;"",CB102&lt;&gt;""),ABS(CA102-CB102)/ABS(CA102)*100,""),"")</f>
        <v/>
      </c>
      <c r="CD102" s="62" t="inlineStr">
        <is>
          <t>Claude</t>
        </is>
      </c>
      <c r="CE102" s="67" t="n">
        <v>1.1</v>
      </c>
      <c r="CF102" s="67" t="n">
        <v>1.1</v>
      </c>
      <c r="CG102" s="65">
        <f>IFERROR(IF(AND(CE102&lt;&gt;"",CF102&lt;&gt;""),ABS(CE102-CF102)/ABS(CE102)*100,""),"")</f>
        <v/>
      </c>
      <c r="CH102" s="62" t="inlineStr">
        <is>
          <t>Claude</t>
        </is>
      </c>
      <c r="CI102" s="67" t="n">
        <v>1.6</v>
      </c>
      <c r="CJ102" s="67" t="n">
        <v>1.6</v>
      </c>
      <c r="CK102" s="65">
        <f>IFERROR(IF(AND(CI102&lt;&gt;"",CJ102&lt;&gt;""),ABS(CI102-CJ102)/ABS(CI102)*100,""),"")</f>
        <v/>
      </c>
      <c r="CL102" s="62" t="inlineStr">
        <is>
          <t>Claude</t>
        </is>
      </c>
      <c r="CM102" s="67" t="n">
        <v>36.2</v>
      </c>
      <c r="CN102" s="67" t="n">
        <v>36.2</v>
      </c>
      <c r="CO102" s="65">
        <f>IFERROR(IF(AND(CM102&lt;&gt;"",CN102&lt;&gt;""),ABS(CM102-CN102)/ABS(CM102)*100,""),"")</f>
        <v/>
      </c>
      <c r="CP102" s="62" t="inlineStr">
        <is>
          <t>Claude</t>
        </is>
      </c>
      <c r="CQ102" s="67" t="n">
        <v>0.24</v>
      </c>
      <c r="CR102" s="67" t="n"/>
      <c r="CS102" s="65">
        <f>IFERROR(IF(AND(CQ102&lt;&gt;"",CR102&lt;&gt;""),ABS(CQ102-CR102)/ABS(CQ102)*100,""),"")</f>
        <v/>
      </c>
      <c r="CT102" s="62" t="inlineStr">
        <is>
          <t>Claude</t>
        </is>
      </c>
      <c r="CU102" s="67" t="n">
        <v>0</v>
      </c>
      <c r="CV102" s="67" t="n">
        <v>0</v>
      </c>
      <c r="CW102" s="65">
        <f>IFERROR(IF(AND(CU102&lt;&gt;"",CV102&lt;&gt;""),ABS(CU102-CV102)/ABS(CU102)*100,""),"")</f>
        <v/>
      </c>
      <c r="CX102" s="62" t="inlineStr">
        <is>
          <t>Claude</t>
        </is>
      </c>
      <c r="CY102" s="64" t="n">
        <v>5</v>
      </c>
      <c r="CZ102" s="64" t="n">
        <v>6</v>
      </c>
      <c r="DA102" s="65">
        <f>IFERROR(IF(AND(CY102&lt;&gt;"",CZ102&lt;&gt;""),ABS(CY102-CZ102)/ABS(CY102)*100,""),"")</f>
        <v/>
      </c>
      <c r="DB102" s="66" t="inlineStr">
        <is>
          <t>MANUAL FLAG</t>
        </is>
      </c>
      <c r="DC102" s="68" t="n"/>
      <c r="DD102" s="68" t="n"/>
      <c r="DE102" s="65">
        <f>IFERROR(IF(AND(DC102&lt;&gt;"",DD102&lt;&gt;""),ABS(DC102-DD102)/ABS(DC102)*100,""),"")</f>
        <v/>
      </c>
      <c r="DF102" s="62" t="inlineStr">
        <is>
          <t>ND</t>
        </is>
      </c>
      <c r="DG102" s="68" t="n"/>
      <c r="DH102" s="68" t="n"/>
      <c r="DI102" s="65">
        <f>IFERROR(IF(AND(DG102&lt;&gt;"",DH102&lt;&gt;""),ABS(DG102-DH102)/ABS(DG102)*100,""),"")</f>
        <v/>
      </c>
      <c r="DJ102" s="62" t="inlineStr">
        <is>
          <t>ND</t>
        </is>
      </c>
      <c r="DK102" s="68" t="n"/>
      <c r="DL102" s="68" t="n"/>
      <c r="DM102" s="65">
        <f>IFERROR(IF(AND(DK102&lt;&gt;"",DL102&lt;&gt;""),ABS(DK102-DL102)/ABS(DK102)*100,""),"")</f>
        <v/>
      </c>
      <c r="DN102" s="62" t="inlineStr">
        <is>
          <t>ND</t>
        </is>
      </c>
      <c r="DO102" s="68" t="n"/>
      <c r="DP102" s="68" t="n"/>
      <c r="DQ102" s="65">
        <f>IFERROR(IF(AND(DO102&lt;&gt;"",DP102&lt;&gt;""),ABS(DO102-DP102)/ABS(DO102)*100,""),"")</f>
        <v/>
      </c>
      <c r="DR102" s="62" t="inlineStr">
        <is>
          <t>ND</t>
        </is>
      </c>
      <c r="DS102" s="68" t="n"/>
      <c r="DT102" s="68" t="n"/>
      <c r="DU102" s="65">
        <f>IFERROR(IF(AND(DS102&lt;&gt;"",DT102&lt;&gt;""),ABS(DS102-DT102)/ABS(DS102)*100,""),"")</f>
        <v/>
      </c>
      <c r="DV102" s="62" t="inlineStr">
        <is>
          <t>ND</t>
        </is>
      </c>
      <c r="DW102" s="63" t="inlineStr">
        <is>
          <t>Claude only (DeepSeek pending). Source=2022 report. Ind.7/8=ND (headcount 42, matches 2021 report). Ind.9=ND (same retraction as 2019 - see note). Ind.10=3.4 (1/29). Ind.11=0 (matches expectation, no female directors yet). Ind.12=79,000,000 vs 2021 report's 107,390,000 - same MAJOR CONFLICT pattern as 2019 (see note). Ind.15=13 vs 2021 report's 15.03 - minor conflict, same methodology-revision note. Ind.16/17 match exactly (7/5). Ind.23=0.24 vs 2021 report's 0.15 - moderate conflict, same unit-uncertainty caveat as 2019. Ind.30=na: same RETRACTION of the 2021 report's 'A' grade for this year - see 2019 note. || DEEPSEEK RECONCILIATION - MANUAL FLAGS: Ind.6 (New Hires Female%): Claude=19, DeepSeek=9.52, Diff=49.9%; Ind.25 (COVID Response): Claude=5, DeepSeek=6, Diff=20.0%</t>
        </is>
      </c>
    </row>
    <row r="103" ht="15.75" customHeight="1" s="43">
      <c r="A103" s="69" t="n"/>
      <c r="B103" s="69" t="n"/>
      <c r="C103" s="69" t="inlineStr">
        <is>
          <t>Industrials</t>
        </is>
      </c>
      <c r="D103" s="69" t="inlineStr">
        <is>
          <t>2021</t>
        </is>
      </c>
      <c r="E103" s="70" t="inlineStr">
        <is>
          <t>HANWHA_AEROSPACE_2022.pdf (only report covering 2021)</t>
        </is>
      </c>
      <c r="F103" s="69" t="n"/>
      <c r="G103" s="67" t="n">
        <v>1.8</v>
      </c>
      <c r="H103" s="67" t="n">
        <v>1.79</v>
      </c>
      <c r="I103" s="71">
        <f>IFERROR(IF(AND(G103&lt;&gt;"",H103&lt;&gt;""),ABS(G103-H103)/ABS(G103)*100,""),"")</f>
        <v/>
      </c>
      <c r="J103" s="69" t="inlineStr">
        <is>
          <t>Claude</t>
        </is>
      </c>
      <c r="K103" s="67" t="n"/>
      <c r="L103" s="67" t="n"/>
      <c r="M103" s="71">
        <f>IFERROR(IF(AND(K103&lt;&gt;"",L103&lt;&gt;""),ABS(K103-L103)/ABS(K103)*100,""),"")</f>
        <v/>
      </c>
      <c r="N103" s="69" t="inlineStr">
        <is>
          <t>ND</t>
        </is>
      </c>
      <c r="O103" s="67" t="n"/>
      <c r="P103" s="67" t="n"/>
      <c r="Q103" s="71">
        <f>IFERROR(IF(AND(O103&lt;&gt;"",P103&lt;&gt;""),ABS(O103-P103)/ABS(O103)*100,""),"")</f>
        <v/>
      </c>
      <c r="R103" s="69" t="inlineStr">
        <is>
          <t>ND</t>
        </is>
      </c>
      <c r="S103" s="67" t="n">
        <v>1.7</v>
      </c>
      <c r="T103" s="67" t="n">
        <v>1.69</v>
      </c>
      <c r="U103" s="71">
        <f>IFERROR(IF(AND(S103&lt;&gt;"",T103&lt;&gt;""),ABS(S103-T103)/ABS(S103)*100,""),"")</f>
        <v/>
      </c>
      <c r="V103" s="69" t="inlineStr">
        <is>
          <t>Claude</t>
        </is>
      </c>
      <c r="W103" s="67" t="n">
        <v>36.4</v>
      </c>
      <c r="X103" s="67" t="n">
        <v>36.36</v>
      </c>
      <c r="Y103" s="71">
        <f>IFERROR(IF(AND(W103&lt;&gt;"",X103&lt;&gt;""),ABS(W103-X103)/ABS(W103)*100,""),"")</f>
        <v/>
      </c>
      <c r="Z103" s="69" t="inlineStr">
        <is>
          <t>Claude</t>
        </is>
      </c>
      <c r="AA103" s="67" t="n">
        <v>12.1</v>
      </c>
      <c r="AB103" s="67" t="n">
        <v>12.12</v>
      </c>
      <c r="AC103" s="71">
        <f>IFERROR(IF(AND(AA103&lt;&gt;"",AB103&lt;&gt;""),ABS(AA103-AB103)/ABS(AA103)*100,""),"")</f>
        <v/>
      </c>
      <c r="AD103" s="69" t="inlineStr">
        <is>
          <t>Claude</t>
        </is>
      </c>
      <c r="AE103" s="67" t="n"/>
      <c r="AF103" s="67" t="n"/>
      <c r="AG103" s="71">
        <f>IFERROR(IF(AND(AE103&lt;&gt;"",AF103&lt;&gt;""),ABS(AE103-AF103)/ABS(AE103)*100,""),"")</f>
        <v/>
      </c>
      <c r="AH103" s="69" t="inlineStr">
        <is>
          <t>ND</t>
        </is>
      </c>
      <c r="AI103" s="67" t="n"/>
      <c r="AJ103" s="67" t="n"/>
      <c r="AK103" s="71">
        <f>IFERROR(IF(AND(AI103&lt;&gt;"",AJ103&lt;&gt;""),ABS(AI103-AJ103)/ABS(AI103)*100,""),"")</f>
        <v/>
      </c>
      <c r="AL103" s="69" t="inlineStr">
        <is>
          <t>ND</t>
        </is>
      </c>
      <c r="AM103" s="67" t="n"/>
      <c r="AN103" s="67" t="n">
        <v>17.5</v>
      </c>
      <c r="AO103" s="71">
        <f>IFERROR(IF(AND(AM103&lt;&gt;"",AN103&lt;&gt;""),ABS(AM103-AN103)/ABS(AM103)*100,""),"")</f>
        <v/>
      </c>
      <c r="AP103" s="69" t="inlineStr">
        <is>
          <t>DeepSeek</t>
        </is>
      </c>
      <c r="AQ103" s="67" t="n">
        <v>3</v>
      </c>
      <c r="AR103" s="67" t="n">
        <v>3.03</v>
      </c>
      <c r="AS103" s="71">
        <f>IFERROR(IF(AND(AQ103&lt;&gt;"",AR103&lt;&gt;""),ABS(AQ103-AR103)/ABS(AQ103)*100,""),"")</f>
        <v/>
      </c>
      <c r="AT103" s="69" t="inlineStr">
        <is>
          <t>Claude</t>
        </is>
      </c>
      <c r="AU103" s="64" t="n">
        <v>29</v>
      </c>
      <c r="AV103" s="64" t="n">
        <v>0</v>
      </c>
      <c r="AW103" s="71">
        <f>IFERROR(IF(AND(AU103&lt;&gt;"",AV103&lt;&gt;""),ABS(AU103-AV103)/ABS(AU103)*100,""),"")</f>
        <v/>
      </c>
      <c r="AX103" s="66" t="inlineStr">
        <is>
          <t>MANUAL FLAG</t>
        </is>
      </c>
      <c r="AY103" s="67" t="n">
        <v>80000000</v>
      </c>
      <c r="AZ103" s="67" t="n">
        <v>80000000</v>
      </c>
      <c r="BA103" s="71">
        <f>IFERROR(IF(AND(AY103&lt;&gt;"",AZ103&lt;&gt;""),ABS(AY103-AZ103)/ABS(AY103)*100,""),"")</f>
        <v/>
      </c>
      <c r="BB103" s="69" t="inlineStr">
        <is>
          <t>Claude</t>
        </is>
      </c>
      <c r="BC103" s="67" t="n">
        <v>16</v>
      </c>
      <c r="BD103" s="67" t="n">
        <v>16</v>
      </c>
      <c r="BE103" s="71">
        <f>IFERROR(IF(AND(BC103&lt;&gt;"",BD103&lt;&gt;""),ABS(BC103-BD103)/ABS(BC103)*100,""),"")</f>
        <v/>
      </c>
      <c r="BF103" s="69" t="inlineStr">
        <is>
          <t>Claude</t>
        </is>
      </c>
      <c r="BG103" s="67" t="n">
        <v>459000</v>
      </c>
      <c r="BH103" s="67" t="n">
        <v>459000</v>
      </c>
      <c r="BI103" s="71">
        <f>IFERROR(IF(AND(BG103&lt;&gt;"",BH103&lt;&gt;""),ABS(BG103-BH103)/ABS(BG103)*100,""),"")</f>
        <v/>
      </c>
      <c r="BJ103" s="69" t="inlineStr">
        <is>
          <t>Claude</t>
        </is>
      </c>
      <c r="BK103" s="67" t="n">
        <v>17</v>
      </c>
      <c r="BL103" s="67" t="n">
        <v>17</v>
      </c>
      <c r="BM103" s="71">
        <f>IFERROR(IF(AND(BK103&lt;&gt;"",BL103&lt;&gt;""),ABS(BK103-BL103)/ABS(BK103)*100,""),"")</f>
        <v/>
      </c>
      <c r="BN103" s="69" t="inlineStr">
        <is>
          <t>Claude</t>
        </is>
      </c>
      <c r="BO103" s="67" t="n">
        <v>7</v>
      </c>
      <c r="BP103" s="67" t="n">
        <v>7</v>
      </c>
      <c r="BQ103" s="71">
        <f>IFERROR(IF(AND(BO103&lt;&gt;"",BP103&lt;&gt;""),ABS(BO103-BP103)/ABS(BO103)*100,""),"")</f>
        <v/>
      </c>
      <c r="BR103" s="69" t="inlineStr">
        <is>
          <t>Claude</t>
        </is>
      </c>
      <c r="BS103" s="67" t="n">
        <v>5</v>
      </c>
      <c r="BT103" s="67" t="n">
        <v>5</v>
      </c>
      <c r="BU103" s="71">
        <f>IFERROR(IF(AND(BS103&lt;&gt;"",BT103&lt;&gt;""),ABS(BS103-BT103)/ABS(BS103)*100,""),"")</f>
        <v/>
      </c>
      <c r="BV103" s="69" t="inlineStr">
        <is>
          <t>Claude</t>
        </is>
      </c>
      <c r="BW103" s="67" t="n">
        <v>100</v>
      </c>
      <c r="BX103" s="67" t="n">
        <v>100</v>
      </c>
      <c r="BY103" s="71">
        <f>IFERROR(IF(AND(BW103&lt;&gt;"",BX103&lt;&gt;""),ABS(BW103-BX103)/ABS(BW103)*100,""),"")</f>
        <v/>
      </c>
      <c r="BZ103" s="69" t="inlineStr">
        <is>
          <t>Claude</t>
        </is>
      </c>
      <c r="CA103" s="67" t="n">
        <v>19.3</v>
      </c>
      <c r="CB103" s="67" t="n">
        <v>19.3</v>
      </c>
      <c r="CC103" s="71">
        <f>IFERROR(IF(AND(CA103&lt;&gt;"",CB103&lt;&gt;""),ABS(CA103-CB103)/ABS(CA103)*100,""),"")</f>
        <v/>
      </c>
      <c r="CD103" s="69" t="inlineStr">
        <is>
          <t>Claude</t>
        </is>
      </c>
      <c r="CE103" s="67" t="n">
        <v>1.8</v>
      </c>
      <c r="CF103" s="67" t="n">
        <v>1.8</v>
      </c>
      <c r="CG103" s="71">
        <f>IFERROR(IF(AND(CE103&lt;&gt;"",CF103&lt;&gt;""),ABS(CE103-CF103)/ABS(CE103)*100,""),"")</f>
        <v/>
      </c>
      <c r="CH103" s="69" t="inlineStr">
        <is>
          <t>Claude</t>
        </is>
      </c>
      <c r="CI103" s="67" t="n">
        <v>1.2</v>
      </c>
      <c r="CJ103" s="67" t="n">
        <v>1.2</v>
      </c>
      <c r="CK103" s="71">
        <f>IFERROR(IF(AND(CI103&lt;&gt;"",CJ103&lt;&gt;""),ABS(CI103-CJ103)/ABS(CI103)*100,""),"")</f>
        <v/>
      </c>
      <c r="CL103" s="69" t="inlineStr">
        <is>
          <t>Claude</t>
        </is>
      </c>
      <c r="CM103" s="67" t="n">
        <v>34.1</v>
      </c>
      <c r="CN103" s="67" t="n">
        <v>34.1</v>
      </c>
      <c r="CO103" s="71">
        <f>IFERROR(IF(AND(CM103&lt;&gt;"",CN103&lt;&gt;""),ABS(CM103-CN103)/ABS(CM103)*100,""),"")</f>
        <v/>
      </c>
      <c r="CP103" s="69" t="inlineStr">
        <is>
          <t>Claude</t>
        </is>
      </c>
      <c r="CQ103" s="67" t="n">
        <v>0</v>
      </c>
      <c r="CR103" s="67" t="n"/>
      <c r="CS103" s="71">
        <f>IFERROR(IF(AND(CQ103&lt;&gt;"",CR103&lt;&gt;""),ABS(CQ103-CR103)/ABS(CQ103)*100,""),"")</f>
        <v/>
      </c>
      <c r="CT103" s="69" t="inlineStr">
        <is>
          <t>Claude</t>
        </is>
      </c>
      <c r="CU103" s="67" t="n">
        <v>0</v>
      </c>
      <c r="CV103" s="67" t="n">
        <v>0</v>
      </c>
      <c r="CW103" s="71">
        <f>IFERROR(IF(AND(CU103&lt;&gt;"",CV103&lt;&gt;""),ABS(CU103-CV103)/ABS(CU103)*100,""),"")</f>
        <v/>
      </c>
      <c r="CX103" s="69" t="inlineStr">
        <is>
          <t>Claude</t>
        </is>
      </c>
      <c r="CY103" s="64" t="n">
        <v>5</v>
      </c>
      <c r="CZ103" s="64" t="n">
        <v>6</v>
      </c>
      <c r="DA103" s="71">
        <f>IFERROR(IF(AND(CY103&lt;&gt;"",CZ103&lt;&gt;""),ABS(CY103-CZ103)/ABS(CY103)*100,""),"")</f>
        <v/>
      </c>
      <c r="DB103" s="66" t="inlineStr">
        <is>
          <t>MANUAL FLAG</t>
        </is>
      </c>
      <c r="DC103" s="68" t="n"/>
      <c r="DD103" s="68" t="n"/>
      <c r="DE103" s="71">
        <f>IFERROR(IF(AND(DC103&lt;&gt;"",DD103&lt;&gt;""),ABS(DC103-DD103)/ABS(DC103)*100,""),"")</f>
        <v/>
      </c>
      <c r="DF103" s="69" t="inlineStr">
        <is>
          <t>ND</t>
        </is>
      </c>
      <c r="DG103" s="68" t="n"/>
      <c r="DH103" s="68" t="n"/>
      <c r="DI103" s="71">
        <f>IFERROR(IF(AND(DG103&lt;&gt;"",DH103&lt;&gt;""),ABS(DG103-DH103)/ABS(DG103)*100,""),"")</f>
        <v/>
      </c>
      <c r="DJ103" s="69" t="inlineStr">
        <is>
          <t>ND</t>
        </is>
      </c>
      <c r="DK103" s="68" t="n"/>
      <c r="DL103" s="68" t="n"/>
      <c r="DM103" s="71">
        <f>IFERROR(IF(AND(DK103&lt;&gt;"",DL103&lt;&gt;""),ABS(DK103-DL103)/ABS(DK103)*100,""),"")</f>
        <v/>
      </c>
      <c r="DN103" s="69" t="inlineStr">
        <is>
          <t>ND</t>
        </is>
      </c>
      <c r="DO103" s="68" t="n"/>
      <c r="DP103" s="68" t="n"/>
      <c r="DQ103" s="71">
        <f>IFERROR(IF(AND(DO103&lt;&gt;"",DP103&lt;&gt;""),ABS(DO103-DP103)/ABS(DO103)*100,""),"")</f>
        <v/>
      </c>
      <c r="DR103" s="69" t="inlineStr">
        <is>
          <t>ND</t>
        </is>
      </c>
      <c r="DS103" s="68" t="n"/>
      <c r="DT103" s="68" t="n"/>
      <c r="DU103" s="71">
        <f>IFERROR(IF(AND(DS103&lt;&gt;"",DT103&lt;&gt;""),ABS(DS103-DT103)/ABS(DS103)*100,""),"")</f>
        <v/>
      </c>
      <c r="DV103" s="69" t="inlineStr">
        <is>
          <t>ND</t>
        </is>
      </c>
      <c r="DW103" s="70" t="inlineStr">
        <is>
          <t>Claude only (DeepSeek pending). Source=2022 report, only report covering 2021. Ind.7/8=ND (headcount 38, no total workforce given either edition). Ind.9=ND (same combined-tier limitation). Ind.10=3.0 (1/33). Ind.11=29, reflects the March-2021 female-director appointment now properly year-aligned (2021 report had flagged this as 'out-of-window' for FY2020, correctly excluded there). Ind.23=0, same unit-uncertainty caveat. Ind.25=5, PROXY: combined 2020+2021 itemized count (report doesn't disaggregate by year) - MAJOR CONFLICT vs 2021 report's specific count of 15 for 2020 alone; the more recent report's lower, more cautious count is used per rule, but this represents real itemization disagreement, not just a different denominator. || DEEPSEEK RECONCILIATION - MANUAL FLAGS: Ind.11 (Female Board Directors): Claude=29, DeepSeek=0.0, Diff=100.0%; Ind.25 (COVID Response): Claude=5, DeepSeek=6, Diff=20.0%</t>
        </is>
      </c>
    </row>
    <row r="104" ht="15.75" customHeight="1" s="43">
      <c r="A104" s="62" t="n"/>
      <c r="B104" s="62" t="n"/>
      <c r="C104" s="62" t="inlineStr">
        <is>
          <t>Industrials</t>
        </is>
      </c>
      <c r="D104" s="62" t="inlineStr">
        <is>
          <t>2022</t>
        </is>
      </c>
      <c r="E104" s="63" t="inlineStr">
        <is>
          <t>HANWHA_AEROSPACE_2025.pdf (only report covering 2022)</t>
        </is>
      </c>
      <c r="F104" s="62" t="n"/>
      <c r="G104" s="64" t="n">
        <v>4.49</v>
      </c>
      <c r="H104" s="64" t="n">
        <v>0</v>
      </c>
      <c r="I104" s="65">
        <f>IFERROR(IF(AND(G104&lt;&gt;"",H104&lt;&gt;""),ABS(G104-H104)/ABS(G104)*100,""),"")</f>
        <v/>
      </c>
      <c r="J104" s="66" t="inlineStr">
        <is>
          <t>MANUAL FLAG</t>
        </is>
      </c>
      <c r="K104" s="67" t="n">
        <v>6.6</v>
      </c>
      <c r="L104" s="67" t="n">
        <v>6.919</v>
      </c>
      <c r="M104" s="65">
        <f>IFERROR(IF(AND(K104&lt;&gt;"",L104&lt;&gt;""),ABS(K104-L104)/ABS(K104)*100,""),"")</f>
        <v/>
      </c>
      <c r="N104" s="62" t="inlineStr">
        <is>
          <t>Claude</t>
        </is>
      </c>
      <c r="O104" s="67" t="n">
        <v>12.7</v>
      </c>
      <c r="P104" s="67" t="n"/>
      <c r="Q104" s="65">
        <f>IFERROR(IF(AND(O104&lt;&gt;"",P104&lt;&gt;""),ABS(O104-P104)/ABS(O104)*100,""),"")</f>
        <v/>
      </c>
      <c r="R104" s="62" t="inlineStr">
        <is>
          <t>Claude</t>
        </is>
      </c>
      <c r="S104" s="67" t="n">
        <v>6.18</v>
      </c>
      <c r="T104" s="67" t="n"/>
      <c r="U104" s="65">
        <f>IFERROR(IF(AND(S104&lt;&gt;"",T104&lt;&gt;""),ABS(S104-T104)/ABS(S104)*100,""),"")</f>
        <v/>
      </c>
      <c r="V104" s="62" t="inlineStr">
        <is>
          <t>Claude</t>
        </is>
      </c>
      <c r="W104" s="67" t="n">
        <v>11.9</v>
      </c>
      <c r="X104" s="67" t="n"/>
      <c r="Y104" s="65">
        <f>IFERROR(IF(AND(W104&lt;&gt;"",X104&lt;&gt;""),ABS(W104-X104)/ABS(W104)*100,""),"")</f>
        <v/>
      </c>
      <c r="Z104" s="62" t="inlineStr">
        <is>
          <t>Claude</t>
        </is>
      </c>
      <c r="AA104" s="67" t="n">
        <v>14.1</v>
      </c>
      <c r="AB104" s="67" t="n"/>
      <c r="AC104" s="65">
        <f>IFERROR(IF(AND(AA104&lt;&gt;"",AB104&lt;&gt;""),ABS(AA104-AB104)/ABS(AA104)*100,""),"")</f>
        <v/>
      </c>
      <c r="AD104" s="62" t="inlineStr">
        <is>
          <t>Claude</t>
        </is>
      </c>
      <c r="AE104" s="67" t="n">
        <v>2.098</v>
      </c>
      <c r="AF104" s="67" t="n"/>
      <c r="AG104" s="65">
        <f>IFERROR(IF(AND(AE104&lt;&gt;"",AF104&lt;&gt;""),ABS(AE104-AF104)/ABS(AE104)*100,""),"")</f>
        <v/>
      </c>
      <c r="AH104" s="62" t="inlineStr">
        <is>
          <t>Claude</t>
        </is>
      </c>
      <c r="AI104" s="67" t="n"/>
      <c r="AJ104" s="67" t="n"/>
      <c r="AK104" s="65">
        <f>IFERROR(IF(AND(AI104&lt;&gt;"",AJ104&lt;&gt;""),ABS(AI104-AJ104)/ABS(AI104)*100,""),"")</f>
        <v/>
      </c>
      <c r="AL104" s="62" t="inlineStr">
        <is>
          <t>ND</t>
        </is>
      </c>
      <c r="AM104" s="64" t="n">
        <v>20.2</v>
      </c>
      <c r="AN104" s="64" t="n">
        <v>5.4</v>
      </c>
      <c r="AO104" s="65">
        <f>IFERROR(IF(AND(AM104&lt;&gt;"",AN104&lt;&gt;""),ABS(AM104-AN104)/ABS(AM104)*100,""),"")</f>
        <v/>
      </c>
      <c r="AP104" s="66" t="inlineStr">
        <is>
          <t>MANUAL FLAG</t>
        </is>
      </c>
      <c r="AQ104" s="64" t="n">
        <v>1.3</v>
      </c>
      <c r="AR104" s="64" t="n">
        <v>14.2857</v>
      </c>
      <c r="AS104" s="65">
        <f>IFERROR(IF(AND(AQ104&lt;&gt;"",AR104&lt;&gt;""),ABS(AQ104-AR104)/ABS(AQ104)*100,""),"")</f>
        <v/>
      </c>
      <c r="AT104" s="66" t="inlineStr">
        <is>
          <t>MANUAL FLAG</t>
        </is>
      </c>
      <c r="AU104" s="67" t="n">
        <v>29</v>
      </c>
      <c r="AV104" s="67" t="n"/>
      <c r="AW104" s="65">
        <f>IFERROR(IF(AND(AU104&lt;&gt;"",AV104&lt;&gt;""),ABS(AU104-AV104)/ABS(AU104)*100,""),"")</f>
        <v/>
      </c>
      <c r="AX104" s="62" t="inlineStr">
        <is>
          <t>Claude</t>
        </is>
      </c>
      <c r="AY104" s="64" t="n">
        <v>102000000</v>
      </c>
      <c r="AZ104" s="64" t="n">
        <v>348200000</v>
      </c>
      <c r="BA104" s="65">
        <f>IFERROR(IF(AND(AY104&lt;&gt;"",AZ104&lt;&gt;""),ABS(AY104-AZ104)/ABS(AY104)*100,""),"")</f>
        <v/>
      </c>
      <c r="BB104" s="66" t="inlineStr">
        <is>
          <t>MANUAL FLAG</t>
        </is>
      </c>
      <c r="BC104" s="67" t="n">
        <v>16.9</v>
      </c>
      <c r="BD104" s="67" t="n">
        <v>16.883</v>
      </c>
      <c r="BE104" s="65">
        <f>IFERROR(IF(AND(BC104&lt;&gt;"",BD104&lt;&gt;""),ABS(BC104-BD104)/ABS(BC104)*100,""),"")</f>
        <v/>
      </c>
      <c r="BF104" s="62" t="inlineStr">
        <is>
          <t>Claude</t>
        </is>
      </c>
      <c r="BG104" s="67" t="n">
        <v>665533</v>
      </c>
      <c r="BH104" s="67" t="n">
        <v>664000</v>
      </c>
      <c r="BI104" s="65">
        <f>IFERROR(IF(AND(BG104&lt;&gt;"",BH104&lt;&gt;""),ABS(BG104-BH104)/ABS(BG104)*100,""),"")</f>
        <v/>
      </c>
      <c r="BJ104" s="62" t="inlineStr">
        <is>
          <t>Claude</t>
        </is>
      </c>
      <c r="BK104" s="67" t="n">
        <v>16.5</v>
      </c>
      <c r="BL104" s="67" t="n">
        <v>16.5</v>
      </c>
      <c r="BM104" s="65">
        <f>IFERROR(IF(AND(BK104&lt;&gt;"",BL104&lt;&gt;""),ABS(BK104-BL104)/ABS(BK104)*100,""),"")</f>
        <v/>
      </c>
      <c r="BN104" s="62" t="inlineStr">
        <is>
          <t>Claude</t>
        </is>
      </c>
      <c r="BO104" s="67" t="n">
        <v>22</v>
      </c>
      <c r="BP104" s="67" t="n"/>
      <c r="BQ104" s="65">
        <f>IFERROR(IF(AND(BO104&lt;&gt;"",BP104&lt;&gt;""),ABS(BO104-BP104)/ABS(BO104)*100,""),"")</f>
        <v/>
      </c>
      <c r="BR104" s="62" t="inlineStr">
        <is>
          <t>Claude</t>
        </is>
      </c>
      <c r="BS104" s="67" t="n">
        <v>28</v>
      </c>
      <c r="BT104" s="67" t="n"/>
      <c r="BU104" s="65">
        <f>IFERROR(IF(AND(BS104&lt;&gt;"",BT104&lt;&gt;""),ABS(BS104-BT104)/ABS(BS104)*100,""),"")</f>
        <v/>
      </c>
      <c r="BV104" s="62" t="inlineStr">
        <is>
          <t>Claude</t>
        </is>
      </c>
      <c r="BW104" s="67" t="n"/>
      <c r="BX104" s="67" t="n"/>
      <c r="BY104" s="65">
        <f>IFERROR(IF(AND(BW104&lt;&gt;"",BX104&lt;&gt;""),ABS(BW104-BX104)/ABS(BW104)*100,""),"")</f>
        <v/>
      </c>
      <c r="BZ104" s="62" t="inlineStr">
        <is>
          <t>ND</t>
        </is>
      </c>
      <c r="CA104" s="67" t="n">
        <v>18.8</v>
      </c>
      <c r="CB104" s="67" t="n"/>
      <c r="CC104" s="65">
        <f>IFERROR(IF(AND(CA104&lt;&gt;"",CB104&lt;&gt;""),ABS(CA104-CB104)/ABS(CA104)*100,""),"")</f>
        <v/>
      </c>
      <c r="CD104" s="62" t="inlineStr">
        <is>
          <t>Claude</t>
        </is>
      </c>
      <c r="CE104" s="67" t="n">
        <v>1.6</v>
      </c>
      <c r="CF104" s="67" t="n"/>
      <c r="CG104" s="65">
        <f>IFERROR(IF(AND(CE104&lt;&gt;"",CF104&lt;&gt;""),ABS(CE104-CF104)/ABS(CE104)*100,""),"")</f>
        <v/>
      </c>
      <c r="CH104" s="62" t="inlineStr">
        <is>
          <t>Claude</t>
        </is>
      </c>
      <c r="CI104" s="67" t="n">
        <v>1.4</v>
      </c>
      <c r="CJ104" s="67" t="n"/>
      <c r="CK104" s="65">
        <f>IFERROR(IF(AND(CI104&lt;&gt;"",CJ104&lt;&gt;""),ABS(CI104-CJ104)/ABS(CI104)*100,""),"")</f>
        <v/>
      </c>
      <c r="CL104" s="62" t="inlineStr">
        <is>
          <t>Claude</t>
        </is>
      </c>
      <c r="CM104" s="67" t="n"/>
      <c r="CN104" s="67" t="n"/>
      <c r="CO104" s="65">
        <f>IFERROR(IF(AND(CM104&lt;&gt;"",CN104&lt;&gt;""),ABS(CM104-CN104)/ABS(CM104)*100,""),"")</f>
        <v/>
      </c>
      <c r="CP104" s="62" t="inlineStr">
        <is>
          <t>ND</t>
        </is>
      </c>
      <c r="CQ104" s="67" t="n">
        <v>0.09</v>
      </c>
      <c r="CR104" s="67" t="n"/>
      <c r="CS104" s="65">
        <f>IFERROR(IF(AND(CQ104&lt;&gt;"",CR104&lt;&gt;""),ABS(CQ104-CR104)/ABS(CQ104)*100,""),"")</f>
        <v/>
      </c>
      <c r="CT104" s="62" t="inlineStr">
        <is>
          <t>Claude</t>
        </is>
      </c>
      <c r="CU104" s="67" t="n"/>
      <c r="CV104" s="67" t="n"/>
      <c r="CW104" s="65">
        <f>IFERROR(IF(AND(CU104&lt;&gt;"",CV104&lt;&gt;""),ABS(CU104-CV104)/ABS(CU104)*100,""),"")</f>
        <v/>
      </c>
      <c r="CX104" s="62" t="inlineStr">
        <is>
          <t>ND</t>
        </is>
      </c>
      <c r="CY104" s="68" t="n"/>
      <c r="CZ104" s="68" t="n"/>
      <c r="DA104" s="65">
        <f>IFERROR(IF(AND(CY104&lt;&gt;"",CZ104&lt;&gt;""),ABS(CY104-CZ104)/ABS(CY104)*100,""),"")</f>
        <v/>
      </c>
      <c r="DB104" s="62" t="inlineStr">
        <is>
          <t>ND</t>
        </is>
      </c>
      <c r="DC104" s="68" t="n"/>
      <c r="DD104" s="68" t="n"/>
      <c r="DE104" s="65">
        <f>IFERROR(IF(AND(DC104&lt;&gt;"",DD104&lt;&gt;""),ABS(DC104-DD104)/ABS(DC104)*100,""),"")</f>
        <v/>
      </c>
      <c r="DF104" s="62" t="inlineStr">
        <is>
          <t>ND</t>
        </is>
      </c>
      <c r="DG104" s="68" t="n"/>
      <c r="DH104" s="68" t="n"/>
      <c r="DI104" s="65">
        <f>IFERROR(IF(AND(DG104&lt;&gt;"",DH104&lt;&gt;""),ABS(DG104-DH104)/ABS(DG104)*100,""),"")</f>
        <v/>
      </c>
      <c r="DJ104" s="62" t="inlineStr">
        <is>
          <t>ND</t>
        </is>
      </c>
      <c r="DK104" s="68" t="n"/>
      <c r="DL104" s="68" t="n"/>
      <c r="DM104" s="65">
        <f>IFERROR(IF(AND(DK104&lt;&gt;"",DL104&lt;&gt;""),ABS(DK104-DL104)/ABS(DK104)*100,""),"")</f>
        <v/>
      </c>
      <c r="DN104" s="62" t="inlineStr">
        <is>
          <t>ND</t>
        </is>
      </c>
      <c r="DO104" s="68" t="n"/>
      <c r="DP104" s="68" t="n"/>
      <c r="DQ104" s="65">
        <f>IFERROR(IF(AND(DO104&lt;&gt;"",DP104&lt;&gt;""),ABS(DO104-DP104)/ABS(DO104)*100,""),"")</f>
        <v/>
      </c>
      <c r="DR104" s="62" t="inlineStr">
        <is>
          <t>ND</t>
        </is>
      </c>
      <c r="DS104" s="68" t="n"/>
      <c r="DT104" s="68" t="n"/>
      <c r="DU104" s="65">
        <f>IFERROR(IF(AND(DS104&lt;&gt;"",DT104&lt;&gt;""),ABS(DS104-DT104)/ABS(DS104)*100,""),"")</f>
        <v/>
      </c>
      <c r="DV104" s="62" t="inlineStr">
        <is>
          <t>ND</t>
        </is>
      </c>
      <c r="DW104" s="63" t="inlineStr">
        <is>
          <t>Claude only (DeepSeek pending). Source=2025 report, only report covering 2022 (no overlap with 2022 report - clean transition). **FLAG: Ind.1 (Contract Workers %)=4.49, PROXY using the 'Contingent' employment-type category - a DIFFERENT DEFINITION than the 2022 report's 'Temporary employees' proxy used for 2019-2021. Values aren't necessarily comparable across this boundary despite both being labeled 'proxy'.** Ind.2/3 NOW COMPUTABLE for the first time (were ND/na in earlier editions) - direct from Full-time gender split. Ind.7=2.098 (%Disabled), NOW COMPUTABLE: headcount 77 / total employees 3,671 (2025 report gives explicit workforce totals, unlike earlier editions). **Ind.9=20.2 - RESTORED after the 2022 report's retraction, but using a DIFFERENT, more literal 'Middle Management positions' tier (source itself notes ≥3 non-interchangeable manager-tier definitions exist) - this is a MASSIVE jump from 2018's 4.0% and is NOT a real trend, purely definitional. Treat 2018 and 2022+ Ind.9 values as measuring different populations entirely.** Ind.12=102,000,000 - source flags its own footnote about 'year-over-year calculation-standard changes from the 3-company merger,' so even 2022-2024 internally may have some comparability caveats. Ind.18=na: RETRACTS the 2022 report's 77.8%/83.3%/100% Return-to-Work figures - this edition only has raw counts, no directly-reported rate, correctly not substituted. Ind.22=na: RETRACTS the 2022 report's clean 38.0%/36.2%/34.1% union-membership trend - this edition only has a single Feb-2025 snapshot, placed in the 2024 column instead (see 2024 note). **Ind.24=na: RETRACTS the 2022 report's clean '0' fatality figures for 2019-2021 - this edition discovered via position-verification that the report's fatality line sits under 'Non-affiliated workers' scope, not 'Employees' - a genuine rigor improvement in this extraction, not an error, but it does mean 2022-2024 fatality data is simply unavailable for the required scope.** || DEEPSEEK RECONCILIATION - MANUAL FLAGS: Ind.1 (Contract Workers%): Claude=4.49, DeepSeek=0, Diff=100.0%; Ind.9 (Female Middle Mgrs): Claude=20.2, DeepSeek=5.4, Diff=73.3%; Ind.10 (Female Executives): Claude=1.3, DeepSeek=14.2857, Diff=998.9%; Ind.12 (Annual Pay): Claude=102000000, DeepSeek=348200000, Diff=241.4% || NOTE: Ind.1 (Contract Workers%) DeepSeek=0% for 2022 is suspicious (likely a proxy/scope mismatch, possibly 'Contingent' vs 'Contract' category confusion, similar to definitional issues seen elsewhere). Ind.10 (Female Executives) and Ind.12 (Annual Pay) both show MASSIVE, systematic gaps continuing through 2023-2024 (Executives ~14-43% DeepSeek vs ~1-3% Claude; Annual Pay ~2.4-3.4x higher in DeepSeek) - these look like consistent SCOPE/DEFINITION differences (e.g. DeepSeek may be using a broader executive tier, or including bonus/consolidated-group pay in Annual Pay) rather than random extraction errors. Recommend a source-PDF check to identify which population each model actually used.</t>
        </is>
      </c>
    </row>
    <row r="105" ht="15.75" customHeight="1" s="43">
      <c r="A105" s="69" t="n"/>
      <c r="B105" s="69" t="n"/>
      <c r="C105" s="69" t="inlineStr">
        <is>
          <t>Industrials</t>
        </is>
      </c>
      <c r="D105" s="69" t="inlineStr">
        <is>
          <t>2023</t>
        </is>
      </c>
      <c r="E105" s="70" t="inlineStr">
        <is>
          <t>HANWHA_AEROSPACE_2025.pdf</t>
        </is>
      </c>
      <c r="F105" s="69" t="n"/>
      <c r="G105" s="64" t="n">
        <v>6.57</v>
      </c>
      <c r="H105" s="64" t="n">
        <v>1.9636</v>
      </c>
      <c r="I105" s="71">
        <f>IFERROR(IF(AND(G105&lt;&gt;"",H105&lt;&gt;""),ABS(G105-H105)/ABS(G105)*100,""),"")</f>
        <v/>
      </c>
      <c r="J105" s="66" t="inlineStr">
        <is>
          <t>MANUAL FLAG</t>
        </is>
      </c>
      <c r="K105" s="67" t="n">
        <v>7.6</v>
      </c>
      <c r="L105" s="67" t="n">
        <v>7.599</v>
      </c>
      <c r="M105" s="71">
        <f>IFERROR(IF(AND(K105&lt;&gt;"",L105&lt;&gt;""),ABS(K105-L105)/ABS(K105)*100,""),"")</f>
        <v/>
      </c>
      <c r="N105" s="69" t="inlineStr">
        <is>
          <t>Claude</t>
        </is>
      </c>
      <c r="O105" s="67" t="n">
        <v>7.6</v>
      </c>
      <c r="P105" s="67" t="n"/>
      <c r="Q105" s="71">
        <f>IFERROR(IF(AND(O105&lt;&gt;"",P105&lt;&gt;""),ABS(O105-P105)/ABS(O105)*100,""),"")</f>
        <v/>
      </c>
      <c r="R105" s="69" t="inlineStr">
        <is>
          <t>Claude</t>
        </is>
      </c>
      <c r="S105" s="67" t="n">
        <v>10.39</v>
      </c>
      <c r="T105" s="67" t="n"/>
      <c r="U105" s="71">
        <f>IFERROR(IF(AND(S105&lt;&gt;"",T105&lt;&gt;""),ABS(S105-T105)/ABS(S105)*100,""),"")</f>
        <v/>
      </c>
      <c r="V105" s="69" t="inlineStr">
        <is>
          <t>Claude</t>
        </is>
      </c>
      <c r="W105" s="67" t="n">
        <v>38.6</v>
      </c>
      <c r="X105" s="67" t="n"/>
      <c r="Y105" s="71">
        <f>IFERROR(IF(AND(W105&lt;&gt;"",X105&lt;&gt;""),ABS(W105-X105)/ABS(W105)*100,""),"")</f>
        <v/>
      </c>
      <c r="Z105" s="69" t="inlineStr">
        <is>
          <t>Claude</t>
        </is>
      </c>
      <c r="AA105" s="67" t="n">
        <v>10.9</v>
      </c>
      <c r="AB105" s="67" t="n"/>
      <c r="AC105" s="71">
        <f>IFERROR(IF(AND(AA105&lt;&gt;"",AB105&lt;&gt;""),ABS(AA105-AB105)/ABS(AA105)*100,""),"")</f>
        <v/>
      </c>
      <c r="AD105" s="69" t="inlineStr">
        <is>
          <t>Claude</t>
        </is>
      </c>
      <c r="AE105" s="67" t="n">
        <v>1.922</v>
      </c>
      <c r="AF105" s="67" t="n"/>
      <c r="AG105" s="71">
        <f>IFERROR(IF(AND(AE105&lt;&gt;"",AF105&lt;&gt;""),ABS(AE105-AF105)/ABS(AE105)*100,""),"")</f>
        <v/>
      </c>
      <c r="AH105" s="69" t="inlineStr">
        <is>
          <t>Claude</t>
        </is>
      </c>
      <c r="AI105" s="67" t="n"/>
      <c r="AJ105" s="67" t="n"/>
      <c r="AK105" s="71">
        <f>IFERROR(IF(AND(AI105&lt;&gt;"",AJ105&lt;&gt;""),ABS(AI105-AJ105)/ABS(AI105)*100,""),"")</f>
        <v/>
      </c>
      <c r="AL105" s="69" t="inlineStr">
        <is>
          <t>ND</t>
        </is>
      </c>
      <c r="AM105" s="64" t="n">
        <v>18.7</v>
      </c>
      <c r="AN105" s="64" t="n">
        <v>6.5</v>
      </c>
      <c r="AO105" s="71">
        <f>IFERROR(IF(AND(AM105&lt;&gt;"",AN105&lt;&gt;""),ABS(AM105-AN105)/ABS(AM105)*100,""),"")</f>
        <v/>
      </c>
      <c r="AP105" s="66" t="inlineStr">
        <is>
          <t>MANUAL FLAG</t>
        </is>
      </c>
      <c r="AQ105" s="64" t="n">
        <v>2.9</v>
      </c>
      <c r="AR105" s="64" t="n">
        <v>42.8571</v>
      </c>
      <c r="AS105" s="71">
        <f>IFERROR(IF(AND(AQ105&lt;&gt;"",AR105&lt;&gt;""),ABS(AQ105-AR105)/ABS(AQ105)*100,""),"")</f>
        <v/>
      </c>
      <c r="AT105" s="66" t="inlineStr">
        <is>
          <t>MANUAL FLAG</t>
        </is>
      </c>
      <c r="AU105" s="67" t="n">
        <v>14</v>
      </c>
      <c r="AV105" s="67" t="n"/>
      <c r="AW105" s="71">
        <f>IFERROR(IF(AND(AU105&lt;&gt;"",AV105&lt;&gt;""),ABS(AU105-AV105)/ABS(AU105)*100,""),"")</f>
        <v/>
      </c>
      <c r="AX105" s="69" t="inlineStr">
        <is>
          <t>Claude</t>
        </is>
      </c>
      <c r="AY105" s="64" t="n">
        <v>91000000</v>
      </c>
      <c r="AZ105" s="64" t="n">
        <v>299400000</v>
      </c>
      <c r="BA105" s="71">
        <f>IFERROR(IF(AND(AY105&lt;&gt;"",AZ105&lt;&gt;""),ABS(AY105-AZ105)/ABS(AY105)*100,""),"")</f>
        <v/>
      </c>
      <c r="BB105" s="66" t="inlineStr">
        <is>
          <t>MANUAL FLAG</t>
        </is>
      </c>
      <c r="BC105" s="67" t="n">
        <v>12.5</v>
      </c>
      <c r="BD105" s="67" t="n">
        <v>12.5</v>
      </c>
      <c r="BE105" s="71">
        <f>IFERROR(IF(AND(BC105&lt;&gt;"",BD105&lt;&gt;""),ABS(BC105-BD105)/ABS(BC105)*100,""),"")</f>
        <v/>
      </c>
      <c r="BF105" s="69" t="inlineStr">
        <is>
          <t>Claude</t>
        </is>
      </c>
      <c r="BG105" s="67" t="n">
        <v>409038</v>
      </c>
      <c r="BH105" s="67" t="n">
        <v>408000</v>
      </c>
      <c r="BI105" s="71">
        <f>IFERROR(IF(AND(BG105&lt;&gt;"",BH105&lt;&gt;""),ABS(BG105-BH105)/ABS(BG105)*100,""),"")</f>
        <v/>
      </c>
      <c r="BJ105" s="69" t="inlineStr">
        <is>
          <t>Claude</t>
        </is>
      </c>
      <c r="BK105" s="67" t="n">
        <v>15.3</v>
      </c>
      <c r="BL105" s="67" t="n">
        <v>15.3</v>
      </c>
      <c r="BM105" s="71">
        <f>IFERROR(IF(AND(BK105&lt;&gt;"",BL105&lt;&gt;""),ABS(BK105-BL105)/ABS(BK105)*100,""),"")</f>
        <v/>
      </c>
      <c r="BN105" s="69" t="inlineStr">
        <is>
          <t>Claude</t>
        </is>
      </c>
      <c r="BO105" s="67" t="n">
        <v>19</v>
      </c>
      <c r="BP105" s="67" t="n"/>
      <c r="BQ105" s="71">
        <f>IFERROR(IF(AND(BO105&lt;&gt;"",BP105&lt;&gt;""),ABS(BO105-BP105)/ABS(BO105)*100,""),"")</f>
        <v/>
      </c>
      <c r="BR105" s="69" t="inlineStr">
        <is>
          <t>Claude</t>
        </is>
      </c>
      <c r="BS105" s="67" t="n">
        <v>42</v>
      </c>
      <c r="BT105" s="67" t="n"/>
      <c r="BU105" s="71">
        <f>IFERROR(IF(AND(BS105&lt;&gt;"",BT105&lt;&gt;""),ABS(BS105-BT105)/ABS(BS105)*100,""),"")</f>
        <v/>
      </c>
      <c r="BV105" s="69" t="inlineStr">
        <is>
          <t>Claude</t>
        </is>
      </c>
      <c r="BW105" s="67" t="n"/>
      <c r="BX105" s="67" t="n"/>
      <c r="BY105" s="71">
        <f>IFERROR(IF(AND(BW105&lt;&gt;"",BX105&lt;&gt;""),ABS(BW105-BX105)/ABS(BW105)*100,""),"")</f>
        <v/>
      </c>
      <c r="BZ105" s="69" t="inlineStr">
        <is>
          <t>ND</t>
        </is>
      </c>
      <c r="CA105" s="67" t="n">
        <v>15.7</v>
      </c>
      <c r="CB105" s="67" t="n"/>
      <c r="CC105" s="71">
        <f>IFERROR(IF(AND(CA105&lt;&gt;"",CB105&lt;&gt;""),ABS(CA105-CB105)/ABS(CA105)*100,""),"")</f>
        <v/>
      </c>
      <c r="CD105" s="69" t="inlineStr">
        <is>
          <t>Claude</t>
        </is>
      </c>
      <c r="CE105" s="67" t="n">
        <v>1.8</v>
      </c>
      <c r="CF105" s="67" t="n"/>
      <c r="CG105" s="71">
        <f>IFERROR(IF(AND(CE105&lt;&gt;"",CF105&lt;&gt;""),ABS(CE105-CF105)/ABS(CE105)*100,""),"")</f>
        <v/>
      </c>
      <c r="CH105" s="69" t="inlineStr">
        <is>
          <t>Claude</t>
        </is>
      </c>
      <c r="CI105" s="67" t="n">
        <v>0.7</v>
      </c>
      <c r="CJ105" s="67" t="n"/>
      <c r="CK105" s="71">
        <f>IFERROR(IF(AND(CI105&lt;&gt;"",CJ105&lt;&gt;""),ABS(CI105-CJ105)/ABS(CI105)*100,""),"")</f>
        <v/>
      </c>
      <c r="CL105" s="69" t="inlineStr">
        <is>
          <t>Claude</t>
        </is>
      </c>
      <c r="CM105" s="67" t="n"/>
      <c r="CN105" s="67" t="n"/>
      <c r="CO105" s="71">
        <f>IFERROR(IF(AND(CM105&lt;&gt;"",CN105&lt;&gt;""),ABS(CM105-CN105)/ABS(CM105)*100,""),"")</f>
        <v/>
      </c>
      <c r="CP105" s="69" t="inlineStr">
        <is>
          <t>ND</t>
        </is>
      </c>
      <c r="CQ105" s="67" t="n">
        <v>0.76</v>
      </c>
      <c r="CR105" s="67" t="n"/>
      <c r="CS105" s="71">
        <f>IFERROR(IF(AND(CQ105&lt;&gt;"",CR105&lt;&gt;""),ABS(CQ105-CR105)/ABS(CQ105)*100,""),"")</f>
        <v/>
      </c>
      <c r="CT105" s="69" t="inlineStr">
        <is>
          <t>Claude</t>
        </is>
      </c>
      <c r="CU105" s="67" t="n"/>
      <c r="CV105" s="67" t="n"/>
      <c r="CW105" s="71">
        <f>IFERROR(IF(AND(CU105&lt;&gt;"",CV105&lt;&gt;""),ABS(CU105-CV105)/ABS(CU105)*100,""),"")</f>
        <v/>
      </c>
      <c r="CX105" s="69" t="inlineStr">
        <is>
          <t>ND</t>
        </is>
      </c>
      <c r="CY105" s="68" t="n"/>
      <c r="CZ105" s="68" t="n"/>
      <c r="DA105" s="71">
        <f>IFERROR(IF(AND(CY105&lt;&gt;"",CZ105&lt;&gt;""),ABS(CY105-CZ105)/ABS(CY105)*100,""),"")</f>
        <v/>
      </c>
      <c r="DB105" s="69" t="inlineStr">
        <is>
          <t>ND</t>
        </is>
      </c>
      <c r="DC105" s="68" t="n"/>
      <c r="DD105" s="68" t="n"/>
      <c r="DE105" s="71">
        <f>IFERROR(IF(AND(DC105&lt;&gt;"",DD105&lt;&gt;""),ABS(DC105-DD105)/ABS(DC105)*100,""),"")</f>
        <v/>
      </c>
      <c r="DF105" s="69" t="inlineStr">
        <is>
          <t>ND</t>
        </is>
      </c>
      <c r="DG105" s="68" t="n"/>
      <c r="DH105" s="68" t="n"/>
      <c r="DI105" s="71">
        <f>IFERROR(IF(AND(DG105&lt;&gt;"",DH105&lt;&gt;""),ABS(DG105-DH105)/ABS(DG105)*100,""),"")</f>
        <v/>
      </c>
      <c r="DJ105" s="69" t="inlineStr">
        <is>
          <t>ND</t>
        </is>
      </c>
      <c r="DK105" s="68" t="n"/>
      <c r="DL105" s="68" t="n"/>
      <c r="DM105" s="71">
        <f>IFERROR(IF(AND(DK105&lt;&gt;"",DL105&lt;&gt;""),ABS(DK105-DL105)/ABS(DK105)*100,""),"")</f>
        <v/>
      </c>
      <c r="DN105" s="69" t="inlineStr">
        <is>
          <t>ND</t>
        </is>
      </c>
      <c r="DO105" s="68" t="n"/>
      <c r="DP105" s="68" t="n"/>
      <c r="DQ105" s="71">
        <f>IFERROR(IF(AND(DO105&lt;&gt;"",DP105&lt;&gt;""),ABS(DO105-DP105)/ABS(DO105)*100,""),"")</f>
        <v/>
      </c>
      <c r="DR105" s="69" t="inlineStr">
        <is>
          <t>ND</t>
        </is>
      </c>
      <c r="DS105" s="68" t="n"/>
      <c r="DT105" s="68" t="n"/>
      <c r="DU105" s="71">
        <f>IFERROR(IF(AND(DS105&lt;&gt;"",DT105&lt;&gt;""),ABS(DS105-DT105)/ABS(DS105)*100,""),"")</f>
        <v/>
      </c>
      <c r="DV105" s="69" t="inlineStr">
        <is>
          <t>ND</t>
        </is>
      </c>
      <c r="DW105" s="70" t="inlineStr">
        <is>
          <t>Claude only (DeepSeek pending). Source=2025 report. Ind.7=1.922 (%Disabled: 131/6,816 - note total workforce nearly DOUBLED from 2022's 3,671, consistent with the 3-company merger mentioned in Ind.12's note). Ind.9=18.7 (same 'Middle Management positions' definition as 2022, see that note). **Ind.19=15.7, a BIG DROP from 2022's 18.8 - likely related to the merger diluting average tenure with newly-added employees, not a data quality issue, but worth confirming.** Ind.21=0.7, PROXY (bundles retirements+dismissals, source notes a dismissal-only rate would be far lower, ~0.13% in a comparable year). || DEEPSEEK RECONCILIATION - MANUAL FLAGS: Ind.1 (Contract Workers%): Claude=6.57, DeepSeek=1.9636, Diff=70.1%; Ind.9 (Female Middle Mgrs): Claude=18.7, DeepSeek=6.5, Diff=65.2%; Ind.10 (Female Executives): Claude=2.9, DeepSeek=42.8571, Diff=1377.8%; Ind.12 (Annual Pay): Claude=91000000, DeepSeek=299400000, Diff=229.0% || NOTE: Same systematic Ind.1/9/10/12 gaps as 2022 - see that year's note. The consistency across all 3 years (2022-2024) for Ind.10 and Ind.12 suggests a stable but different definitional choice by DeepSeek, not noise.</t>
        </is>
      </c>
    </row>
    <row r="106" ht="15.75" customHeight="1" s="43">
      <c r="A106" s="62" t="n"/>
      <c r="B106" s="62" t="n"/>
      <c r="C106" s="62" t="inlineStr">
        <is>
          <t>Industrials</t>
        </is>
      </c>
      <c r="D106" s="62" t="inlineStr">
        <is>
          <t>2024</t>
        </is>
      </c>
      <c r="E106" s="63" t="inlineStr">
        <is>
          <t>HANWHA_AEROSPACE_2025.pdf</t>
        </is>
      </c>
      <c r="F106" s="62" t="n"/>
      <c r="G106" s="64" t="n">
        <v>9.98</v>
      </c>
      <c r="H106" s="64" t="n">
        <v>1.8132</v>
      </c>
      <c r="I106" s="65">
        <f>IFERROR(IF(AND(G106&lt;&gt;"",H106&lt;&gt;""),ABS(G106-H106)/ABS(G106)*100,""),"")</f>
        <v/>
      </c>
      <c r="J106" s="66" t="inlineStr">
        <is>
          <t>MANUAL FLAG</t>
        </is>
      </c>
      <c r="K106" s="67" t="n">
        <v>8.5</v>
      </c>
      <c r="L106" s="67" t="n">
        <v>8.356</v>
      </c>
      <c r="M106" s="65">
        <f>IFERROR(IF(AND(K106&lt;&gt;"",L106&lt;&gt;""),ABS(K106-L106)/ABS(K106)*100,""),"")</f>
        <v/>
      </c>
      <c r="N106" s="62" t="inlineStr">
        <is>
          <t>Claude</t>
        </is>
      </c>
      <c r="O106" s="67" t="n">
        <v>6.7</v>
      </c>
      <c r="P106" s="67" t="n"/>
      <c r="Q106" s="65">
        <f>IFERROR(IF(AND(O106&lt;&gt;"",P106&lt;&gt;""),ABS(O106-P106)/ABS(O106)*100,""),"")</f>
        <v/>
      </c>
      <c r="R106" s="62" t="inlineStr">
        <is>
          <t>Claude</t>
        </is>
      </c>
      <c r="S106" s="67" t="n">
        <v>14.27</v>
      </c>
      <c r="T106" s="67" t="n"/>
      <c r="U106" s="65">
        <f>IFERROR(IF(AND(S106&lt;&gt;"",T106&lt;&gt;""),ABS(S106-T106)/ABS(S106)*100,""),"")</f>
        <v/>
      </c>
      <c r="V106" s="62" t="inlineStr">
        <is>
          <t>Claude</t>
        </is>
      </c>
      <c r="W106" s="67" t="n">
        <v>69</v>
      </c>
      <c r="X106" s="67" t="n"/>
      <c r="Y106" s="65">
        <f>IFERROR(IF(AND(W106&lt;&gt;"",X106&lt;&gt;""),ABS(W106-X106)/ABS(W106)*100,""),"")</f>
        <v/>
      </c>
      <c r="Z106" s="62" t="inlineStr">
        <is>
          <t>Claude</t>
        </is>
      </c>
      <c r="AA106" s="67" t="n">
        <v>11.8</v>
      </c>
      <c r="AB106" s="67" t="n"/>
      <c r="AC106" s="65">
        <f>IFERROR(IF(AND(AA106&lt;&gt;"",AB106&lt;&gt;""),ABS(AA106-AB106)/ABS(AA106)*100,""),"")</f>
        <v/>
      </c>
      <c r="AD106" s="62" t="inlineStr">
        <is>
          <t>Claude</t>
        </is>
      </c>
      <c r="AE106" s="67" t="n">
        <v>1.998</v>
      </c>
      <c r="AF106" s="67" t="n"/>
      <c r="AG106" s="65">
        <f>IFERROR(IF(AND(AE106&lt;&gt;"",AF106&lt;&gt;""),ABS(AE106-AF106)/ABS(AE106)*100,""),"")</f>
        <v/>
      </c>
      <c r="AH106" s="62" t="inlineStr">
        <is>
          <t>Claude</t>
        </is>
      </c>
      <c r="AI106" s="67" t="n"/>
      <c r="AJ106" s="67" t="n"/>
      <c r="AK106" s="65">
        <f>IFERROR(IF(AND(AI106&lt;&gt;"",AJ106&lt;&gt;""),ABS(AI106-AJ106)/ABS(AI106)*100,""),"")</f>
        <v/>
      </c>
      <c r="AL106" s="62" t="inlineStr">
        <is>
          <t>ND</t>
        </is>
      </c>
      <c r="AM106" s="64" t="n">
        <v>20.3</v>
      </c>
      <c r="AN106" s="64" t="n">
        <v>7</v>
      </c>
      <c r="AO106" s="65">
        <f>IFERROR(IF(AND(AM106&lt;&gt;"",AN106&lt;&gt;""),ABS(AM106-AN106)/ABS(AM106)*100,""),"")</f>
        <v/>
      </c>
      <c r="AP106" s="66" t="inlineStr">
        <is>
          <t>MANUAL FLAG</t>
        </is>
      </c>
      <c r="AQ106" s="64" t="n">
        <v>2.7</v>
      </c>
      <c r="AR106" s="64" t="n">
        <v>42.8571</v>
      </c>
      <c r="AS106" s="65">
        <f>IFERROR(IF(AND(AQ106&lt;&gt;"",AR106&lt;&gt;""),ABS(AQ106-AR106)/ABS(AQ106)*100,""),"")</f>
        <v/>
      </c>
      <c r="AT106" s="66" t="inlineStr">
        <is>
          <t>MANUAL FLAG</t>
        </is>
      </c>
      <c r="AU106" s="67" t="n">
        <v>14</v>
      </c>
      <c r="AV106" s="67" t="n">
        <v>14</v>
      </c>
      <c r="AW106" s="65">
        <f>IFERROR(IF(AND(AU106&lt;&gt;"",AV106&lt;&gt;""),ABS(AU106-AV106)/ABS(AU106)*100,""),"")</f>
        <v/>
      </c>
      <c r="AX106" s="62" t="inlineStr">
        <is>
          <t>Claude</t>
        </is>
      </c>
      <c r="AY106" s="64" t="n">
        <v>118000000</v>
      </c>
      <c r="AZ106" s="64" t="n">
        <v>283900000</v>
      </c>
      <c r="BA106" s="65">
        <f>IFERROR(IF(AND(AY106&lt;&gt;"",AZ106&lt;&gt;""),ABS(AY106-AZ106)/ABS(AY106)*100,""),"")</f>
        <v/>
      </c>
      <c r="BB106" s="66" t="inlineStr">
        <is>
          <t>MANUAL FLAG</t>
        </is>
      </c>
      <c r="BC106" s="67" t="n">
        <v>10.7</v>
      </c>
      <c r="BD106" s="67" t="n">
        <v>10.667</v>
      </c>
      <c r="BE106" s="65">
        <f>IFERROR(IF(AND(BC106&lt;&gt;"",BD106&lt;&gt;""),ABS(BC106-BD106)/ABS(BC106)*100,""),"")</f>
        <v/>
      </c>
      <c r="BF106" s="62" t="inlineStr">
        <is>
          <t>Claude</t>
        </is>
      </c>
      <c r="BG106" s="67" t="n">
        <v>746308</v>
      </c>
      <c r="BH106" s="67" t="n">
        <v>746000</v>
      </c>
      <c r="BI106" s="65">
        <f>IFERROR(IF(AND(BG106&lt;&gt;"",BH106&lt;&gt;""),ABS(BG106-BH106)/ABS(BG106)*100,""),"")</f>
        <v/>
      </c>
      <c r="BJ106" s="62" t="inlineStr">
        <is>
          <t>Claude</t>
        </is>
      </c>
      <c r="BK106" s="67" t="n">
        <v>23.2</v>
      </c>
      <c r="BL106" s="67" t="n">
        <v>23.2</v>
      </c>
      <c r="BM106" s="65">
        <f>IFERROR(IF(AND(BK106&lt;&gt;"",BL106&lt;&gt;""),ABS(BK106-BL106)/ABS(BK106)*100,""),"")</f>
        <v/>
      </c>
      <c r="BN106" s="62" t="inlineStr">
        <is>
          <t>Claude</t>
        </is>
      </c>
      <c r="BO106" s="67" t="n">
        <v>39</v>
      </c>
      <c r="BP106" s="67" t="n"/>
      <c r="BQ106" s="65">
        <f>IFERROR(IF(AND(BO106&lt;&gt;"",BP106&lt;&gt;""),ABS(BO106-BP106)/ABS(BO106)*100,""),"")</f>
        <v/>
      </c>
      <c r="BR106" s="62" t="inlineStr">
        <is>
          <t>Claude</t>
        </is>
      </c>
      <c r="BS106" s="67" t="n">
        <v>54</v>
      </c>
      <c r="BT106" s="67" t="n"/>
      <c r="BU106" s="65">
        <f>IFERROR(IF(AND(BS106&lt;&gt;"",BT106&lt;&gt;""),ABS(BS106-BT106)/ABS(BS106)*100,""),"")</f>
        <v/>
      </c>
      <c r="BV106" s="62" t="inlineStr">
        <is>
          <t>Claude</t>
        </is>
      </c>
      <c r="BW106" s="67" t="n"/>
      <c r="BX106" s="67" t="n"/>
      <c r="BY106" s="65">
        <f>IFERROR(IF(AND(BW106&lt;&gt;"",BX106&lt;&gt;""),ABS(BW106-BX106)/ABS(BW106)*100,""),"")</f>
        <v/>
      </c>
      <c r="BZ106" s="62" t="inlineStr">
        <is>
          <t>ND</t>
        </is>
      </c>
      <c r="CA106" s="67" t="n">
        <v>14.8</v>
      </c>
      <c r="CB106" s="67" t="n"/>
      <c r="CC106" s="65">
        <f>IFERROR(IF(AND(CA106&lt;&gt;"",CB106&lt;&gt;""),ABS(CA106-CB106)/ABS(CA106)*100,""),"")</f>
        <v/>
      </c>
      <c r="CD106" s="62" t="inlineStr">
        <is>
          <t>Claude</t>
        </is>
      </c>
      <c r="CE106" s="67" t="n">
        <v>2.6</v>
      </c>
      <c r="CF106" s="67" t="n"/>
      <c r="CG106" s="65">
        <f>IFERROR(IF(AND(CE106&lt;&gt;"",CF106&lt;&gt;""),ABS(CE106-CF106)/ABS(CE106)*100,""),"")</f>
        <v/>
      </c>
      <c r="CH106" s="62" t="inlineStr">
        <is>
          <t>Claude</t>
        </is>
      </c>
      <c r="CI106" s="67" t="n">
        <v>1.4</v>
      </c>
      <c r="CJ106" s="67" t="n"/>
      <c r="CK106" s="65">
        <f>IFERROR(IF(AND(CI106&lt;&gt;"",CJ106&lt;&gt;""),ABS(CI106-CJ106)/ABS(CI106)*100,""),"")</f>
        <v/>
      </c>
      <c r="CL106" s="62" t="inlineStr">
        <is>
          <t>Claude</t>
        </is>
      </c>
      <c r="CM106" s="67" t="n">
        <v>32.2</v>
      </c>
      <c r="CN106" s="67" t="n">
        <v>32.2</v>
      </c>
      <c r="CO106" s="65">
        <f>IFERROR(IF(AND(CM106&lt;&gt;"",CN106&lt;&gt;""),ABS(CM106-CN106)/ABS(CM106)*100,""),"")</f>
        <v/>
      </c>
      <c r="CP106" s="62" t="inlineStr">
        <is>
          <t>Claude</t>
        </is>
      </c>
      <c r="CQ106" s="67" t="n">
        <v>0.68</v>
      </c>
      <c r="CR106" s="67" t="n"/>
      <c r="CS106" s="65">
        <f>IFERROR(IF(AND(CQ106&lt;&gt;"",CR106&lt;&gt;""),ABS(CQ106-CR106)/ABS(CQ106)*100,""),"")</f>
        <v/>
      </c>
      <c r="CT106" s="62" t="inlineStr">
        <is>
          <t>Claude</t>
        </is>
      </c>
      <c r="CU106" s="67" t="n"/>
      <c r="CV106" s="67" t="n"/>
      <c r="CW106" s="65">
        <f>IFERROR(IF(AND(CU106&lt;&gt;"",CV106&lt;&gt;""),ABS(CU106-CV106)/ABS(CU106)*100,""),"")</f>
        <v/>
      </c>
      <c r="CX106" s="62" t="inlineStr">
        <is>
          <t>ND</t>
        </is>
      </c>
      <c r="CY106" s="68" t="n"/>
      <c r="CZ106" s="68" t="n"/>
      <c r="DA106" s="65">
        <f>IFERROR(IF(AND(CY106&lt;&gt;"",CZ106&lt;&gt;""),ABS(CY106-CZ106)/ABS(CY106)*100,""),"")</f>
        <v/>
      </c>
      <c r="DB106" s="62" t="inlineStr">
        <is>
          <t>ND</t>
        </is>
      </c>
      <c r="DC106" s="68" t="n"/>
      <c r="DD106" s="68" t="n">
        <v>7</v>
      </c>
      <c r="DE106" s="65">
        <f>IFERROR(IF(AND(DC106&lt;&gt;"",DD106&lt;&gt;""),ABS(DC106-DD106)/ABS(DC106)*100,""),"")</f>
        <v/>
      </c>
      <c r="DF106" s="62" t="inlineStr">
        <is>
          <t>DeepSeek</t>
        </is>
      </c>
      <c r="DG106" s="68" t="n"/>
      <c r="DH106" s="68" t="n"/>
      <c r="DI106" s="65">
        <f>IFERROR(IF(AND(DG106&lt;&gt;"",DH106&lt;&gt;""),ABS(DG106-DH106)/ABS(DG106)*100,""),"")</f>
        <v/>
      </c>
      <c r="DJ106" s="62" t="inlineStr">
        <is>
          <t>ND</t>
        </is>
      </c>
      <c r="DK106" s="68" t="n"/>
      <c r="DL106" s="68" t="n"/>
      <c r="DM106" s="65">
        <f>IFERROR(IF(AND(DK106&lt;&gt;"",DL106&lt;&gt;""),ABS(DK106-DL106)/ABS(DK106)*100,""),"")</f>
        <v/>
      </c>
      <c r="DN106" s="62" t="inlineStr">
        <is>
          <t>ND</t>
        </is>
      </c>
      <c r="DO106" s="68" t="n"/>
      <c r="DP106" s="68" t="n"/>
      <c r="DQ106" s="65">
        <f>IFERROR(IF(AND(DO106&lt;&gt;"",DP106&lt;&gt;""),ABS(DO106-DP106)/ABS(DO106)*100,""),"")</f>
        <v/>
      </c>
      <c r="DR106" s="62" t="inlineStr">
        <is>
          <t>ND</t>
        </is>
      </c>
      <c r="DS106" s="68" t="inlineStr">
        <is>
          <t>A</t>
        </is>
      </c>
      <c r="DT106" s="68" t="inlineStr">
        <is>
          <t>A</t>
        </is>
      </c>
      <c r="DU106" s="65">
        <f>IFERROR(IF(AND(DS106&lt;&gt;"",DT106&lt;&gt;""),ABS(DS106-DT106)/ABS(DS106)*100,""),"")</f>
        <v/>
      </c>
      <c r="DV106" s="62" t="inlineStr">
        <is>
          <t>Claude</t>
        </is>
      </c>
      <c r="DW106" s="63" t="inlineStr">
        <is>
          <t>Claude only (DeepSeek pending). Source=2025 report. Ind.7=1.998 (%Disabled: 153/7,659). Ind.15=23.2 - source flags this figure reconciles with NEITHER the employee-count NOR participant-count denominator disclosed elsewhere in the same table - an unresolved internal inconsistency in the report itself, used as-is since it's the report's own explicitly labeled figure. Ind.22=32.2, a Feb-2025 point-in-time snapshot (postdates FY2024) placed here as the closest available data point - year-alignment not fully confirmed. Ind.30='A', Direct and clearly confirmed this year ('retained A ratings again in 2024 from KCGS'). || DEEPSEEK RECONCILIATION - MANUAL FLAGS: Ind.1 (Contract Workers%): Claude=9.98, DeepSeek=1.8132, Diff=81.8%; Ind.9 (Female Middle Mgrs): Claude=20.3, DeepSeek=7.0, Diff=65.5%; Ind.10 (Female Executives): Claude=2.7, DeepSeek=42.8571, Diff=1487.3%; Ind.12 (Annual Pay): Claude=118000000, DeepSeek=283900000, Diff=140.6% || NOTE: Same systematic gaps continue for Ind.1/9/10/12 - see 2022 note. Ind.30 KCGS='A' matches Claude exactly for this year - good confirmation on that indicator despite the other issues.</t>
        </is>
      </c>
    </row>
    <row r="107" ht="4.5" customHeight="1" s="43">
      <c r="A107" s="72" t="n"/>
      <c r="B107" s="72" t="n"/>
      <c r="C107" s="72" t="n"/>
      <c r="D107" s="72" t="n"/>
      <c r="E107" s="72" t="n"/>
      <c r="F107" s="72" t="n"/>
      <c r="G107" s="72" t="n"/>
      <c r="H107" s="72" t="n"/>
      <c r="I107" s="72" t="n"/>
      <c r="J107" s="72" t="n"/>
      <c r="K107" s="72" t="n"/>
      <c r="L107" s="72" t="n"/>
      <c r="M107" s="72" t="n"/>
      <c r="N107" s="72" t="n"/>
      <c r="O107" s="72" t="n"/>
      <c r="P107" s="72" t="n"/>
      <c r="Q107" s="72" t="n"/>
      <c r="R107" s="72" t="n"/>
      <c r="S107" s="72" t="n"/>
      <c r="T107" s="72" t="n"/>
      <c r="U107" s="72" t="n"/>
      <c r="V107" s="72" t="n"/>
      <c r="W107" s="72" t="n"/>
      <c r="X107" s="72" t="n"/>
      <c r="Y107" s="72" t="n"/>
      <c r="Z107" s="72" t="n"/>
      <c r="AA107" s="72" t="n"/>
      <c r="AB107" s="72" t="n"/>
      <c r="AC107" s="72" t="n"/>
      <c r="AD107" s="72" t="n"/>
      <c r="AE107" s="72" t="n"/>
      <c r="AF107" s="72" t="n"/>
      <c r="AG107" s="72" t="n"/>
      <c r="AH107" s="72" t="n"/>
      <c r="AI107" s="72" t="n"/>
      <c r="AJ107" s="72" t="n"/>
      <c r="AK107" s="72" t="n"/>
      <c r="AL107" s="72" t="n"/>
      <c r="AM107" s="72" t="n"/>
      <c r="AN107" s="72" t="n"/>
      <c r="AO107" s="72" t="n"/>
      <c r="AP107" s="72" t="n"/>
      <c r="AQ107" s="72" t="n"/>
      <c r="AR107" s="72" t="n"/>
      <c r="AS107" s="72" t="n"/>
      <c r="AT107" s="72" t="n"/>
      <c r="AU107" s="72" t="n"/>
      <c r="AV107" s="72" t="n"/>
      <c r="AW107" s="72" t="n"/>
      <c r="AX107" s="72" t="n"/>
      <c r="AY107" s="72" t="n"/>
      <c r="AZ107" s="72" t="n"/>
      <c r="BA107" s="72" t="n"/>
      <c r="BB107" s="72" t="n"/>
      <c r="BC107" s="72" t="n"/>
      <c r="BD107" s="72" t="n"/>
      <c r="BE107" s="72" t="n"/>
      <c r="BF107" s="72" t="n"/>
      <c r="BG107" s="72" t="n"/>
      <c r="BH107" s="72" t="n"/>
      <c r="BI107" s="72" t="n"/>
      <c r="BJ107" s="72" t="n"/>
      <c r="BK107" s="72" t="n"/>
      <c r="BL107" s="72" t="n"/>
      <c r="BM107" s="72" t="n"/>
      <c r="BN107" s="72" t="n"/>
      <c r="BO107" s="72" t="n"/>
      <c r="BP107" s="72" t="n"/>
      <c r="BQ107" s="72" t="n"/>
      <c r="BR107" s="72" t="n"/>
      <c r="BS107" s="72" t="n"/>
      <c r="BT107" s="72" t="n"/>
      <c r="BU107" s="72" t="n"/>
      <c r="BV107" s="72" t="n"/>
      <c r="BW107" s="72" t="n"/>
      <c r="BX107" s="72" t="n"/>
      <c r="BY107" s="72" t="n"/>
      <c r="BZ107" s="72" t="n"/>
      <c r="CA107" s="72" t="n"/>
      <c r="CB107" s="72" t="n"/>
      <c r="CC107" s="72" t="n"/>
      <c r="CD107" s="72" t="n"/>
      <c r="CE107" s="72" t="n"/>
      <c r="CF107" s="72" t="n"/>
      <c r="CG107" s="72" t="n"/>
      <c r="CH107" s="72" t="n"/>
      <c r="CI107" s="72" t="n"/>
      <c r="CJ107" s="72" t="n"/>
      <c r="CK107" s="72" t="n"/>
      <c r="CL107" s="72" t="n"/>
      <c r="CM107" s="72" t="n"/>
      <c r="CN107" s="72" t="n"/>
      <c r="CO107" s="72" t="n"/>
      <c r="CP107" s="72" t="n"/>
      <c r="CQ107" s="72" t="n"/>
      <c r="CR107" s="72" t="n"/>
      <c r="CS107" s="72" t="n"/>
      <c r="CT107" s="72" t="n"/>
      <c r="CU107" s="72" t="n"/>
      <c r="CV107" s="72" t="n"/>
      <c r="CW107" s="72" t="n"/>
      <c r="CX107" s="72" t="n"/>
      <c r="CY107" s="72" t="n"/>
      <c r="CZ107" s="72" t="n"/>
      <c r="DA107" s="72" t="n"/>
      <c r="DB107" s="72" t="n"/>
      <c r="DC107" s="72" t="n"/>
      <c r="DD107" s="72" t="n"/>
      <c r="DE107" s="72" t="n"/>
      <c r="DF107" s="72" t="n"/>
      <c r="DG107" s="72" t="n"/>
      <c r="DH107" s="72" t="n"/>
      <c r="DI107" s="72" t="n"/>
      <c r="DJ107" s="72" t="n"/>
      <c r="DK107" s="72" t="n"/>
      <c r="DL107" s="72" t="n"/>
      <c r="DM107" s="72" t="n"/>
      <c r="DN107" s="72" t="n"/>
      <c r="DO107" s="72" t="n"/>
      <c r="DP107" s="72" t="n"/>
      <c r="DQ107" s="72" t="n"/>
      <c r="DR107" s="72" t="n"/>
      <c r="DS107" s="72" t="n"/>
      <c r="DT107" s="72" t="n"/>
      <c r="DU107" s="72" t="n"/>
      <c r="DV107" s="72" t="n"/>
      <c r="DW107" s="72" t="n"/>
    </row>
    <row r="108" ht="15.75" customHeight="1" s="43">
      <c r="A108" s="73" t="inlineStr">
        <is>
          <t>HANWHA OCEAN</t>
        </is>
      </c>
      <c r="B108" s="69" t="inlineStr">
        <is>
          <t>042660</t>
        </is>
      </c>
      <c r="C108" s="69" t="inlineStr">
        <is>
          <t>Industrials</t>
        </is>
      </c>
      <c r="D108" s="69" t="inlineStr">
        <is>
          <t>2018</t>
        </is>
      </c>
      <c r="E108" s="70" t="inlineStr">
        <is>
          <t>No data - report window is 2020-2023</t>
        </is>
      </c>
      <c r="F108" s="69" t="n"/>
      <c r="G108" s="67" t="n"/>
      <c r="H108" s="67" t="n"/>
      <c r="I108" s="71">
        <f>IFERROR(IF(AND(G108&lt;&gt;"",H108&lt;&gt;""),ABS(G108-H108)/ABS(G108)*100,""),"")</f>
        <v/>
      </c>
      <c r="J108" s="69" t="inlineStr">
        <is>
          <t>ND</t>
        </is>
      </c>
      <c r="K108" s="67" t="n"/>
      <c r="L108" s="67" t="n"/>
      <c r="M108" s="71">
        <f>IFERROR(IF(AND(K108&lt;&gt;"",L108&lt;&gt;""),ABS(K108-L108)/ABS(K108)*100,""),"")</f>
        <v/>
      </c>
      <c r="N108" s="69" t="inlineStr">
        <is>
          <t>ND</t>
        </is>
      </c>
      <c r="O108" s="67" t="n"/>
      <c r="P108" s="67" t="n"/>
      <c r="Q108" s="71">
        <f>IFERROR(IF(AND(O108&lt;&gt;"",P108&lt;&gt;""),ABS(O108-P108)/ABS(O108)*100,""),"")</f>
        <v/>
      </c>
      <c r="R108" s="69" t="inlineStr">
        <is>
          <t>ND</t>
        </is>
      </c>
      <c r="S108" s="67" t="n"/>
      <c r="T108" s="67" t="n"/>
      <c r="U108" s="71">
        <f>IFERROR(IF(AND(S108&lt;&gt;"",T108&lt;&gt;""),ABS(S108-T108)/ABS(S108)*100,""),"")</f>
        <v/>
      </c>
      <c r="V108" s="69" t="inlineStr">
        <is>
          <t>ND</t>
        </is>
      </c>
      <c r="W108" s="67" t="n"/>
      <c r="X108" s="67" t="n"/>
      <c r="Y108" s="71">
        <f>IFERROR(IF(AND(W108&lt;&gt;"",X108&lt;&gt;""),ABS(W108-X108)/ABS(W108)*100,""),"")</f>
        <v/>
      </c>
      <c r="Z108" s="69" t="inlineStr">
        <is>
          <t>ND</t>
        </is>
      </c>
      <c r="AA108" s="67" t="n"/>
      <c r="AB108" s="67" t="n"/>
      <c r="AC108" s="71">
        <f>IFERROR(IF(AND(AA108&lt;&gt;"",AB108&lt;&gt;""),ABS(AA108-AB108)/ABS(AA108)*100,""),"")</f>
        <v/>
      </c>
      <c r="AD108" s="69" t="inlineStr">
        <is>
          <t>ND</t>
        </is>
      </c>
      <c r="AE108" s="67" t="n"/>
      <c r="AF108" s="67" t="n"/>
      <c r="AG108" s="71">
        <f>IFERROR(IF(AND(AE108&lt;&gt;"",AF108&lt;&gt;""),ABS(AE108-AF108)/ABS(AE108)*100,""),"")</f>
        <v/>
      </c>
      <c r="AH108" s="69" t="inlineStr">
        <is>
          <t>ND</t>
        </is>
      </c>
      <c r="AI108" s="67" t="n"/>
      <c r="AJ108" s="67" t="n"/>
      <c r="AK108" s="71">
        <f>IFERROR(IF(AND(AI108&lt;&gt;"",AJ108&lt;&gt;""),ABS(AI108-AJ108)/ABS(AI108)*100,""),"")</f>
        <v/>
      </c>
      <c r="AL108" s="69" t="inlineStr">
        <is>
          <t>ND</t>
        </is>
      </c>
      <c r="AM108" s="67" t="n"/>
      <c r="AN108" s="67" t="n"/>
      <c r="AO108" s="71">
        <f>IFERROR(IF(AND(AM108&lt;&gt;"",AN108&lt;&gt;""),ABS(AM108-AN108)/ABS(AM108)*100,""),"")</f>
        <v/>
      </c>
      <c r="AP108" s="69" t="inlineStr">
        <is>
          <t>ND</t>
        </is>
      </c>
      <c r="AQ108" s="67" t="n"/>
      <c r="AR108" s="67" t="n"/>
      <c r="AS108" s="71">
        <f>IFERROR(IF(AND(AQ108&lt;&gt;"",AR108&lt;&gt;""),ABS(AQ108-AR108)/ABS(AQ108)*100,""),"")</f>
        <v/>
      </c>
      <c r="AT108" s="69" t="inlineStr">
        <is>
          <t>ND</t>
        </is>
      </c>
      <c r="AU108" s="67" t="n"/>
      <c r="AV108" s="67" t="n"/>
      <c r="AW108" s="71">
        <f>IFERROR(IF(AND(AU108&lt;&gt;"",AV108&lt;&gt;""),ABS(AU108-AV108)/ABS(AU108)*100,""),"")</f>
        <v/>
      </c>
      <c r="AX108" s="69" t="inlineStr">
        <is>
          <t>ND</t>
        </is>
      </c>
      <c r="AY108" s="67" t="n"/>
      <c r="AZ108" s="67" t="n"/>
      <c r="BA108" s="71">
        <f>IFERROR(IF(AND(AY108&lt;&gt;"",AZ108&lt;&gt;""),ABS(AY108-AZ108)/ABS(AY108)*100,""),"")</f>
        <v/>
      </c>
      <c r="BB108" s="69" t="inlineStr">
        <is>
          <t>ND</t>
        </is>
      </c>
      <c r="BC108" s="67" t="n"/>
      <c r="BD108" s="67" t="n"/>
      <c r="BE108" s="71">
        <f>IFERROR(IF(AND(BC108&lt;&gt;"",BD108&lt;&gt;""),ABS(BC108-BD108)/ABS(BC108)*100,""),"")</f>
        <v/>
      </c>
      <c r="BF108" s="69" t="inlineStr">
        <is>
          <t>ND</t>
        </is>
      </c>
      <c r="BG108" s="67" t="n"/>
      <c r="BH108" s="67" t="n"/>
      <c r="BI108" s="71">
        <f>IFERROR(IF(AND(BG108&lt;&gt;"",BH108&lt;&gt;""),ABS(BG108-BH108)/ABS(BG108)*100,""),"")</f>
        <v/>
      </c>
      <c r="BJ108" s="69" t="inlineStr">
        <is>
          <t>ND</t>
        </is>
      </c>
      <c r="BK108" s="67" t="n"/>
      <c r="BL108" s="67" t="n"/>
      <c r="BM108" s="71">
        <f>IFERROR(IF(AND(BK108&lt;&gt;"",BL108&lt;&gt;""),ABS(BK108-BL108)/ABS(BK108)*100,""),"")</f>
        <v/>
      </c>
      <c r="BN108" s="69" t="inlineStr">
        <is>
          <t>ND</t>
        </is>
      </c>
      <c r="BO108" s="67" t="n"/>
      <c r="BP108" s="67" t="n"/>
      <c r="BQ108" s="71">
        <f>IFERROR(IF(AND(BO108&lt;&gt;"",BP108&lt;&gt;""),ABS(BO108-BP108)/ABS(BO108)*100,""),"")</f>
        <v/>
      </c>
      <c r="BR108" s="69" t="inlineStr">
        <is>
          <t>ND</t>
        </is>
      </c>
      <c r="BS108" s="67" t="n"/>
      <c r="BT108" s="67" t="n"/>
      <c r="BU108" s="71">
        <f>IFERROR(IF(AND(BS108&lt;&gt;"",BT108&lt;&gt;""),ABS(BS108-BT108)/ABS(BS108)*100,""),"")</f>
        <v/>
      </c>
      <c r="BV108" s="69" t="inlineStr">
        <is>
          <t>ND</t>
        </is>
      </c>
      <c r="BW108" s="67" t="n"/>
      <c r="BX108" s="67" t="n"/>
      <c r="BY108" s="71">
        <f>IFERROR(IF(AND(BW108&lt;&gt;"",BX108&lt;&gt;""),ABS(BW108-BX108)/ABS(BW108)*100,""),"")</f>
        <v/>
      </c>
      <c r="BZ108" s="69" t="inlineStr">
        <is>
          <t>ND</t>
        </is>
      </c>
      <c r="CA108" s="67" t="n"/>
      <c r="CB108" s="67" t="n"/>
      <c r="CC108" s="71">
        <f>IFERROR(IF(AND(CA108&lt;&gt;"",CB108&lt;&gt;""),ABS(CA108-CB108)/ABS(CA108)*100,""),"")</f>
        <v/>
      </c>
      <c r="CD108" s="69" t="inlineStr">
        <is>
          <t>ND</t>
        </is>
      </c>
      <c r="CE108" s="67" t="n"/>
      <c r="CF108" s="67" t="n"/>
      <c r="CG108" s="71">
        <f>IFERROR(IF(AND(CE108&lt;&gt;"",CF108&lt;&gt;""),ABS(CE108-CF108)/ABS(CE108)*100,""),"")</f>
        <v/>
      </c>
      <c r="CH108" s="69" t="inlineStr">
        <is>
          <t>ND</t>
        </is>
      </c>
      <c r="CI108" s="67" t="n"/>
      <c r="CJ108" s="67" t="n"/>
      <c r="CK108" s="71">
        <f>IFERROR(IF(AND(CI108&lt;&gt;"",CJ108&lt;&gt;""),ABS(CI108-CJ108)/ABS(CI108)*100,""),"")</f>
        <v/>
      </c>
      <c r="CL108" s="69" t="inlineStr">
        <is>
          <t>ND</t>
        </is>
      </c>
      <c r="CM108" s="67" t="n"/>
      <c r="CN108" s="67" t="n"/>
      <c r="CO108" s="71">
        <f>IFERROR(IF(AND(CM108&lt;&gt;"",CN108&lt;&gt;""),ABS(CM108-CN108)/ABS(CM108)*100,""),"")</f>
        <v/>
      </c>
      <c r="CP108" s="69" t="inlineStr">
        <is>
          <t>ND</t>
        </is>
      </c>
      <c r="CQ108" s="67" t="n"/>
      <c r="CR108" s="67" t="n"/>
      <c r="CS108" s="71">
        <f>IFERROR(IF(AND(CQ108&lt;&gt;"",CR108&lt;&gt;""),ABS(CQ108-CR108)/ABS(CQ108)*100,""),"")</f>
        <v/>
      </c>
      <c r="CT108" s="69" t="inlineStr">
        <is>
          <t>ND</t>
        </is>
      </c>
      <c r="CU108" s="67" t="n"/>
      <c r="CV108" s="67" t="n"/>
      <c r="CW108" s="71">
        <f>IFERROR(IF(AND(CU108&lt;&gt;"",CV108&lt;&gt;""),ABS(CU108-CV108)/ABS(CU108)*100,""),"")</f>
        <v/>
      </c>
      <c r="CX108" s="69" t="inlineStr">
        <is>
          <t>ND</t>
        </is>
      </c>
      <c r="CY108" s="68" t="n"/>
      <c r="CZ108" s="68" t="n"/>
      <c r="DA108" s="71">
        <f>IFERROR(IF(AND(CY108&lt;&gt;"",CZ108&lt;&gt;""),ABS(CY108-CZ108)/ABS(CY108)*100,""),"")</f>
        <v/>
      </c>
      <c r="DB108" s="69" t="inlineStr">
        <is>
          <t>ND</t>
        </is>
      </c>
      <c r="DC108" s="68" t="n"/>
      <c r="DD108" s="68" t="n"/>
      <c r="DE108" s="71">
        <f>IFERROR(IF(AND(DC108&lt;&gt;"",DD108&lt;&gt;""),ABS(DC108-DD108)/ABS(DC108)*100,""),"")</f>
        <v/>
      </c>
      <c r="DF108" s="69" t="inlineStr">
        <is>
          <t>ND</t>
        </is>
      </c>
      <c r="DG108" s="68" t="n"/>
      <c r="DH108" s="68" t="n"/>
      <c r="DI108" s="71">
        <f>IFERROR(IF(AND(DG108&lt;&gt;"",DH108&lt;&gt;""),ABS(DG108-DH108)/ABS(DG108)*100,""),"")</f>
        <v/>
      </c>
      <c r="DJ108" s="69" t="inlineStr">
        <is>
          <t>ND</t>
        </is>
      </c>
      <c r="DK108" s="68" t="n"/>
      <c r="DL108" s="68" t="n"/>
      <c r="DM108" s="71">
        <f>IFERROR(IF(AND(DK108&lt;&gt;"",DL108&lt;&gt;""),ABS(DK108-DL108)/ABS(DK108)*100,""),"")</f>
        <v/>
      </c>
      <c r="DN108" s="69" t="inlineStr">
        <is>
          <t>ND</t>
        </is>
      </c>
      <c r="DO108" s="68" t="n"/>
      <c r="DP108" s="68" t="n"/>
      <c r="DQ108" s="71">
        <f>IFERROR(IF(AND(DO108&lt;&gt;"",DP108&lt;&gt;""),ABS(DO108-DP108)/ABS(DO108)*100,""),"")</f>
        <v/>
      </c>
      <c r="DR108" s="69" t="inlineStr">
        <is>
          <t>ND</t>
        </is>
      </c>
      <c r="DS108" s="68" t="n"/>
      <c r="DT108" s="68" t="n"/>
      <c r="DU108" s="71">
        <f>IFERROR(IF(AND(DS108&lt;&gt;"",DT108&lt;&gt;""),ABS(DS108-DT108)/ABS(DS108)*100,""),"")</f>
        <v/>
      </c>
      <c r="DV108" s="69" t="inlineStr">
        <is>
          <t>ND</t>
        </is>
      </c>
      <c r="DW108" s="70" t="inlineStr">
        <is>
          <t>No data available - report's disclosed window is 2020-2023. ND throughout.</t>
        </is>
      </c>
    </row>
    <row r="109" ht="15.75" customHeight="1" s="43">
      <c r="A109" s="62" t="n"/>
      <c r="B109" s="62" t="n"/>
      <c r="C109" s="62" t="inlineStr">
        <is>
          <t>Industrials</t>
        </is>
      </c>
      <c r="D109" s="62" t="inlineStr">
        <is>
          <t>2019</t>
        </is>
      </c>
      <c r="E109" s="63" t="inlineStr">
        <is>
          <t>No data - report window is 2020-2023</t>
        </is>
      </c>
      <c r="F109" s="62" t="n"/>
      <c r="G109" s="67" t="n"/>
      <c r="H109" s="67" t="n"/>
      <c r="I109" s="65">
        <f>IFERROR(IF(AND(G109&lt;&gt;"",H109&lt;&gt;""),ABS(G109-H109)/ABS(G109)*100,""),"")</f>
        <v/>
      </c>
      <c r="J109" s="62" t="inlineStr">
        <is>
          <t>ND</t>
        </is>
      </c>
      <c r="K109" s="67" t="n"/>
      <c r="L109" s="67" t="n"/>
      <c r="M109" s="65">
        <f>IFERROR(IF(AND(K109&lt;&gt;"",L109&lt;&gt;""),ABS(K109-L109)/ABS(K109)*100,""),"")</f>
        <v/>
      </c>
      <c r="N109" s="62" t="inlineStr">
        <is>
          <t>ND</t>
        </is>
      </c>
      <c r="O109" s="67" t="n"/>
      <c r="P109" s="67" t="n"/>
      <c r="Q109" s="65">
        <f>IFERROR(IF(AND(O109&lt;&gt;"",P109&lt;&gt;""),ABS(O109-P109)/ABS(O109)*100,""),"")</f>
        <v/>
      </c>
      <c r="R109" s="62" t="inlineStr">
        <is>
          <t>ND</t>
        </is>
      </c>
      <c r="S109" s="67" t="n"/>
      <c r="T109" s="67" t="n"/>
      <c r="U109" s="65">
        <f>IFERROR(IF(AND(S109&lt;&gt;"",T109&lt;&gt;""),ABS(S109-T109)/ABS(S109)*100,""),"")</f>
        <v/>
      </c>
      <c r="V109" s="62" t="inlineStr">
        <is>
          <t>ND</t>
        </is>
      </c>
      <c r="W109" s="67" t="n"/>
      <c r="X109" s="67" t="n"/>
      <c r="Y109" s="65">
        <f>IFERROR(IF(AND(W109&lt;&gt;"",X109&lt;&gt;""),ABS(W109-X109)/ABS(W109)*100,""),"")</f>
        <v/>
      </c>
      <c r="Z109" s="62" t="inlineStr">
        <is>
          <t>ND</t>
        </is>
      </c>
      <c r="AA109" s="67" t="n"/>
      <c r="AB109" s="67" t="n"/>
      <c r="AC109" s="65">
        <f>IFERROR(IF(AND(AA109&lt;&gt;"",AB109&lt;&gt;""),ABS(AA109-AB109)/ABS(AA109)*100,""),"")</f>
        <v/>
      </c>
      <c r="AD109" s="62" t="inlineStr">
        <is>
          <t>ND</t>
        </is>
      </c>
      <c r="AE109" s="67" t="n"/>
      <c r="AF109" s="67" t="n"/>
      <c r="AG109" s="65">
        <f>IFERROR(IF(AND(AE109&lt;&gt;"",AF109&lt;&gt;""),ABS(AE109-AF109)/ABS(AE109)*100,""),"")</f>
        <v/>
      </c>
      <c r="AH109" s="62" t="inlineStr">
        <is>
          <t>ND</t>
        </is>
      </c>
      <c r="AI109" s="67" t="n"/>
      <c r="AJ109" s="67" t="n"/>
      <c r="AK109" s="65">
        <f>IFERROR(IF(AND(AI109&lt;&gt;"",AJ109&lt;&gt;""),ABS(AI109-AJ109)/ABS(AI109)*100,""),"")</f>
        <v/>
      </c>
      <c r="AL109" s="62" t="inlineStr">
        <is>
          <t>ND</t>
        </is>
      </c>
      <c r="AM109" s="67" t="n"/>
      <c r="AN109" s="67" t="n"/>
      <c r="AO109" s="65">
        <f>IFERROR(IF(AND(AM109&lt;&gt;"",AN109&lt;&gt;""),ABS(AM109-AN109)/ABS(AM109)*100,""),"")</f>
        <v/>
      </c>
      <c r="AP109" s="62" t="inlineStr">
        <is>
          <t>ND</t>
        </is>
      </c>
      <c r="AQ109" s="67" t="n"/>
      <c r="AR109" s="67" t="n"/>
      <c r="AS109" s="65">
        <f>IFERROR(IF(AND(AQ109&lt;&gt;"",AR109&lt;&gt;""),ABS(AQ109-AR109)/ABS(AQ109)*100,""),"")</f>
        <v/>
      </c>
      <c r="AT109" s="62" t="inlineStr">
        <is>
          <t>ND</t>
        </is>
      </c>
      <c r="AU109" s="67" t="n"/>
      <c r="AV109" s="67" t="n"/>
      <c r="AW109" s="65">
        <f>IFERROR(IF(AND(AU109&lt;&gt;"",AV109&lt;&gt;""),ABS(AU109-AV109)/ABS(AU109)*100,""),"")</f>
        <v/>
      </c>
      <c r="AX109" s="62" t="inlineStr">
        <is>
          <t>ND</t>
        </is>
      </c>
      <c r="AY109" s="67" t="n"/>
      <c r="AZ109" s="67" t="n"/>
      <c r="BA109" s="65">
        <f>IFERROR(IF(AND(AY109&lt;&gt;"",AZ109&lt;&gt;""),ABS(AY109-AZ109)/ABS(AY109)*100,""),"")</f>
        <v/>
      </c>
      <c r="BB109" s="62" t="inlineStr">
        <is>
          <t>ND</t>
        </is>
      </c>
      <c r="BC109" s="67" t="n"/>
      <c r="BD109" s="67" t="n"/>
      <c r="BE109" s="65">
        <f>IFERROR(IF(AND(BC109&lt;&gt;"",BD109&lt;&gt;""),ABS(BC109-BD109)/ABS(BC109)*100,""),"")</f>
        <v/>
      </c>
      <c r="BF109" s="62" t="inlineStr">
        <is>
          <t>ND</t>
        </is>
      </c>
      <c r="BG109" s="67" t="n"/>
      <c r="BH109" s="67" t="n"/>
      <c r="BI109" s="65">
        <f>IFERROR(IF(AND(BG109&lt;&gt;"",BH109&lt;&gt;""),ABS(BG109-BH109)/ABS(BG109)*100,""),"")</f>
        <v/>
      </c>
      <c r="BJ109" s="62" t="inlineStr">
        <is>
          <t>ND</t>
        </is>
      </c>
      <c r="BK109" s="67" t="n"/>
      <c r="BL109" s="67" t="n"/>
      <c r="BM109" s="65">
        <f>IFERROR(IF(AND(BK109&lt;&gt;"",BL109&lt;&gt;""),ABS(BK109-BL109)/ABS(BK109)*100,""),"")</f>
        <v/>
      </c>
      <c r="BN109" s="62" t="inlineStr">
        <is>
          <t>ND</t>
        </is>
      </c>
      <c r="BO109" s="67" t="n"/>
      <c r="BP109" s="67" t="n"/>
      <c r="BQ109" s="65">
        <f>IFERROR(IF(AND(BO109&lt;&gt;"",BP109&lt;&gt;""),ABS(BO109-BP109)/ABS(BO109)*100,""),"")</f>
        <v/>
      </c>
      <c r="BR109" s="62" t="inlineStr">
        <is>
          <t>ND</t>
        </is>
      </c>
      <c r="BS109" s="67" t="n"/>
      <c r="BT109" s="67" t="n"/>
      <c r="BU109" s="65">
        <f>IFERROR(IF(AND(BS109&lt;&gt;"",BT109&lt;&gt;""),ABS(BS109-BT109)/ABS(BS109)*100,""),"")</f>
        <v/>
      </c>
      <c r="BV109" s="62" t="inlineStr">
        <is>
          <t>ND</t>
        </is>
      </c>
      <c r="BW109" s="67" t="n"/>
      <c r="BX109" s="67" t="n"/>
      <c r="BY109" s="65">
        <f>IFERROR(IF(AND(BW109&lt;&gt;"",BX109&lt;&gt;""),ABS(BW109-BX109)/ABS(BW109)*100,""),"")</f>
        <v/>
      </c>
      <c r="BZ109" s="62" t="inlineStr">
        <is>
          <t>ND</t>
        </is>
      </c>
      <c r="CA109" s="67" t="n"/>
      <c r="CB109" s="67" t="n"/>
      <c r="CC109" s="65">
        <f>IFERROR(IF(AND(CA109&lt;&gt;"",CB109&lt;&gt;""),ABS(CA109-CB109)/ABS(CA109)*100,""),"")</f>
        <v/>
      </c>
      <c r="CD109" s="62" t="inlineStr">
        <is>
          <t>ND</t>
        </is>
      </c>
      <c r="CE109" s="67" t="n"/>
      <c r="CF109" s="67" t="n"/>
      <c r="CG109" s="65">
        <f>IFERROR(IF(AND(CE109&lt;&gt;"",CF109&lt;&gt;""),ABS(CE109-CF109)/ABS(CE109)*100,""),"")</f>
        <v/>
      </c>
      <c r="CH109" s="62" t="inlineStr">
        <is>
          <t>ND</t>
        </is>
      </c>
      <c r="CI109" s="67" t="n"/>
      <c r="CJ109" s="67" t="n"/>
      <c r="CK109" s="65">
        <f>IFERROR(IF(AND(CI109&lt;&gt;"",CJ109&lt;&gt;""),ABS(CI109-CJ109)/ABS(CI109)*100,""),"")</f>
        <v/>
      </c>
      <c r="CL109" s="62" t="inlineStr">
        <is>
          <t>ND</t>
        </is>
      </c>
      <c r="CM109" s="67" t="n"/>
      <c r="CN109" s="67" t="n"/>
      <c r="CO109" s="65">
        <f>IFERROR(IF(AND(CM109&lt;&gt;"",CN109&lt;&gt;""),ABS(CM109-CN109)/ABS(CM109)*100,""),"")</f>
        <v/>
      </c>
      <c r="CP109" s="62" t="inlineStr">
        <is>
          <t>ND</t>
        </is>
      </c>
      <c r="CQ109" s="67" t="n"/>
      <c r="CR109" s="67" t="n"/>
      <c r="CS109" s="65">
        <f>IFERROR(IF(AND(CQ109&lt;&gt;"",CR109&lt;&gt;""),ABS(CQ109-CR109)/ABS(CQ109)*100,""),"")</f>
        <v/>
      </c>
      <c r="CT109" s="62" t="inlineStr">
        <is>
          <t>ND</t>
        </is>
      </c>
      <c r="CU109" s="67" t="n"/>
      <c r="CV109" s="67" t="n"/>
      <c r="CW109" s="65">
        <f>IFERROR(IF(AND(CU109&lt;&gt;"",CV109&lt;&gt;""),ABS(CU109-CV109)/ABS(CU109)*100,""),"")</f>
        <v/>
      </c>
      <c r="CX109" s="62" t="inlineStr">
        <is>
          <t>ND</t>
        </is>
      </c>
      <c r="CY109" s="68" t="n"/>
      <c r="CZ109" s="68" t="n"/>
      <c r="DA109" s="65">
        <f>IFERROR(IF(AND(CY109&lt;&gt;"",CZ109&lt;&gt;""),ABS(CY109-CZ109)/ABS(CY109)*100,""),"")</f>
        <v/>
      </c>
      <c r="DB109" s="62" t="inlineStr">
        <is>
          <t>ND</t>
        </is>
      </c>
      <c r="DC109" s="68" t="n"/>
      <c r="DD109" s="68" t="n"/>
      <c r="DE109" s="65">
        <f>IFERROR(IF(AND(DC109&lt;&gt;"",DD109&lt;&gt;""),ABS(DC109-DD109)/ABS(DC109)*100,""),"")</f>
        <v/>
      </c>
      <c r="DF109" s="62" t="inlineStr">
        <is>
          <t>ND</t>
        </is>
      </c>
      <c r="DG109" s="68" t="n"/>
      <c r="DH109" s="68" t="n"/>
      <c r="DI109" s="65">
        <f>IFERROR(IF(AND(DG109&lt;&gt;"",DH109&lt;&gt;""),ABS(DG109-DH109)/ABS(DG109)*100,""),"")</f>
        <v/>
      </c>
      <c r="DJ109" s="62" t="inlineStr">
        <is>
          <t>ND</t>
        </is>
      </c>
      <c r="DK109" s="68" t="n"/>
      <c r="DL109" s="68" t="n"/>
      <c r="DM109" s="65">
        <f>IFERROR(IF(AND(DK109&lt;&gt;"",DL109&lt;&gt;""),ABS(DK109-DL109)/ABS(DK109)*100,""),"")</f>
        <v/>
      </c>
      <c r="DN109" s="62" t="inlineStr">
        <is>
          <t>ND</t>
        </is>
      </c>
      <c r="DO109" s="68" t="n"/>
      <c r="DP109" s="68" t="n"/>
      <c r="DQ109" s="65">
        <f>IFERROR(IF(AND(DO109&lt;&gt;"",DP109&lt;&gt;""),ABS(DO109-DP109)/ABS(DO109)*100,""),"")</f>
        <v/>
      </c>
      <c r="DR109" s="62" t="inlineStr">
        <is>
          <t>ND</t>
        </is>
      </c>
      <c r="DS109" s="68" t="n"/>
      <c r="DT109" s="68" t="n"/>
      <c r="DU109" s="65">
        <f>IFERROR(IF(AND(DS109&lt;&gt;"",DT109&lt;&gt;""),ABS(DS109-DT109)/ABS(DS109)*100,""),"")</f>
        <v/>
      </c>
      <c r="DV109" s="62" t="inlineStr">
        <is>
          <t>ND</t>
        </is>
      </c>
      <c r="DW109" s="63" t="inlineStr">
        <is>
          <t>No data available - see 2018 note.</t>
        </is>
      </c>
    </row>
    <row r="110" ht="15.75" customHeight="1" s="43">
      <c r="A110" s="69" t="n"/>
      <c r="B110" s="69" t="n"/>
      <c r="C110" s="69" t="inlineStr">
        <is>
          <t>Industrials</t>
        </is>
      </c>
      <c r="D110" s="69" t="inlineStr">
        <is>
          <t>2020</t>
        </is>
      </c>
      <c r="E110" s="70" t="inlineStr">
        <is>
          <t>hanwha_ocean_2023.pdf (only report covering 2020)</t>
        </is>
      </c>
      <c r="F110" s="69" t="n"/>
      <c r="G110" s="67" t="n">
        <v>4.27</v>
      </c>
      <c r="H110" s="67" t="n"/>
      <c r="I110" s="71">
        <f>IFERROR(IF(AND(G110&lt;&gt;"",H110&lt;&gt;""),ABS(G110-H110)/ABS(G110)*100,""),"")</f>
        <v/>
      </c>
      <c r="J110" s="69" t="inlineStr">
        <is>
          <t>Claude</t>
        </is>
      </c>
      <c r="K110" s="67" t="n">
        <v>3.35</v>
      </c>
      <c r="L110" s="67" t="n"/>
      <c r="M110" s="71">
        <f>IFERROR(IF(AND(K110&lt;&gt;"",L110&lt;&gt;""),ABS(K110-L110)/ABS(K110)*100,""),"")</f>
        <v/>
      </c>
      <c r="N110" s="69" t="inlineStr">
        <is>
          <t>Claude</t>
        </is>
      </c>
      <c r="O110" s="67" t="n">
        <v>20.1</v>
      </c>
      <c r="P110" s="67" t="n"/>
      <c r="Q110" s="71">
        <f>IFERROR(IF(AND(O110&lt;&gt;"",P110&lt;&gt;""),ABS(O110-P110)/ABS(O110)*100,""),"")</f>
        <v/>
      </c>
      <c r="R110" s="69" t="inlineStr">
        <is>
          <t>Claude</t>
        </is>
      </c>
      <c r="S110" s="64" t="n">
        <v>4.39</v>
      </c>
      <c r="T110" s="64" t="n">
        <v>0.95</v>
      </c>
      <c r="U110" s="71">
        <f>IFERROR(IF(AND(S110&lt;&gt;"",T110&lt;&gt;""),ABS(S110-T110)/ABS(S110)*100,""),"")</f>
        <v/>
      </c>
      <c r="V110" s="66" t="inlineStr">
        <is>
          <t>MANUAL FLAG</t>
        </is>
      </c>
      <c r="W110" s="67" t="n"/>
      <c r="X110" s="67" t="n">
        <v>20.93</v>
      </c>
      <c r="Y110" s="71">
        <f>IFERROR(IF(AND(W110&lt;&gt;"",X110&lt;&gt;""),ABS(W110-X110)/ABS(W110)*100,""),"")</f>
        <v/>
      </c>
      <c r="Z110" s="69" t="inlineStr">
        <is>
          <t>DeepSeek</t>
        </is>
      </c>
      <c r="AA110" s="64" t="n">
        <v>3.13</v>
      </c>
      <c r="AB110" s="64" t="n">
        <v>11.63</v>
      </c>
      <c r="AC110" s="71">
        <f>IFERROR(IF(AND(AA110&lt;&gt;"",AB110&lt;&gt;""),ABS(AA110-AB110)/ABS(AA110)*100,""),"")</f>
        <v/>
      </c>
      <c r="AD110" s="66" t="inlineStr">
        <is>
          <t>MANUAL FLAG</t>
        </is>
      </c>
      <c r="AE110" s="67" t="n"/>
      <c r="AF110" s="67" t="n"/>
      <c r="AG110" s="71">
        <f>IFERROR(IF(AND(AE110&lt;&gt;"",AF110&lt;&gt;""),ABS(AE110-AF110)/ABS(AE110)*100,""),"")</f>
        <v/>
      </c>
      <c r="AH110" s="69" t="inlineStr">
        <is>
          <t>ND</t>
        </is>
      </c>
      <c r="AI110" s="67" t="n"/>
      <c r="AJ110" s="67" t="n">
        <v>0</v>
      </c>
      <c r="AK110" s="71">
        <f>IFERROR(IF(AND(AI110&lt;&gt;"",AJ110&lt;&gt;""),ABS(AI110-AJ110)/ABS(AI110)*100,""),"")</f>
        <v/>
      </c>
      <c r="AL110" s="69" t="inlineStr">
        <is>
          <t>DeepSeek</t>
        </is>
      </c>
      <c r="AM110" s="67" t="n"/>
      <c r="AN110" s="67" t="n">
        <v>11.24</v>
      </c>
      <c r="AO110" s="71">
        <f>IFERROR(IF(AND(AM110&lt;&gt;"",AN110&lt;&gt;""),ABS(AM110-AN110)/ABS(AM110)*100,""),"")</f>
        <v/>
      </c>
      <c r="AP110" s="69" t="inlineStr">
        <is>
          <t>DeepSeek</t>
        </is>
      </c>
      <c r="AQ110" s="67" t="n"/>
      <c r="AR110" s="67" t="n">
        <v>0</v>
      </c>
      <c r="AS110" s="71">
        <f>IFERROR(IF(AND(AQ110&lt;&gt;"",AR110&lt;&gt;""),ABS(AQ110-AR110)/ABS(AQ110)*100,""),"")</f>
        <v/>
      </c>
      <c r="AT110" s="69" t="inlineStr">
        <is>
          <t>DeepSeek</t>
        </is>
      </c>
      <c r="AU110" s="67" t="n"/>
      <c r="AV110" s="67" t="n">
        <v>0</v>
      </c>
      <c r="AW110" s="71">
        <f>IFERROR(IF(AND(AU110&lt;&gt;"",AV110&lt;&gt;""),ABS(AU110-AV110)/ABS(AU110)*100,""),"")</f>
        <v/>
      </c>
      <c r="AX110" s="69" t="inlineStr">
        <is>
          <t>DeepSeek</t>
        </is>
      </c>
      <c r="AY110" s="67" t="n">
        <v>72514000</v>
      </c>
      <c r="AZ110" s="67" t="n">
        <v>72514000</v>
      </c>
      <c r="BA110" s="71">
        <f>IFERROR(IF(AND(AY110&lt;&gt;"",AZ110&lt;&gt;""),ABS(AY110-AZ110)/ABS(AY110)*100,""),"")</f>
        <v/>
      </c>
      <c r="BB110" s="69" t="inlineStr">
        <is>
          <t>Claude</t>
        </is>
      </c>
      <c r="BC110" s="67" t="n">
        <v>34.67</v>
      </c>
      <c r="BD110" s="67" t="n">
        <v>34.67</v>
      </c>
      <c r="BE110" s="71">
        <f>IFERROR(IF(AND(BC110&lt;&gt;"",BD110&lt;&gt;""),ABS(BC110-BD110)/ABS(BC110)*100,""),"")</f>
        <v/>
      </c>
      <c r="BF110" s="69" t="inlineStr">
        <is>
          <t>Claude</t>
        </is>
      </c>
      <c r="BG110" s="67" t="n">
        <v>282000</v>
      </c>
      <c r="BH110" s="67" t="n"/>
      <c r="BI110" s="71">
        <f>IFERROR(IF(AND(BG110&lt;&gt;"",BH110&lt;&gt;""),ABS(BG110-BH110)/ABS(BG110)*100,""),"")</f>
        <v/>
      </c>
      <c r="BJ110" s="69" t="inlineStr">
        <is>
          <t>Claude</t>
        </is>
      </c>
      <c r="BK110" s="64" t="n">
        <v>41.3</v>
      </c>
      <c r="BL110" s="64" t="n">
        <v>21</v>
      </c>
      <c r="BM110" s="71">
        <f>IFERROR(IF(AND(BK110&lt;&gt;"",BL110&lt;&gt;""),ABS(BK110-BL110)/ABS(BK110)*100,""),"")</f>
        <v/>
      </c>
      <c r="BN110" s="66" t="inlineStr">
        <is>
          <t>MANUAL FLAG</t>
        </is>
      </c>
      <c r="BO110" s="67" t="n">
        <v>30</v>
      </c>
      <c r="BP110" s="67" t="n">
        <v>30</v>
      </c>
      <c r="BQ110" s="71">
        <f>IFERROR(IF(AND(BO110&lt;&gt;"",BP110&lt;&gt;""),ABS(BO110-BP110)/ABS(BO110)*100,""),"")</f>
        <v/>
      </c>
      <c r="BR110" s="69" t="inlineStr">
        <is>
          <t>Claude</t>
        </is>
      </c>
      <c r="BS110" s="67" t="n">
        <v>77</v>
      </c>
      <c r="BT110" s="67" t="n">
        <v>77</v>
      </c>
      <c r="BU110" s="71">
        <f>IFERROR(IF(AND(BS110&lt;&gt;"",BT110&lt;&gt;""),ABS(BS110-BT110)/ABS(BS110)*100,""),"")</f>
        <v/>
      </c>
      <c r="BV110" s="69" t="inlineStr">
        <is>
          <t>Claude</t>
        </is>
      </c>
      <c r="BW110" s="67" t="n"/>
      <c r="BX110" s="67" t="n"/>
      <c r="BY110" s="71">
        <f>IFERROR(IF(AND(BW110&lt;&gt;"",BX110&lt;&gt;""),ABS(BW110-BX110)/ABS(BW110)*100,""),"")</f>
        <v/>
      </c>
      <c r="BZ110" s="69" t="inlineStr">
        <is>
          <t>ND</t>
        </is>
      </c>
      <c r="CA110" s="67" t="n">
        <v>18.3</v>
      </c>
      <c r="CB110" s="67" t="n">
        <v>18.3</v>
      </c>
      <c r="CC110" s="71">
        <f>IFERROR(IF(AND(CA110&lt;&gt;"",CB110&lt;&gt;""),ABS(CA110-CB110)/ABS(CA110)*100,""),"")</f>
        <v/>
      </c>
      <c r="CD110" s="69" t="inlineStr">
        <is>
          <t>Claude</t>
        </is>
      </c>
      <c r="CE110" s="67" t="n">
        <v>0.79</v>
      </c>
      <c r="CF110" s="67" t="n">
        <v>0.79</v>
      </c>
      <c r="CG110" s="71">
        <f>IFERROR(IF(AND(CE110&lt;&gt;"",CF110&lt;&gt;""),ABS(CE110-CF110)/ABS(CE110)*100,""),"")</f>
        <v/>
      </c>
      <c r="CH110" s="69" t="inlineStr">
        <is>
          <t>Claude</t>
        </is>
      </c>
      <c r="CI110" s="64" t="n">
        <v>5.11</v>
      </c>
      <c r="CJ110" s="64" t="n">
        <v>4.33</v>
      </c>
      <c r="CK110" s="71">
        <f>IFERROR(IF(AND(CI110&lt;&gt;"",CJ110&lt;&gt;""),ABS(CI110-CJ110)/ABS(CI110)*100,""),"")</f>
        <v/>
      </c>
      <c r="CL110" s="66" t="inlineStr">
        <is>
          <t>MANUAL FLAG</t>
        </is>
      </c>
      <c r="CM110" s="67" t="n">
        <v>100</v>
      </c>
      <c r="CN110" s="67" t="n">
        <v>100</v>
      </c>
      <c r="CO110" s="71">
        <f>IFERROR(IF(AND(CM110&lt;&gt;"",CN110&lt;&gt;""),ABS(CM110-CN110)/ABS(CM110)*100,""),"")</f>
        <v/>
      </c>
      <c r="CP110" s="69" t="inlineStr">
        <is>
          <t>Claude</t>
        </is>
      </c>
      <c r="CQ110" s="67" t="n">
        <v>0.29</v>
      </c>
      <c r="CR110" s="67" t="n">
        <v>0.29</v>
      </c>
      <c r="CS110" s="71">
        <f>IFERROR(IF(AND(CQ110&lt;&gt;"",CR110&lt;&gt;""),ABS(CQ110-CR110)/ABS(CQ110)*100,""),"")</f>
        <v/>
      </c>
      <c r="CT110" s="69" t="inlineStr">
        <is>
          <t>Claude</t>
        </is>
      </c>
      <c r="CU110" s="67" t="n">
        <v>0</v>
      </c>
      <c r="CV110" s="67" t="n">
        <v>0</v>
      </c>
      <c r="CW110" s="71">
        <f>IFERROR(IF(AND(CU110&lt;&gt;"",CV110&lt;&gt;""),ABS(CU110-CV110)/ABS(CU110)*100,""),"")</f>
        <v/>
      </c>
      <c r="CX110" s="69" t="inlineStr">
        <is>
          <t>Claude</t>
        </is>
      </c>
      <c r="CY110" s="68" t="n"/>
      <c r="CZ110" s="68" t="n"/>
      <c r="DA110" s="71">
        <f>IFERROR(IF(AND(CY110&lt;&gt;"",CZ110&lt;&gt;""),ABS(CY110-CZ110)/ABS(CY110)*100,""),"")</f>
        <v/>
      </c>
      <c r="DB110" s="69" t="inlineStr">
        <is>
          <t>ND</t>
        </is>
      </c>
      <c r="DC110" s="68" t="n"/>
      <c r="DD110" s="68" t="n"/>
      <c r="DE110" s="71">
        <f>IFERROR(IF(AND(DC110&lt;&gt;"",DD110&lt;&gt;""),ABS(DC110-DD110)/ABS(DC110)*100,""),"")</f>
        <v/>
      </c>
      <c r="DF110" s="69" t="inlineStr">
        <is>
          <t>ND</t>
        </is>
      </c>
      <c r="DG110" s="68" t="n"/>
      <c r="DH110" s="68" t="n"/>
      <c r="DI110" s="71">
        <f>IFERROR(IF(AND(DG110&lt;&gt;"",DH110&lt;&gt;""),ABS(DG110-DH110)/ABS(DG110)*100,""),"")</f>
        <v/>
      </c>
      <c r="DJ110" s="69" t="inlineStr">
        <is>
          <t>ND</t>
        </is>
      </c>
      <c r="DK110" s="68" t="n"/>
      <c r="DL110" s="68" t="n"/>
      <c r="DM110" s="71">
        <f>IFERROR(IF(AND(DK110&lt;&gt;"",DL110&lt;&gt;""),ABS(DK110-DL110)/ABS(DK110)*100,""),"")</f>
        <v/>
      </c>
      <c r="DN110" s="69" t="inlineStr">
        <is>
          <t>ND</t>
        </is>
      </c>
      <c r="DO110" s="68" t="n"/>
      <c r="DP110" s="68" t="n"/>
      <c r="DQ110" s="71">
        <f>IFERROR(IF(AND(DO110&lt;&gt;"",DP110&lt;&gt;""),ABS(DO110-DP110)/ABS(DO110)*100,""),"")</f>
        <v/>
      </c>
      <c r="DR110" s="69" t="inlineStr">
        <is>
          <t>ND</t>
        </is>
      </c>
      <c r="DS110" s="68" t="n"/>
      <c r="DT110" s="68" t="n"/>
      <c r="DU110" s="71">
        <f>IFERROR(IF(AND(DS110&lt;&gt;"",DT110&lt;&gt;""),ABS(DS110-DT110)/ABS(DS110)*100,""),"")</f>
        <v/>
      </c>
      <c r="DV110" s="69" t="inlineStr">
        <is>
          <t>ND</t>
        </is>
      </c>
      <c r="DW110" s="70" t="inlineStr">
        <is>
          <t>Claude only (DeepSeek pending). Ind.7/8=ND: disability headcount=518, foreign headcount=10 (lower-bound calc from 8 itemized nationalities, completeness not confirmed) - no total workforce disclosed to compute %. Ind.9/10=na: only female headcounts disclosed for middle-manager/executive tiers, no male or total population - genuinely not calculable. Ind.21=5.11, PROXY (derived as overall turnover minus voluntary turnover; mutual-exclusivity assumption unconfirmed by report). Ind.23=0.29, unit=cases per 200,000 hours (not the more common per-million-hours convention). Ind.24=0, unit=per 10,000 workers, scope inferred as combined employees+contractors (not explicitly labeled by report). || DEEPSEEK RECONCILIATION - MANUAL FLAGS: Ind.4 (New Hire Rate): Claude=4.39, DeepSeek=0.95, Diff=78.4%; Ind.6 (New Hires Female%): Claude=3.13, DeepSeek=11.63, Diff=271.6%; Ind.15 (Training Hours/Employee): Claude=41.3, DeepSeek=21, Diff=49.2%; Ind.21 (Involuntary Turnover): Claude=5.11, DeepSeek=4.33, Diff=15.3% || NOTE: Ind.2 (Female Permanent%) is ~3x higher in DeepSeek across all years - possible denominator difference (e.g. DeepSeek may use a narrower 'permanent' population). Ind.15 (Training Hours) also consistently lower/more stable in DeepSeek (20-23 range) vs Claude's more volatile 21-87 range - worth checking source scope. Ind.19/20/22/23 (Length of Service, Voluntary Turnover, Union Membership, LTIFR) all matched Claude EXACTLY across all 4 years - strong confidence there.</t>
        </is>
      </c>
    </row>
    <row r="111" ht="15.75" customHeight="1" s="43">
      <c r="A111" s="62" t="n"/>
      <c r="B111" s="62" t="n"/>
      <c r="C111" s="62" t="inlineStr">
        <is>
          <t>Industrials</t>
        </is>
      </c>
      <c r="D111" s="62" t="inlineStr">
        <is>
          <t>2021</t>
        </is>
      </c>
      <c r="E111" s="63" t="inlineStr">
        <is>
          <t>hanwha_ocean_2023.pdf (only report covering 2021)</t>
        </is>
      </c>
      <c r="F111" s="62" t="n"/>
      <c r="G111" s="64" t="n">
        <v>1.66</v>
      </c>
      <c r="H111" s="64" t="n">
        <v>6.22</v>
      </c>
      <c r="I111" s="65">
        <f>IFERROR(IF(AND(G111&lt;&gt;"",H111&lt;&gt;""),ABS(G111-H111)/ABS(G111)*100,""),"")</f>
        <v/>
      </c>
      <c r="J111" s="66" t="inlineStr">
        <is>
          <t>MANUAL FLAG</t>
        </is>
      </c>
      <c r="K111" s="64" t="n">
        <v>3.44</v>
      </c>
      <c r="L111" s="64" t="n">
        <v>10.31</v>
      </c>
      <c r="M111" s="65">
        <f>IFERROR(IF(AND(K111&lt;&gt;"",L111&lt;&gt;""),ABS(K111-L111)/ABS(K111)*100,""),"")</f>
        <v/>
      </c>
      <c r="N111" s="66" t="inlineStr">
        <is>
          <t>MANUAL FLAG</t>
        </is>
      </c>
      <c r="O111" s="64" t="n">
        <v>52.05</v>
      </c>
      <c r="P111" s="64" t="n">
        <v>30</v>
      </c>
      <c r="Q111" s="65">
        <f>IFERROR(IF(AND(O111&lt;&gt;"",P111&lt;&gt;""),ABS(O111-P111)/ABS(O111)*100,""),"")</f>
        <v/>
      </c>
      <c r="R111" s="66" t="inlineStr">
        <is>
          <t>MANUAL FLAG</t>
        </is>
      </c>
      <c r="S111" s="64" t="n">
        <v>1.6</v>
      </c>
      <c r="T111" s="64" t="n">
        <v>0.17</v>
      </c>
      <c r="U111" s="65">
        <f>IFERROR(IF(AND(S111&lt;&gt;"",T111&lt;&gt;""),ABS(S111-T111)/ABS(S111)*100,""),"")</f>
        <v/>
      </c>
      <c r="V111" s="66" t="inlineStr">
        <is>
          <t>MANUAL FLAG</t>
        </is>
      </c>
      <c r="W111" s="67" t="n"/>
      <c r="X111" s="67" t="n">
        <v>6.67</v>
      </c>
      <c r="Y111" s="65">
        <f>IFERROR(IF(AND(W111&lt;&gt;"",X111&lt;&gt;""),ABS(W111-X111)/ABS(W111)*100,""),"")</f>
        <v/>
      </c>
      <c r="Z111" s="62" t="inlineStr">
        <is>
          <t>DeepSeek</t>
        </is>
      </c>
      <c r="AA111" s="64" t="n">
        <v>7.8</v>
      </c>
      <c r="AB111" s="64" t="n">
        <v>0</v>
      </c>
      <c r="AC111" s="65">
        <f>IFERROR(IF(AND(AA111&lt;&gt;"",AB111&lt;&gt;""),ABS(AA111-AB111)/ABS(AA111)*100,""),"")</f>
        <v/>
      </c>
      <c r="AD111" s="66" t="inlineStr">
        <is>
          <t>MANUAL FLAG</t>
        </is>
      </c>
      <c r="AE111" s="67" t="n"/>
      <c r="AF111" s="67" t="n"/>
      <c r="AG111" s="65">
        <f>IFERROR(IF(AND(AE111&lt;&gt;"",AF111&lt;&gt;""),ABS(AE111-AF111)/ABS(AE111)*100,""),"")</f>
        <v/>
      </c>
      <c r="AH111" s="62" t="inlineStr">
        <is>
          <t>ND</t>
        </is>
      </c>
      <c r="AI111" s="67" t="n"/>
      <c r="AJ111" s="67" t="n">
        <v>0</v>
      </c>
      <c r="AK111" s="65">
        <f>IFERROR(IF(AND(AI111&lt;&gt;"",AJ111&lt;&gt;""),ABS(AI111-AJ111)/ABS(AI111)*100,""),"")</f>
        <v/>
      </c>
      <c r="AL111" s="62" t="inlineStr">
        <is>
          <t>DeepSeek</t>
        </is>
      </c>
      <c r="AM111" s="67" t="n"/>
      <c r="AN111" s="67" t="n">
        <v>13.16</v>
      </c>
      <c r="AO111" s="65">
        <f>IFERROR(IF(AND(AM111&lt;&gt;"",AN111&lt;&gt;""),ABS(AM111-AN111)/ABS(AM111)*100,""),"")</f>
        <v/>
      </c>
      <c r="AP111" s="62" t="inlineStr">
        <is>
          <t>DeepSeek</t>
        </is>
      </c>
      <c r="AQ111" s="67" t="n"/>
      <c r="AR111" s="67" t="n">
        <v>0</v>
      </c>
      <c r="AS111" s="65">
        <f>IFERROR(IF(AND(AQ111&lt;&gt;"",AR111&lt;&gt;""),ABS(AQ111-AR111)/ABS(AQ111)*100,""),"")</f>
        <v/>
      </c>
      <c r="AT111" s="62" t="inlineStr">
        <is>
          <t>DeepSeek</t>
        </is>
      </c>
      <c r="AU111" s="67" t="n"/>
      <c r="AV111" s="67" t="n">
        <v>0</v>
      </c>
      <c r="AW111" s="65">
        <f>IFERROR(IF(AND(AU111&lt;&gt;"",AV111&lt;&gt;""),ABS(AU111-AV111)/ABS(AU111)*100,""),"")</f>
        <v/>
      </c>
      <c r="AX111" s="62" t="inlineStr">
        <is>
          <t>DeepSeek</t>
        </is>
      </c>
      <c r="AY111" s="67" t="n">
        <v>67912000</v>
      </c>
      <c r="AZ111" s="67" t="n">
        <v>67912000</v>
      </c>
      <c r="BA111" s="65">
        <f>IFERROR(IF(AND(AY111&lt;&gt;"",AZ111&lt;&gt;""),ABS(AY111-AZ111)/ABS(AY111)*100,""),"")</f>
        <v/>
      </c>
      <c r="BB111" s="62" t="inlineStr">
        <is>
          <t>Claude</t>
        </is>
      </c>
      <c r="BC111" s="67" t="n">
        <v>33.78</v>
      </c>
      <c r="BD111" s="67" t="n">
        <v>33.78</v>
      </c>
      <c r="BE111" s="65">
        <f>IFERROR(IF(AND(BC111&lt;&gt;"",BD111&lt;&gt;""),ABS(BC111-BD111)/ABS(BC111)*100,""),"")</f>
        <v/>
      </c>
      <c r="BF111" s="62" t="inlineStr">
        <is>
          <t>Claude</t>
        </is>
      </c>
      <c r="BG111" s="67" t="n">
        <v>246000</v>
      </c>
      <c r="BH111" s="67" t="n"/>
      <c r="BI111" s="65">
        <f>IFERROR(IF(AND(BG111&lt;&gt;"",BH111&lt;&gt;""),ABS(BG111-BH111)/ABS(BG111)*100,""),"")</f>
        <v/>
      </c>
      <c r="BJ111" s="62" t="inlineStr">
        <is>
          <t>Claude</t>
        </is>
      </c>
      <c r="BK111" s="64" t="n">
        <v>45</v>
      </c>
      <c r="BL111" s="64" t="n">
        <v>23</v>
      </c>
      <c r="BM111" s="65">
        <f>IFERROR(IF(AND(BK111&lt;&gt;"",BL111&lt;&gt;""),ABS(BK111-BL111)/ABS(BK111)*100,""),"")</f>
        <v/>
      </c>
      <c r="BN111" s="66" t="inlineStr">
        <is>
          <t>MANUAL FLAG</t>
        </is>
      </c>
      <c r="BO111" s="67" t="n">
        <v>27</v>
      </c>
      <c r="BP111" s="67" t="n">
        <v>27</v>
      </c>
      <c r="BQ111" s="65">
        <f>IFERROR(IF(AND(BO111&lt;&gt;"",BP111&lt;&gt;""),ABS(BO111-BP111)/ABS(BO111)*100,""),"")</f>
        <v/>
      </c>
      <c r="BR111" s="62" t="inlineStr">
        <is>
          <t>Claude</t>
        </is>
      </c>
      <c r="BS111" s="67" t="n">
        <v>153</v>
      </c>
      <c r="BT111" s="67" t="n">
        <v>153</v>
      </c>
      <c r="BU111" s="65">
        <f>IFERROR(IF(AND(BS111&lt;&gt;"",BT111&lt;&gt;""),ABS(BS111-BT111)/ABS(BS111)*100,""),"")</f>
        <v/>
      </c>
      <c r="BV111" s="62" t="inlineStr">
        <is>
          <t>Claude</t>
        </is>
      </c>
      <c r="BW111" s="67" t="n"/>
      <c r="BX111" s="67" t="n"/>
      <c r="BY111" s="65">
        <f>IFERROR(IF(AND(BW111&lt;&gt;"",BX111&lt;&gt;""),ABS(BW111-BX111)/ABS(BW111)*100,""),"")</f>
        <v/>
      </c>
      <c r="BZ111" s="62" t="inlineStr">
        <is>
          <t>ND</t>
        </is>
      </c>
      <c r="CA111" s="67" t="n">
        <v>19</v>
      </c>
      <c r="CB111" s="67" t="n">
        <v>19</v>
      </c>
      <c r="CC111" s="65">
        <f>IFERROR(IF(AND(CA111&lt;&gt;"",CB111&lt;&gt;""),ABS(CA111-CB111)/ABS(CA111)*100,""),"")</f>
        <v/>
      </c>
      <c r="CD111" s="62" t="inlineStr">
        <is>
          <t>Claude</t>
        </is>
      </c>
      <c r="CE111" s="67" t="n">
        <v>1.26</v>
      </c>
      <c r="CF111" s="67" t="n">
        <v>1.26</v>
      </c>
      <c r="CG111" s="65">
        <f>IFERROR(IF(AND(CE111&lt;&gt;"",CF111&lt;&gt;""),ABS(CE111-CF111)/ABS(CE111)*100,""),"")</f>
        <v/>
      </c>
      <c r="CH111" s="62" t="inlineStr">
        <is>
          <t>Claude</t>
        </is>
      </c>
      <c r="CI111" s="64" t="n">
        <v>4.24</v>
      </c>
      <c r="CJ111" s="64" t="n">
        <v>3.26</v>
      </c>
      <c r="CK111" s="65">
        <f>IFERROR(IF(AND(CI111&lt;&gt;"",CJ111&lt;&gt;""),ABS(CI111-CJ111)/ABS(CI111)*100,""),"")</f>
        <v/>
      </c>
      <c r="CL111" s="66" t="inlineStr">
        <is>
          <t>MANUAL FLAG</t>
        </is>
      </c>
      <c r="CM111" s="67" t="n">
        <v>100</v>
      </c>
      <c r="CN111" s="67" t="n">
        <v>100</v>
      </c>
      <c r="CO111" s="65">
        <f>IFERROR(IF(AND(CM111&lt;&gt;"",CN111&lt;&gt;""),ABS(CM111-CN111)/ABS(CM111)*100,""),"")</f>
        <v/>
      </c>
      <c r="CP111" s="62" t="inlineStr">
        <is>
          <t>Claude</t>
        </is>
      </c>
      <c r="CQ111" s="67" t="n">
        <v>0.28</v>
      </c>
      <c r="CR111" s="67" t="n">
        <v>0.28</v>
      </c>
      <c r="CS111" s="65">
        <f>IFERROR(IF(AND(CQ111&lt;&gt;"",CR111&lt;&gt;""),ABS(CQ111-CR111)/ABS(CQ111)*100,""),"")</f>
        <v/>
      </c>
      <c r="CT111" s="62" t="inlineStr">
        <is>
          <t>Claude</t>
        </is>
      </c>
      <c r="CU111" s="67" t="n">
        <v>0</v>
      </c>
      <c r="CV111" s="67" t="n">
        <v>0</v>
      </c>
      <c r="CW111" s="65">
        <f>IFERROR(IF(AND(CU111&lt;&gt;"",CV111&lt;&gt;""),ABS(CU111-CV111)/ABS(CU111)*100,""),"")</f>
        <v/>
      </c>
      <c r="CX111" s="62" t="inlineStr">
        <is>
          <t>Claude</t>
        </is>
      </c>
      <c r="CY111" s="68" t="n"/>
      <c r="CZ111" s="68" t="n"/>
      <c r="DA111" s="65">
        <f>IFERROR(IF(AND(CY111&lt;&gt;"",CZ111&lt;&gt;""),ABS(CY111-CZ111)/ABS(CY111)*100,""),"")</f>
        <v/>
      </c>
      <c r="DB111" s="62" t="inlineStr">
        <is>
          <t>ND</t>
        </is>
      </c>
      <c r="DC111" s="68" t="n"/>
      <c r="DD111" s="68" t="n"/>
      <c r="DE111" s="65">
        <f>IFERROR(IF(AND(DC111&lt;&gt;"",DD111&lt;&gt;""),ABS(DC111-DD111)/ABS(DC111)*100,""),"")</f>
        <v/>
      </c>
      <c r="DF111" s="62" t="inlineStr">
        <is>
          <t>ND</t>
        </is>
      </c>
      <c r="DG111" s="68" t="n"/>
      <c r="DH111" s="68" t="n"/>
      <c r="DI111" s="65">
        <f>IFERROR(IF(AND(DG111&lt;&gt;"",DH111&lt;&gt;""),ABS(DG111-DH111)/ABS(DG111)*100,""),"")</f>
        <v/>
      </c>
      <c r="DJ111" s="62" t="inlineStr">
        <is>
          <t>ND</t>
        </is>
      </c>
      <c r="DK111" s="68" t="n"/>
      <c r="DL111" s="68" t="n"/>
      <c r="DM111" s="65">
        <f>IFERROR(IF(AND(DK111&lt;&gt;"",DL111&lt;&gt;""),ABS(DK111-DL111)/ABS(DK111)*100,""),"")</f>
        <v/>
      </c>
      <c r="DN111" s="62" t="inlineStr">
        <is>
          <t>ND</t>
        </is>
      </c>
      <c r="DO111" s="68" t="n"/>
      <c r="DP111" s="68" t="n"/>
      <c r="DQ111" s="65">
        <f>IFERROR(IF(AND(DO111&lt;&gt;"",DP111&lt;&gt;""),ABS(DO111-DP111)/ABS(DO111)*100,""),"")</f>
        <v/>
      </c>
      <c r="DR111" s="62" t="inlineStr">
        <is>
          <t>ND</t>
        </is>
      </c>
      <c r="DS111" s="68" t="n"/>
      <c r="DT111" s="68" t="n"/>
      <c r="DU111" s="65">
        <f>IFERROR(IF(AND(DS111&lt;&gt;"",DT111&lt;&gt;""),ABS(DS111-DT111)/ABS(DS111)*100,""),"")</f>
        <v/>
      </c>
      <c r="DV111" s="62" t="inlineStr">
        <is>
          <t>ND</t>
        </is>
      </c>
      <c r="DW111" s="63" t="inlineStr">
        <is>
          <t>Claude only (DeepSeek pending). Ind.4=305, source's OWN footnote flags this as 'Restated in report' due to a calculation-basis change. Ind.5=9 (lower-bound nationality calc). Ind.7/8=ND (no total workforce). Ind.21=4.24, PROXY (same derivation as 2020). || DEEPSEEK RECONCILIATION - MANUAL FLAGS: Ind.1 (Contract Workers%): Claude=1.66, DeepSeek=6.22, Diff=274.7%; Ind.2 (Female Permanent%): Claude=3.44, DeepSeek=10.31, Diff=199.7%; Ind.3 (Female Contract%): Claude=52.05, DeepSeek=30.0, Diff=42.4%; Ind.4 (New Hire Rate): Claude=1.6, DeepSeek=0.17, Diff=89.4%; Ind.6 (New Hires Female%): Claude=7.8, DeepSeek=0.0, Diff=100.0%; Ind.15 (Training Hours/Employee): Claude=45, DeepSeek=23, Diff=48.9%; Ind.21 (Involuntary Turnover): Claude=4.24, DeepSeek=3.26, Diff=23.1% || NOTE: Same Ind.2/15 systematic gaps as 2020, plus Ind.1 (Contract Workers%) and Ind.3 (Female Contract%) also diverge notably this year - recommend a source check for this specific year's employee-composition table.</t>
        </is>
      </c>
    </row>
    <row r="112" ht="15.75" customHeight="1" s="43">
      <c r="A112" s="69" t="n"/>
      <c r="B112" s="69" t="n"/>
      <c r="C112" s="69" t="inlineStr">
        <is>
          <t>Industrials</t>
        </is>
      </c>
      <c r="D112" s="69" t="inlineStr">
        <is>
          <t>2022</t>
        </is>
      </c>
      <c r="E112" s="70" t="inlineStr">
        <is>
          <t>hanwha_ocean_2023.pdf (only report covering 2022)</t>
        </is>
      </c>
      <c r="F112" s="69" t="n"/>
      <c r="G112" s="64" t="n">
        <v>3.71</v>
      </c>
      <c r="H112" s="64" t="n">
        <v>8.960000000000001</v>
      </c>
      <c r="I112" s="71">
        <f>IFERROR(IF(AND(G112&lt;&gt;"",H112&lt;&gt;""),ABS(G112-H112)/ABS(G112)*100,""),"")</f>
        <v/>
      </c>
      <c r="J112" s="66" t="inlineStr">
        <is>
          <t>MANUAL FLAG</t>
        </is>
      </c>
      <c r="K112" s="64" t="n">
        <v>3.69</v>
      </c>
      <c r="L112" s="64" t="n">
        <v>9.77</v>
      </c>
      <c r="M112" s="71">
        <f>IFERROR(IF(AND(K112&lt;&gt;"",L112&lt;&gt;""),ABS(K112-L112)/ABS(K112)*100,""),"")</f>
        <v/>
      </c>
      <c r="N112" s="66" t="inlineStr">
        <is>
          <t>MANUAL FLAG</t>
        </is>
      </c>
      <c r="O112" s="64" t="n">
        <v>29.38</v>
      </c>
      <c r="P112" s="64" t="n">
        <v>24</v>
      </c>
      <c r="Q112" s="71">
        <f>IFERROR(IF(AND(O112&lt;&gt;"",P112&lt;&gt;""),ABS(O112-P112)/ABS(O112)*100,""),"")</f>
        <v/>
      </c>
      <c r="R112" s="66" t="inlineStr">
        <is>
          <t>MANUAL FLAG</t>
        </is>
      </c>
      <c r="S112" s="64" t="n">
        <v>6.65</v>
      </c>
      <c r="T112" s="64" t="n">
        <v>3.63</v>
      </c>
      <c r="U112" s="71">
        <f>IFERROR(IF(AND(S112&lt;&gt;"",T112&lt;&gt;""),ABS(S112-T112)/ABS(S112)*100,""),"")</f>
        <v/>
      </c>
      <c r="V112" s="66" t="inlineStr">
        <is>
          <t>MANUAL FLAG</t>
        </is>
      </c>
      <c r="W112" s="67" t="n"/>
      <c r="X112" s="67" t="n">
        <v>12.83</v>
      </c>
      <c r="Y112" s="71">
        <f>IFERROR(IF(AND(W112&lt;&gt;"",X112&lt;&gt;""),ABS(W112-X112)/ABS(W112)*100,""),"")</f>
        <v/>
      </c>
      <c r="Z112" s="69" t="inlineStr">
        <is>
          <t>DeepSeek</t>
        </is>
      </c>
      <c r="AA112" s="64" t="n">
        <v>10.45</v>
      </c>
      <c r="AB112" s="64" t="n">
        <v>8.880000000000001</v>
      </c>
      <c r="AC112" s="71">
        <f>IFERROR(IF(AND(AA112&lt;&gt;"",AB112&lt;&gt;""),ABS(AA112-AB112)/ABS(AA112)*100,""),"")</f>
        <v/>
      </c>
      <c r="AD112" s="66" t="inlineStr">
        <is>
          <t>MANUAL FLAG</t>
        </is>
      </c>
      <c r="AE112" s="67" t="n"/>
      <c r="AF112" s="67" t="n"/>
      <c r="AG112" s="71">
        <f>IFERROR(IF(AND(AE112&lt;&gt;"",AF112&lt;&gt;""),ABS(AE112-AF112)/ABS(AE112)*100,""),"")</f>
        <v/>
      </c>
      <c r="AH112" s="69" t="inlineStr">
        <is>
          <t>ND</t>
        </is>
      </c>
      <c r="AI112" s="67" t="n"/>
      <c r="AJ112" s="67" t="n">
        <v>0</v>
      </c>
      <c r="AK112" s="71">
        <f>IFERROR(IF(AND(AI112&lt;&gt;"",AJ112&lt;&gt;""),ABS(AI112-AJ112)/ABS(AI112)*100,""),"")</f>
        <v/>
      </c>
      <c r="AL112" s="69" t="inlineStr">
        <is>
          <t>DeepSeek</t>
        </is>
      </c>
      <c r="AM112" s="67" t="n"/>
      <c r="AN112" s="67" t="n">
        <v>17.06</v>
      </c>
      <c r="AO112" s="71">
        <f>IFERROR(IF(AND(AM112&lt;&gt;"",AN112&lt;&gt;""),ABS(AM112-AN112)/ABS(AM112)*100,""),"")</f>
        <v/>
      </c>
      <c r="AP112" s="69" t="inlineStr">
        <is>
          <t>DeepSeek</t>
        </is>
      </c>
      <c r="AQ112" s="67" t="n"/>
      <c r="AR112" s="67" t="n">
        <v>0</v>
      </c>
      <c r="AS112" s="71">
        <f>IFERROR(IF(AND(AQ112&lt;&gt;"",AR112&lt;&gt;""),ABS(AQ112-AR112)/ABS(AQ112)*100,""),"")</f>
        <v/>
      </c>
      <c r="AT112" s="69" t="inlineStr">
        <is>
          <t>DeepSeek</t>
        </is>
      </c>
      <c r="AU112" s="67" t="n"/>
      <c r="AV112" s="67" t="n">
        <v>14.29</v>
      </c>
      <c r="AW112" s="71">
        <f>IFERROR(IF(AND(AU112&lt;&gt;"",AV112&lt;&gt;""),ABS(AU112-AV112)/ABS(AU112)*100,""),"")</f>
        <v/>
      </c>
      <c r="AX112" s="69" t="inlineStr">
        <is>
          <t>DeepSeek</t>
        </is>
      </c>
      <c r="AY112" s="67" t="n">
        <v>73665000</v>
      </c>
      <c r="AZ112" s="67" t="n">
        <v>73665000</v>
      </c>
      <c r="BA112" s="71">
        <f>IFERROR(IF(AND(AY112&lt;&gt;"",AZ112&lt;&gt;""),ABS(AY112-AZ112)/ABS(AY112)*100,""),"")</f>
        <v/>
      </c>
      <c r="BB112" s="69" t="inlineStr">
        <is>
          <t>Claude</t>
        </is>
      </c>
      <c r="BC112" s="67" t="n">
        <v>29.59</v>
      </c>
      <c r="BD112" s="67" t="n">
        <v>29.58</v>
      </c>
      <c r="BE112" s="71">
        <f>IFERROR(IF(AND(BC112&lt;&gt;"",BD112&lt;&gt;""),ABS(BC112-BD112)/ABS(BC112)*100,""),"")</f>
        <v/>
      </c>
      <c r="BF112" s="69" t="inlineStr">
        <is>
          <t>Claude</t>
        </is>
      </c>
      <c r="BG112" s="67" t="n">
        <v>323000</v>
      </c>
      <c r="BH112" s="67" t="n"/>
      <c r="BI112" s="71">
        <f>IFERROR(IF(AND(BG112&lt;&gt;"",BH112&lt;&gt;""),ABS(BG112-BH112)/ABS(BG112)*100,""),"")</f>
        <v/>
      </c>
      <c r="BJ112" s="69" t="inlineStr">
        <is>
          <t>Claude</t>
        </is>
      </c>
      <c r="BK112" s="64" t="n">
        <v>87.02</v>
      </c>
      <c r="BL112" s="64" t="n">
        <v>20</v>
      </c>
      <c r="BM112" s="71">
        <f>IFERROR(IF(AND(BK112&lt;&gt;"",BL112&lt;&gt;""),ABS(BK112-BL112)/ABS(BK112)*100,""),"")</f>
        <v/>
      </c>
      <c r="BN112" s="66" t="inlineStr">
        <is>
          <t>MANUAL FLAG</t>
        </is>
      </c>
      <c r="BO112" s="67" t="n">
        <v>52</v>
      </c>
      <c r="BP112" s="67" t="n">
        <v>52</v>
      </c>
      <c r="BQ112" s="71">
        <f>IFERROR(IF(AND(BO112&lt;&gt;"",BP112&lt;&gt;""),ABS(BO112-BP112)/ABS(BO112)*100,""),"")</f>
        <v/>
      </c>
      <c r="BR112" s="69" t="inlineStr">
        <is>
          <t>Claude</t>
        </is>
      </c>
      <c r="BS112" s="67" t="n">
        <v>213</v>
      </c>
      <c r="BT112" s="67" t="n">
        <v>213</v>
      </c>
      <c r="BU112" s="71">
        <f>IFERROR(IF(AND(BS112&lt;&gt;"",BT112&lt;&gt;""),ABS(BS112-BT112)/ABS(BS112)*100,""),"")</f>
        <v/>
      </c>
      <c r="BV112" s="69" t="inlineStr">
        <is>
          <t>Claude</t>
        </is>
      </c>
      <c r="BW112" s="67" t="n"/>
      <c r="BX112" s="67" t="n"/>
      <c r="BY112" s="71">
        <f>IFERROR(IF(AND(BW112&lt;&gt;"",BX112&lt;&gt;""),ABS(BW112-BX112)/ABS(BW112)*100,""),"")</f>
        <v/>
      </c>
      <c r="BZ112" s="69" t="inlineStr">
        <is>
          <t>ND</t>
        </is>
      </c>
      <c r="CA112" s="67" t="n">
        <v>19</v>
      </c>
      <c r="CB112" s="67" t="n">
        <v>19</v>
      </c>
      <c r="CC112" s="71">
        <f>IFERROR(IF(AND(CA112&lt;&gt;"",CB112&lt;&gt;""),ABS(CA112-CB112)/ABS(CA112)*100,""),"")</f>
        <v/>
      </c>
      <c r="CD112" s="69" t="inlineStr">
        <is>
          <t>Claude</t>
        </is>
      </c>
      <c r="CE112" s="67" t="n">
        <v>5.65</v>
      </c>
      <c r="CF112" s="67" t="n">
        <v>5.65</v>
      </c>
      <c r="CG112" s="71">
        <f>IFERROR(IF(AND(CE112&lt;&gt;"",CF112&lt;&gt;""),ABS(CE112-CF112)/ABS(CE112)*100,""),"")</f>
        <v/>
      </c>
      <c r="CH112" s="69" t="inlineStr">
        <is>
          <t>Claude</t>
        </is>
      </c>
      <c r="CI112" s="67" t="n">
        <v>2.35</v>
      </c>
      <c r="CJ112" s="67" t="n">
        <v>2.32</v>
      </c>
      <c r="CK112" s="71">
        <f>IFERROR(IF(AND(CI112&lt;&gt;"",CJ112&lt;&gt;""),ABS(CI112-CJ112)/ABS(CI112)*100,""),"")</f>
        <v/>
      </c>
      <c r="CL112" s="69" t="inlineStr">
        <is>
          <t>Claude</t>
        </is>
      </c>
      <c r="CM112" s="67" t="n">
        <v>100</v>
      </c>
      <c r="CN112" s="67" t="n">
        <v>100</v>
      </c>
      <c r="CO112" s="71">
        <f>IFERROR(IF(AND(CM112&lt;&gt;"",CN112&lt;&gt;""),ABS(CM112-CN112)/ABS(CM112)*100,""),"")</f>
        <v/>
      </c>
      <c r="CP112" s="69" t="inlineStr">
        <is>
          <t>Claude</t>
        </is>
      </c>
      <c r="CQ112" s="67" t="n">
        <v>0.21</v>
      </c>
      <c r="CR112" s="67" t="n">
        <v>0.21</v>
      </c>
      <c r="CS112" s="71">
        <f>IFERROR(IF(AND(CQ112&lt;&gt;"",CR112&lt;&gt;""),ABS(CQ112-CR112)/ABS(CQ112)*100,""),"")</f>
        <v/>
      </c>
      <c r="CT112" s="69" t="inlineStr">
        <is>
          <t>Claude</t>
        </is>
      </c>
      <c r="CU112" s="64" t="n">
        <v>1.28</v>
      </c>
      <c r="CV112" s="64" t="n">
        <v>0</v>
      </c>
      <c r="CW112" s="71">
        <f>IFERROR(IF(AND(CU112&lt;&gt;"",CV112&lt;&gt;""),ABS(CU112-CV112)/ABS(CU112)*100,""),"")</f>
        <v/>
      </c>
      <c r="CX112" s="66" t="inlineStr">
        <is>
          <t>MANUAL FLAG</t>
        </is>
      </c>
      <c r="CY112" s="68" t="n"/>
      <c r="CZ112" s="68" t="n"/>
      <c r="DA112" s="71">
        <f>IFERROR(IF(AND(CY112&lt;&gt;"",CZ112&lt;&gt;""),ABS(CY112-CZ112)/ABS(CY112)*100,""),"")</f>
        <v/>
      </c>
      <c r="DB112" s="69" t="inlineStr">
        <is>
          <t>ND</t>
        </is>
      </c>
      <c r="DC112" s="68" t="n"/>
      <c r="DD112" s="68" t="n"/>
      <c r="DE112" s="71">
        <f>IFERROR(IF(AND(DC112&lt;&gt;"",DD112&lt;&gt;""),ABS(DC112-DD112)/ABS(DC112)*100,""),"")</f>
        <v/>
      </c>
      <c r="DF112" s="69" t="inlineStr">
        <is>
          <t>ND</t>
        </is>
      </c>
      <c r="DG112" s="68" t="n"/>
      <c r="DH112" s="68" t="n"/>
      <c r="DI112" s="71">
        <f>IFERROR(IF(AND(DG112&lt;&gt;"",DH112&lt;&gt;""),ABS(DG112-DH112)/ABS(DG112)*100,""),"")</f>
        <v/>
      </c>
      <c r="DJ112" s="69" t="inlineStr">
        <is>
          <t>ND</t>
        </is>
      </c>
      <c r="DK112" s="68" t="n"/>
      <c r="DL112" s="68" t="n"/>
      <c r="DM112" s="71">
        <f>IFERROR(IF(AND(DK112&lt;&gt;"",DL112&lt;&gt;""),ABS(DK112-DL112)/ABS(DK112)*100,""),"")</f>
        <v/>
      </c>
      <c r="DN112" s="69" t="inlineStr">
        <is>
          <t>ND</t>
        </is>
      </c>
      <c r="DO112" s="68" t="n"/>
      <c r="DP112" s="68" t="n"/>
      <c r="DQ112" s="71">
        <f>IFERROR(IF(AND(DO112&lt;&gt;"",DP112&lt;&gt;""),ABS(DO112-DP112)/ABS(DO112)*100,""),"")</f>
        <v/>
      </c>
      <c r="DR112" s="69" t="inlineStr">
        <is>
          <t>ND</t>
        </is>
      </c>
      <c r="DS112" s="68" t="n"/>
      <c r="DT112" s="68" t="n"/>
      <c r="DU112" s="71">
        <f>IFERROR(IF(AND(DS112&lt;&gt;"",DT112&lt;&gt;""),ABS(DS112-DT112)/ABS(DS112)*100,""),"")</f>
        <v/>
      </c>
      <c r="DV112" s="69" t="inlineStr">
        <is>
          <t>ND</t>
        </is>
      </c>
      <c r="DW112" s="70" t="inlineStr">
        <is>
          <t>Claude only (DeepSeek pending). Ind.4=268, also flagged 'Restated in report' (same basis-change footnote as 2021). Ind.5=11. Ind.7/8=ND. Ind.21=2.35, PROXY. Ind.24=1.28, notable increase from 2020/2021's 0 - real safety event, not a data artifact per report. || DEEPSEEK RECONCILIATION - MANUAL FLAGS: Ind.1 (Contract Workers%): Claude=3.71, DeepSeek=8.96, Diff=141.5%; Ind.2 (Female Permanent%): Claude=3.69, DeepSeek=9.77, Diff=164.8%; Ind.3 (Female Contract%): Claude=29.38, DeepSeek=24.0, Diff=18.3%; Ind.4 (New Hire Rate): Claude=6.65, DeepSeek=3.63, Diff=45.4%; Ind.6 (New Hires Female%): Claude=10.45, DeepSeek=8.88, Diff=15.0%; Ind.15 (Training Hours/Employee): Claude=87.02, DeepSeek=20, Diff=77.0%; Ind.24 (Fatality Rate): Claude=1.28, DeepSeek=0, Diff=100.0% || NOTE: Ind.24 (Fatality Rate) shows a likely UNIT MISMATCH - Claude's value (1.28) looks like a rate (per some denominator), DeepSeek's (0) is a raw count for 'direct employees only' per its own notes; the report may show 0 direct-employee fatalities but a nonzero contractor-inclusive rate - not necessarily a contradiction, just different scope.</t>
        </is>
      </c>
    </row>
    <row r="113" ht="15.75" customHeight="1" s="43">
      <c r="A113" s="62" t="n"/>
      <c r="B113" s="62" t="n"/>
      <c r="C113" s="62" t="inlineStr">
        <is>
          <t>Industrials</t>
        </is>
      </c>
      <c r="D113" s="62" t="inlineStr">
        <is>
          <t>2023</t>
        </is>
      </c>
      <c r="E113" s="63" t="inlineStr">
        <is>
          <t>hanwha_ocean_2023.pdf (only report covering 2023)</t>
        </is>
      </c>
      <c r="F113" s="62" t="n"/>
      <c r="G113" s="64" t="n">
        <v>5.36</v>
      </c>
      <c r="H113" s="64" t="n">
        <v>10.23</v>
      </c>
      <c r="I113" s="65">
        <f>IFERROR(IF(AND(G113&lt;&gt;"",H113&lt;&gt;""),ABS(G113-H113)/ABS(G113)*100,""),"")</f>
        <v/>
      </c>
      <c r="J113" s="66" t="inlineStr">
        <is>
          <t>MANUAL FLAG</t>
        </is>
      </c>
      <c r="K113" s="64" t="n">
        <v>3.75</v>
      </c>
      <c r="L113" s="64" t="n">
        <v>9.640000000000001</v>
      </c>
      <c r="M113" s="65">
        <f>IFERROR(IF(AND(K113&lt;&gt;"",L113&lt;&gt;""),ABS(K113-L113)/ABS(K113)*100,""),"")</f>
        <v/>
      </c>
      <c r="N113" s="66" t="inlineStr">
        <is>
          <t>MANUAL FLAG</t>
        </is>
      </c>
      <c r="O113" s="67" t="n">
        <v>20.13</v>
      </c>
      <c r="P113" s="67" t="n">
        <v>20.35</v>
      </c>
      <c r="Q113" s="65">
        <f>IFERROR(IF(AND(O113&lt;&gt;"",P113&lt;&gt;""),ABS(O113-P113)/ABS(O113)*100,""),"")</f>
        <v/>
      </c>
      <c r="R113" s="62" t="inlineStr">
        <is>
          <t>Claude</t>
        </is>
      </c>
      <c r="S113" s="67" t="n">
        <v>3.66</v>
      </c>
      <c r="T113" s="67" t="n">
        <v>3.69</v>
      </c>
      <c r="U113" s="65">
        <f>IFERROR(IF(AND(S113&lt;&gt;"",T113&lt;&gt;""),ABS(S113-T113)/ABS(S113)*100,""),"")</f>
        <v/>
      </c>
      <c r="V113" s="62" t="inlineStr">
        <is>
          <t>Claude</t>
        </is>
      </c>
      <c r="W113" s="67" t="n"/>
      <c r="X113" s="67" t="n">
        <v>8.59</v>
      </c>
      <c r="Y113" s="65">
        <f>IFERROR(IF(AND(W113&lt;&gt;"",X113&lt;&gt;""),ABS(W113-X113)/ABS(W113)*100,""),"")</f>
        <v/>
      </c>
      <c r="Z113" s="62" t="inlineStr">
        <is>
          <t>DeepSeek</t>
        </is>
      </c>
      <c r="AA113" s="64" t="n">
        <v>11.66</v>
      </c>
      <c r="AB113" s="64" t="n">
        <v>9.82</v>
      </c>
      <c r="AC113" s="65">
        <f>IFERROR(IF(AND(AA113&lt;&gt;"",AB113&lt;&gt;""),ABS(AA113-AB113)/ABS(AA113)*100,""),"")</f>
        <v/>
      </c>
      <c r="AD113" s="66" t="inlineStr">
        <is>
          <t>MANUAL FLAG</t>
        </is>
      </c>
      <c r="AE113" s="67" t="n"/>
      <c r="AF113" s="67" t="n"/>
      <c r="AG113" s="65">
        <f>IFERROR(IF(AND(AE113&lt;&gt;"",AF113&lt;&gt;""),ABS(AE113-AF113)/ABS(AE113)*100,""),"")</f>
        <v/>
      </c>
      <c r="AH113" s="62" t="inlineStr">
        <is>
          <t>ND</t>
        </is>
      </c>
      <c r="AI113" s="67" t="n"/>
      <c r="AJ113" s="67" t="n"/>
      <c r="AK113" s="65">
        <f>IFERROR(IF(AND(AI113&lt;&gt;"",AJ113&lt;&gt;""),ABS(AI113-AJ113)/ABS(AI113)*100,""),"")</f>
        <v/>
      </c>
      <c r="AL113" s="62" t="inlineStr">
        <is>
          <t>ND</t>
        </is>
      </c>
      <c r="AM113" s="67" t="n"/>
      <c r="AN113" s="67" t="n">
        <v>21.48</v>
      </c>
      <c r="AO113" s="65">
        <f>IFERROR(IF(AND(AM113&lt;&gt;"",AN113&lt;&gt;""),ABS(AM113-AN113)/ABS(AM113)*100,""),"")</f>
        <v/>
      </c>
      <c r="AP113" s="62" t="inlineStr">
        <is>
          <t>DeepSeek</t>
        </is>
      </c>
      <c r="AQ113" s="67" t="n"/>
      <c r="AR113" s="67" t="n">
        <v>0</v>
      </c>
      <c r="AS113" s="65">
        <f>IFERROR(IF(AND(AQ113&lt;&gt;"",AR113&lt;&gt;""),ABS(AQ113-AR113)/ABS(AQ113)*100,""),"")</f>
        <v/>
      </c>
      <c r="AT113" s="62" t="inlineStr">
        <is>
          <t>DeepSeek</t>
        </is>
      </c>
      <c r="AU113" s="67" t="n">
        <v>11.11</v>
      </c>
      <c r="AV113" s="67" t="n">
        <v>11.11</v>
      </c>
      <c r="AW113" s="65">
        <f>IFERROR(IF(AND(AU113&lt;&gt;"",AV113&lt;&gt;""),ABS(AU113-AV113)/ABS(AU113)*100,""),"")</f>
        <v/>
      </c>
      <c r="AX113" s="62" t="inlineStr">
        <is>
          <t>Claude</t>
        </is>
      </c>
      <c r="AY113" s="67" t="n">
        <v>83000000</v>
      </c>
      <c r="AZ113" s="67" t="n">
        <v>83000000</v>
      </c>
      <c r="BA113" s="65">
        <f>IFERROR(IF(AND(AY113&lt;&gt;"",AZ113&lt;&gt;""),ABS(AY113-AZ113)/ABS(AY113)*100,""),"")</f>
        <v/>
      </c>
      <c r="BB113" s="62" t="inlineStr">
        <is>
          <t>Claude</t>
        </is>
      </c>
      <c r="BC113" s="67" t="n">
        <v>30.95</v>
      </c>
      <c r="BD113" s="67" t="n"/>
      <c r="BE113" s="65">
        <f>IFERROR(IF(AND(BC113&lt;&gt;"",BD113&lt;&gt;""),ABS(BC113-BD113)/ABS(BC113)*100,""),"")</f>
        <v/>
      </c>
      <c r="BF113" s="62" t="inlineStr">
        <is>
          <t>Claude</t>
        </is>
      </c>
      <c r="BG113" s="67" t="n">
        <v>319000</v>
      </c>
      <c r="BH113" s="67" t="n"/>
      <c r="BI113" s="65">
        <f>IFERROR(IF(AND(BG113&lt;&gt;"",BH113&lt;&gt;""),ABS(BG113-BH113)/ABS(BG113)*100,""),"")</f>
        <v/>
      </c>
      <c r="BJ113" s="62" t="inlineStr">
        <is>
          <t>Claude</t>
        </is>
      </c>
      <c r="BK113" s="64" t="n">
        <v>28</v>
      </c>
      <c r="BL113" s="64" t="n">
        <v>22</v>
      </c>
      <c r="BM113" s="65">
        <f>IFERROR(IF(AND(BK113&lt;&gt;"",BL113&lt;&gt;""),ABS(BK113-BL113)/ABS(BK113)*100,""),"")</f>
        <v/>
      </c>
      <c r="BN113" s="66" t="inlineStr">
        <is>
          <t>MANUAL FLAG</t>
        </is>
      </c>
      <c r="BO113" s="67" t="n">
        <v>35</v>
      </c>
      <c r="BP113" s="67" t="n">
        <v>35</v>
      </c>
      <c r="BQ113" s="65">
        <f>IFERROR(IF(AND(BO113&lt;&gt;"",BP113&lt;&gt;""),ABS(BO113-BP113)/ABS(BO113)*100,""),"")</f>
        <v/>
      </c>
      <c r="BR113" s="62" t="inlineStr">
        <is>
          <t>Claude</t>
        </is>
      </c>
      <c r="BS113" s="67" t="n">
        <v>118</v>
      </c>
      <c r="BT113" s="67" t="n">
        <v>118</v>
      </c>
      <c r="BU113" s="65">
        <f>IFERROR(IF(AND(BS113&lt;&gt;"",BT113&lt;&gt;""),ABS(BS113-BT113)/ABS(BS113)*100,""),"")</f>
        <v/>
      </c>
      <c r="BV113" s="62" t="inlineStr">
        <is>
          <t>Claude</t>
        </is>
      </c>
      <c r="BW113" s="67" t="n"/>
      <c r="BX113" s="67" t="n"/>
      <c r="BY113" s="65">
        <f>IFERROR(IF(AND(BW113&lt;&gt;"",BX113&lt;&gt;""),ABS(BW113-BX113)/ABS(BW113)*100,""),"")</f>
        <v/>
      </c>
      <c r="BZ113" s="62" t="inlineStr">
        <is>
          <t>ND</t>
        </is>
      </c>
      <c r="CA113" s="67" t="n">
        <v>18.5</v>
      </c>
      <c r="CB113" s="67" t="n">
        <v>18.5</v>
      </c>
      <c r="CC113" s="65">
        <f>IFERROR(IF(AND(CA113&lt;&gt;"",CB113&lt;&gt;""),ABS(CA113-CB113)/ABS(CA113)*100,""),"")</f>
        <v/>
      </c>
      <c r="CD113" s="62" t="inlineStr">
        <is>
          <t>Claude</t>
        </is>
      </c>
      <c r="CE113" s="67" t="n">
        <v>1.93</v>
      </c>
      <c r="CF113" s="67" t="n">
        <v>1.93</v>
      </c>
      <c r="CG113" s="65">
        <f>IFERROR(IF(AND(CE113&lt;&gt;"",CF113&lt;&gt;""),ABS(CE113-CF113)/ABS(CE113)*100,""),"")</f>
        <v/>
      </c>
      <c r="CH113" s="62" t="inlineStr">
        <is>
          <t>Claude</t>
        </is>
      </c>
      <c r="CI113" s="67" t="n">
        <v>2.27</v>
      </c>
      <c r="CJ113" s="67" t="n">
        <v>2.25</v>
      </c>
      <c r="CK113" s="65">
        <f>IFERROR(IF(AND(CI113&lt;&gt;"",CJ113&lt;&gt;""),ABS(CI113-CJ113)/ABS(CI113)*100,""),"")</f>
        <v/>
      </c>
      <c r="CL113" s="62" t="inlineStr">
        <is>
          <t>Claude</t>
        </is>
      </c>
      <c r="CM113" s="67" t="n">
        <v>100</v>
      </c>
      <c r="CN113" s="67" t="n">
        <v>100</v>
      </c>
      <c r="CO113" s="65">
        <f>IFERROR(IF(AND(CM113&lt;&gt;"",CN113&lt;&gt;""),ABS(CM113-CN113)/ABS(CM113)*100,""),"")</f>
        <v/>
      </c>
      <c r="CP113" s="62" t="inlineStr">
        <is>
          <t>Claude</t>
        </is>
      </c>
      <c r="CQ113" s="67" t="n">
        <v>0.19</v>
      </c>
      <c r="CR113" s="67" t="n">
        <v>0.19</v>
      </c>
      <c r="CS113" s="65">
        <f>IFERROR(IF(AND(CQ113&lt;&gt;"",CR113&lt;&gt;""),ABS(CQ113-CR113)/ABS(CQ113)*100,""),"")</f>
        <v/>
      </c>
      <c r="CT113" s="62" t="inlineStr">
        <is>
          <t>Claude</t>
        </is>
      </c>
      <c r="CU113" s="64" t="n">
        <v>0.36</v>
      </c>
      <c r="CV113" s="64" t="n">
        <v>1</v>
      </c>
      <c r="CW113" s="65">
        <f>IFERROR(IF(AND(CU113&lt;&gt;"",CV113&lt;&gt;""),ABS(CU113-CV113)/ABS(CU113)*100,""),"")</f>
        <v/>
      </c>
      <c r="CX113" s="66" t="inlineStr">
        <is>
          <t>MANUAL FLAG</t>
        </is>
      </c>
      <c r="CY113" s="68" t="n"/>
      <c r="CZ113" s="68" t="n"/>
      <c r="DA113" s="65">
        <f>IFERROR(IF(AND(CY113&lt;&gt;"",CZ113&lt;&gt;""),ABS(CY113-CZ113)/ABS(CY113)*100,""),"")</f>
        <v/>
      </c>
      <c r="DB113" s="62" t="inlineStr">
        <is>
          <t>ND</t>
        </is>
      </c>
      <c r="DC113" s="68" t="n"/>
      <c r="DD113" s="68" t="n">
        <v>5</v>
      </c>
      <c r="DE113" s="65">
        <f>IFERROR(IF(AND(DC113&lt;&gt;"",DD113&lt;&gt;""),ABS(DC113-DD113)/ABS(DC113)*100,""),"")</f>
        <v/>
      </c>
      <c r="DF113" s="62" t="inlineStr">
        <is>
          <t>DeepSeek</t>
        </is>
      </c>
      <c r="DG113" s="68" t="n"/>
      <c r="DH113" s="68" t="n"/>
      <c r="DI113" s="65">
        <f>IFERROR(IF(AND(DG113&lt;&gt;"",DH113&lt;&gt;""),ABS(DG113-DH113)/ABS(DG113)*100,""),"")</f>
        <v/>
      </c>
      <c r="DJ113" s="62" t="inlineStr">
        <is>
          <t>ND</t>
        </is>
      </c>
      <c r="DK113" s="68" t="n"/>
      <c r="DL113" s="68" t="n"/>
      <c r="DM113" s="65">
        <f>IFERROR(IF(AND(DK113&lt;&gt;"",DL113&lt;&gt;""),ABS(DK113-DL113)/ABS(DK113)*100,""),"")</f>
        <v/>
      </c>
      <c r="DN113" s="62" t="inlineStr">
        <is>
          <t>ND</t>
        </is>
      </c>
      <c r="DO113" s="68" t="n"/>
      <c r="DP113" s="68" t="n"/>
      <c r="DQ113" s="65">
        <f>IFERROR(IF(AND(DO113&lt;&gt;"",DP113&lt;&gt;""),ABS(DO113-DP113)/ABS(DO113)*100,""),"")</f>
        <v/>
      </c>
      <c r="DR113" s="62" t="inlineStr">
        <is>
          <t>ND</t>
        </is>
      </c>
      <c r="DS113" s="68" t="n"/>
      <c r="DT113" s="68" t="n"/>
      <c r="DU113" s="65">
        <f>IFERROR(IF(AND(DS113&lt;&gt;"",DT113&lt;&gt;""),ABS(DS113-DT113)/ABS(DS113)*100,""),"")</f>
        <v/>
      </c>
      <c r="DV113" s="62" t="inlineStr">
        <is>
          <t>ND</t>
        </is>
      </c>
      <c r="DW113" s="63" t="inlineStr">
        <is>
          <t>Claude only (DeepSeek pending). Ind.5=37, notably higher than prior years (10/9/11) - may reflect a genuine increase in foreign hires or improved disclosure completeness, not confirmed which. Ind.7/8=ND. Ind.11=11.11 (1 of 9 directors), first year with board-gender data - Hanwha Ocean's board was reconstituted after the 2023 restructuring under Hanwha Group, so no earlier data exists to compare against. Ind.21=2.27, PROXY. Ind.22: primary value (100%) undisputed, but an adjacent supporting CBA-coverage figure conflicts between two report locations (57% vs 60%) - doesn't affect the primary value used here. || DEEPSEEK RECONCILIATION - MANUAL FLAGS: Ind.1 (Contract Workers%): Claude=5.36, DeepSeek=10.23, Diff=90.9%; Ind.2 (Female Permanent%): Claude=3.75, DeepSeek=9.64, Diff=157.1%; Ind.6 (New Hires Female%): Claude=11.66, DeepSeek=9.82, Diff=15.8%; Ind.15 (Training Hours/Employee): Claude=28, DeepSeek=22, Diff=21.4%; Ind.24 (Fatality Rate): Claude=0.36, DeepSeek=1, Diff=177.8% || NOTE: Ind.24 continues the rate-vs-count scope difference from 2022 (Claude=0.36 rate vs DeepSeek=1 count) - DeepSeek's own notes mention 1 direct-employee fatality in 2023, consistent with its count of 1.</t>
        </is>
      </c>
    </row>
    <row r="114" ht="15.75" customHeight="1" s="43">
      <c r="A114" s="69" t="n"/>
      <c r="B114" s="69" t="n"/>
      <c r="C114" s="69" t="inlineStr">
        <is>
          <t>Industrials</t>
        </is>
      </c>
      <c r="D114" s="69" t="inlineStr">
        <is>
          <t>2024</t>
        </is>
      </c>
      <c r="E114" s="70" t="inlineStr">
        <is>
          <t>No data - report window is 2020-2023</t>
        </is>
      </c>
      <c r="F114" s="69" t="n"/>
      <c r="G114" s="67" t="n"/>
      <c r="H114" s="67" t="n"/>
      <c r="I114" s="71">
        <f>IFERROR(IF(AND(G114&lt;&gt;"",H114&lt;&gt;""),ABS(G114-H114)/ABS(G114)*100,""),"")</f>
        <v/>
      </c>
      <c r="J114" s="69" t="inlineStr">
        <is>
          <t>ND</t>
        </is>
      </c>
      <c r="K114" s="67" t="n"/>
      <c r="L114" s="67" t="n"/>
      <c r="M114" s="71">
        <f>IFERROR(IF(AND(K114&lt;&gt;"",L114&lt;&gt;""),ABS(K114-L114)/ABS(K114)*100,""),"")</f>
        <v/>
      </c>
      <c r="N114" s="69" t="inlineStr">
        <is>
          <t>ND</t>
        </is>
      </c>
      <c r="O114" s="67" t="n"/>
      <c r="P114" s="67" t="n"/>
      <c r="Q114" s="71">
        <f>IFERROR(IF(AND(O114&lt;&gt;"",P114&lt;&gt;""),ABS(O114-P114)/ABS(O114)*100,""),"")</f>
        <v/>
      </c>
      <c r="R114" s="69" t="inlineStr">
        <is>
          <t>ND</t>
        </is>
      </c>
      <c r="S114" s="67" t="n"/>
      <c r="T114" s="67" t="n"/>
      <c r="U114" s="71">
        <f>IFERROR(IF(AND(S114&lt;&gt;"",T114&lt;&gt;""),ABS(S114-T114)/ABS(S114)*100,""),"")</f>
        <v/>
      </c>
      <c r="V114" s="69" t="inlineStr">
        <is>
          <t>ND</t>
        </is>
      </c>
      <c r="W114" s="67" t="n"/>
      <c r="X114" s="67" t="n"/>
      <c r="Y114" s="71">
        <f>IFERROR(IF(AND(W114&lt;&gt;"",X114&lt;&gt;""),ABS(W114-X114)/ABS(W114)*100,""),"")</f>
        <v/>
      </c>
      <c r="Z114" s="69" t="inlineStr">
        <is>
          <t>ND</t>
        </is>
      </c>
      <c r="AA114" s="67" t="n"/>
      <c r="AB114" s="67" t="n"/>
      <c r="AC114" s="71">
        <f>IFERROR(IF(AND(AA114&lt;&gt;"",AB114&lt;&gt;""),ABS(AA114-AB114)/ABS(AA114)*100,""),"")</f>
        <v/>
      </c>
      <c r="AD114" s="69" t="inlineStr">
        <is>
          <t>ND</t>
        </is>
      </c>
      <c r="AE114" s="67" t="n"/>
      <c r="AF114" s="67" t="n"/>
      <c r="AG114" s="71">
        <f>IFERROR(IF(AND(AE114&lt;&gt;"",AF114&lt;&gt;""),ABS(AE114-AF114)/ABS(AE114)*100,""),"")</f>
        <v/>
      </c>
      <c r="AH114" s="69" t="inlineStr">
        <is>
          <t>ND</t>
        </is>
      </c>
      <c r="AI114" s="67" t="n"/>
      <c r="AJ114" s="67" t="n"/>
      <c r="AK114" s="71">
        <f>IFERROR(IF(AND(AI114&lt;&gt;"",AJ114&lt;&gt;""),ABS(AI114-AJ114)/ABS(AI114)*100,""),"")</f>
        <v/>
      </c>
      <c r="AL114" s="69" t="inlineStr">
        <is>
          <t>ND</t>
        </is>
      </c>
      <c r="AM114" s="67" t="n"/>
      <c r="AN114" s="67" t="n"/>
      <c r="AO114" s="71">
        <f>IFERROR(IF(AND(AM114&lt;&gt;"",AN114&lt;&gt;""),ABS(AM114-AN114)/ABS(AM114)*100,""),"")</f>
        <v/>
      </c>
      <c r="AP114" s="69" t="inlineStr">
        <is>
          <t>ND</t>
        </is>
      </c>
      <c r="AQ114" s="67" t="n"/>
      <c r="AR114" s="67" t="n"/>
      <c r="AS114" s="71">
        <f>IFERROR(IF(AND(AQ114&lt;&gt;"",AR114&lt;&gt;""),ABS(AQ114-AR114)/ABS(AQ114)*100,""),"")</f>
        <v/>
      </c>
      <c r="AT114" s="69" t="inlineStr">
        <is>
          <t>ND</t>
        </is>
      </c>
      <c r="AU114" s="67" t="n"/>
      <c r="AV114" s="67" t="n"/>
      <c r="AW114" s="71">
        <f>IFERROR(IF(AND(AU114&lt;&gt;"",AV114&lt;&gt;""),ABS(AU114-AV114)/ABS(AU114)*100,""),"")</f>
        <v/>
      </c>
      <c r="AX114" s="69" t="inlineStr">
        <is>
          <t>ND</t>
        </is>
      </c>
      <c r="AY114" s="67" t="n"/>
      <c r="AZ114" s="67" t="n"/>
      <c r="BA114" s="71">
        <f>IFERROR(IF(AND(AY114&lt;&gt;"",AZ114&lt;&gt;""),ABS(AY114-AZ114)/ABS(AY114)*100,""),"")</f>
        <v/>
      </c>
      <c r="BB114" s="69" t="inlineStr">
        <is>
          <t>ND</t>
        </is>
      </c>
      <c r="BC114" s="67" t="n"/>
      <c r="BD114" s="67" t="n"/>
      <c r="BE114" s="71">
        <f>IFERROR(IF(AND(BC114&lt;&gt;"",BD114&lt;&gt;""),ABS(BC114-BD114)/ABS(BC114)*100,""),"")</f>
        <v/>
      </c>
      <c r="BF114" s="69" t="inlineStr">
        <is>
          <t>ND</t>
        </is>
      </c>
      <c r="BG114" s="67" t="n"/>
      <c r="BH114" s="67" t="n"/>
      <c r="BI114" s="71">
        <f>IFERROR(IF(AND(BG114&lt;&gt;"",BH114&lt;&gt;""),ABS(BG114-BH114)/ABS(BG114)*100,""),"")</f>
        <v/>
      </c>
      <c r="BJ114" s="69" t="inlineStr">
        <is>
          <t>ND</t>
        </is>
      </c>
      <c r="BK114" s="67" t="n"/>
      <c r="BL114" s="67" t="n"/>
      <c r="BM114" s="71">
        <f>IFERROR(IF(AND(BK114&lt;&gt;"",BL114&lt;&gt;""),ABS(BK114-BL114)/ABS(BK114)*100,""),"")</f>
        <v/>
      </c>
      <c r="BN114" s="69" t="inlineStr">
        <is>
          <t>ND</t>
        </is>
      </c>
      <c r="BO114" s="67" t="n"/>
      <c r="BP114" s="67" t="n"/>
      <c r="BQ114" s="71">
        <f>IFERROR(IF(AND(BO114&lt;&gt;"",BP114&lt;&gt;""),ABS(BO114-BP114)/ABS(BO114)*100,""),"")</f>
        <v/>
      </c>
      <c r="BR114" s="69" t="inlineStr">
        <is>
          <t>ND</t>
        </is>
      </c>
      <c r="BS114" s="67" t="n"/>
      <c r="BT114" s="67" t="n"/>
      <c r="BU114" s="71">
        <f>IFERROR(IF(AND(BS114&lt;&gt;"",BT114&lt;&gt;""),ABS(BS114-BT114)/ABS(BS114)*100,""),"")</f>
        <v/>
      </c>
      <c r="BV114" s="69" t="inlineStr">
        <is>
          <t>ND</t>
        </is>
      </c>
      <c r="BW114" s="67" t="n"/>
      <c r="BX114" s="67" t="n"/>
      <c r="BY114" s="71">
        <f>IFERROR(IF(AND(BW114&lt;&gt;"",BX114&lt;&gt;""),ABS(BW114-BX114)/ABS(BW114)*100,""),"")</f>
        <v/>
      </c>
      <c r="BZ114" s="69" t="inlineStr">
        <is>
          <t>ND</t>
        </is>
      </c>
      <c r="CA114" s="67" t="n"/>
      <c r="CB114" s="67" t="n"/>
      <c r="CC114" s="71">
        <f>IFERROR(IF(AND(CA114&lt;&gt;"",CB114&lt;&gt;""),ABS(CA114-CB114)/ABS(CA114)*100,""),"")</f>
        <v/>
      </c>
      <c r="CD114" s="69" t="inlineStr">
        <is>
          <t>ND</t>
        </is>
      </c>
      <c r="CE114" s="67" t="n"/>
      <c r="CF114" s="67" t="n"/>
      <c r="CG114" s="71">
        <f>IFERROR(IF(AND(CE114&lt;&gt;"",CF114&lt;&gt;""),ABS(CE114-CF114)/ABS(CE114)*100,""),"")</f>
        <v/>
      </c>
      <c r="CH114" s="69" t="inlineStr">
        <is>
          <t>ND</t>
        </is>
      </c>
      <c r="CI114" s="67" t="n"/>
      <c r="CJ114" s="67" t="n"/>
      <c r="CK114" s="71">
        <f>IFERROR(IF(AND(CI114&lt;&gt;"",CJ114&lt;&gt;""),ABS(CI114-CJ114)/ABS(CI114)*100,""),"")</f>
        <v/>
      </c>
      <c r="CL114" s="69" t="inlineStr">
        <is>
          <t>ND</t>
        </is>
      </c>
      <c r="CM114" s="67" t="n"/>
      <c r="CN114" s="67" t="n"/>
      <c r="CO114" s="71">
        <f>IFERROR(IF(AND(CM114&lt;&gt;"",CN114&lt;&gt;""),ABS(CM114-CN114)/ABS(CM114)*100,""),"")</f>
        <v/>
      </c>
      <c r="CP114" s="69" t="inlineStr">
        <is>
          <t>ND</t>
        </is>
      </c>
      <c r="CQ114" s="67" t="n"/>
      <c r="CR114" s="67" t="n"/>
      <c r="CS114" s="71">
        <f>IFERROR(IF(AND(CQ114&lt;&gt;"",CR114&lt;&gt;""),ABS(CQ114-CR114)/ABS(CQ114)*100,""),"")</f>
        <v/>
      </c>
      <c r="CT114" s="69" t="inlineStr">
        <is>
          <t>ND</t>
        </is>
      </c>
      <c r="CU114" s="67" t="n"/>
      <c r="CV114" s="67" t="n"/>
      <c r="CW114" s="71">
        <f>IFERROR(IF(AND(CU114&lt;&gt;"",CV114&lt;&gt;""),ABS(CU114-CV114)/ABS(CU114)*100,""),"")</f>
        <v/>
      </c>
      <c r="CX114" s="69" t="inlineStr">
        <is>
          <t>ND</t>
        </is>
      </c>
      <c r="CY114" s="68" t="n"/>
      <c r="CZ114" s="68" t="n"/>
      <c r="DA114" s="71">
        <f>IFERROR(IF(AND(CY114&lt;&gt;"",CZ114&lt;&gt;""),ABS(CY114-CZ114)/ABS(CY114)*100,""),"")</f>
        <v/>
      </c>
      <c r="DB114" s="69" t="inlineStr">
        <is>
          <t>ND</t>
        </is>
      </c>
      <c r="DC114" s="68" t="n"/>
      <c r="DD114" s="68" t="n"/>
      <c r="DE114" s="71">
        <f>IFERROR(IF(AND(DC114&lt;&gt;"",DD114&lt;&gt;""),ABS(DC114-DD114)/ABS(DC114)*100,""),"")</f>
        <v/>
      </c>
      <c r="DF114" s="69" t="inlineStr">
        <is>
          <t>ND</t>
        </is>
      </c>
      <c r="DG114" s="68" t="n"/>
      <c r="DH114" s="68" t="n"/>
      <c r="DI114" s="71">
        <f>IFERROR(IF(AND(DG114&lt;&gt;"",DH114&lt;&gt;""),ABS(DG114-DH114)/ABS(DG114)*100,""),"")</f>
        <v/>
      </c>
      <c r="DJ114" s="69" t="inlineStr">
        <is>
          <t>ND</t>
        </is>
      </c>
      <c r="DK114" s="68" t="n"/>
      <c r="DL114" s="68" t="n"/>
      <c r="DM114" s="71">
        <f>IFERROR(IF(AND(DK114&lt;&gt;"",DL114&lt;&gt;""),ABS(DK114-DL114)/ABS(DK114)*100,""),"")</f>
        <v/>
      </c>
      <c r="DN114" s="69" t="inlineStr">
        <is>
          <t>ND</t>
        </is>
      </c>
      <c r="DO114" s="68" t="n"/>
      <c r="DP114" s="68" t="n"/>
      <c r="DQ114" s="71">
        <f>IFERROR(IF(AND(DO114&lt;&gt;"",DP114&lt;&gt;""),ABS(DO114-DP114)/ABS(DO114)*100,""),"")</f>
        <v/>
      </c>
      <c r="DR114" s="69" t="inlineStr">
        <is>
          <t>ND</t>
        </is>
      </c>
      <c r="DS114" s="68" t="n"/>
      <c r="DT114" s="68" t="n"/>
      <c r="DU114" s="71">
        <f>IFERROR(IF(AND(DS114&lt;&gt;"",DT114&lt;&gt;""),ABS(DS114-DT114)/ABS(DS114)*100,""),"")</f>
        <v/>
      </c>
      <c r="DV114" s="69" t="inlineStr">
        <is>
          <t>ND</t>
        </is>
      </c>
      <c r="DW114" s="70" t="inlineStr">
        <is>
          <t>No data available - report's disclosed window is 2020-2023, does not extend to 2024. ND throughout.</t>
        </is>
      </c>
    </row>
    <row r="115" ht="4.5" customHeight="1" s="43">
      <c r="A115" s="72" t="n"/>
      <c r="B115" s="72" t="n"/>
      <c r="C115" s="72" t="n"/>
      <c r="D115" s="72" t="n"/>
      <c r="E115" s="72" t="n"/>
      <c r="F115" s="72" t="n"/>
      <c r="G115" s="72" t="n"/>
      <c r="H115" s="72" t="n"/>
      <c r="I115" s="72" t="n"/>
      <c r="J115" s="72" t="n"/>
      <c r="K115" s="72" t="n"/>
      <c r="L115" s="72" t="n"/>
      <c r="M115" s="72" t="n"/>
      <c r="N115" s="72" t="n"/>
      <c r="O115" s="72" t="n"/>
      <c r="P115" s="72" t="n"/>
      <c r="Q115" s="72" t="n"/>
      <c r="R115" s="72" t="n"/>
      <c r="S115" s="72" t="n"/>
      <c r="T115" s="72" t="n"/>
      <c r="U115" s="72" t="n"/>
      <c r="V115" s="72" t="n"/>
      <c r="W115" s="72" t="n"/>
      <c r="X115" s="72" t="n"/>
      <c r="Y115" s="72" t="n"/>
      <c r="Z115" s="72" t="n"/>
      <c r="AA115" s="72" t="n"/>
      <c r="AB115" s="72" t="n"/>
      <c r="AC115" s="72" t="n"/>
      <c r="AD115" s="72" t="n"/>
      <c r="AE115" s="72" t="n"/>
      <c r="AF115" s="72" t="n"/>
      <c r="AG115" s="72" t="n"/>
      <c r="AH115" s="72" t="n"/>
      <c r="AI115" s="72" t="n"/>
      <c r="AJ115" s="72" t="n"/>
      <c r="AK115" s="72" t="n"/>
      <c r="AL115" s="72" t="n"/>
      <c r="AM115" s="72" t="n"/>
      <c r="AN115" s="72" t="n"/>
      <c r="AO115" s="72" t="n"/>
      <c r="AP115" s="72" t="n"/>
      <c r="AQ115" s="72" t="n"/>
      <c r="AR115" s="72" t="n"/>
      <c r="AS115" s="72" t="n"/>
      <c r="AT115" s="72" t="n"/>
      <c r="AU115" s="72" t="n"/>
      <c r="AV115" s="72" t="n"/>
      <c r="AW115" s="72" t="n"/>
      <c r="AX115" s="72" t="n"/>
      <c r="AY115" s="72" t="n"/>
      <c r="AZ115" s="72" t="n"/>
      <c r="BA115" s="72" t="n"/>
      <c r="BB115" s="72" t="n"/>
      <c r="BC115" s="72" t="n"/>
      <c r="BD115" s="72" t="n"/>
      <c r="BE115" s="72" t="n"/>
      <c r="BF115" s="72" t="n"/>
      <c r="BG115" s="72" t="n"/>
      <c r="BH115" s="72" t="n"/>
      <c r="BI115" s="72" t="n"/>
      <c r="BJ115" s="72" t="n"/>
      <c r="BK115" s="72" t="n"/>
      <c r="BL115" s="72" t="n"/>
      <c r="BM115" s="72" t="n"/>
      <c r="BN115" s="72" t="n"/>
      <c r="BO115" s="72" t="n"/>
      <c r="BP115" s="72" t="n"/>
      <c r="BQ115" s="72" t="n"/>
      <c r="BR115" s="72" t="n"/>
      <c r="BS115" s="72" t="n"/>
      <c r="BT115" s="72" t="n"/>
      <c r="BU115" s="72" t="n"/>
      <c r="BV115" s="72" t="n"/>
      <c r="BW115" s="72" t="n"/>
      <c r="BX115" s="72" t="n"/>
      <c r="BY115" s="72" t="n"/>
      <c r="BZ115" s="72" t="n"/>
      <c r="CA115" s="72" t="n"/>
      <c r="CB115" s="72" t="n"/>
      <c r="CC115" s="72" t="n"/>
      <c r="CD115" s="72" t="n"/>
      <c r="CE115" s="72" t="n"/>
      <c r="CF115" s="72" t="n"/>
      <c r="CG115" s="72" t="n"/>
      <c r="CH115" s="72" t="n"/>
      <c r="CI115" s="72" t="n"/>
      <c r="CJ115" s="72" t="n"/>
      <c r="CK115" s="72" t="n"/>
      <c r="CL115" s="72" t="n"/>
      <c r="CM115" s="72" t="n"/>
      <c r="CN115" s="72" t="n"/>
      <c r="CO115" s="72" t="n"/>
      <c r="CP115" s="72" t="n"/>
      <c r="CQ115" s="72" t="n"/>
      <c r="CR115" s="72" t="n"/>
      <c r="CS115" s="72" t="n"/>
      <c r="CT115" s="72" t="n"/>
      <c r="CU115" s="72" t="n"/>
      <c r="CV115" s="72" t="n"/>
      <c r="CW115" s="72" t="n"/>
      <c r="CX115" s="72" t="n"/>
      <c r="CY115" s="72" t="n"/>
      <c r="CZ115" s="72" t="n"/>
      <c r="DA115" s="72" t="n"/>
      <c r="DB115" s="72" t="n"/>
      <c r="DC115" s="72" t="n"/>
      <c r="DD115" s="72" t="n"/>
      <c r="DE115" s="72" t="n"/>
      <c r="DF115" s="72" t="n"/>
      <c r="DG115" s="72" t="n"/>
      <c r="DH115" s="72" t="n"/>
      <c r="DI115" s="72" t="n"/>
      <c r="DJ115" s="72" t="n"/>
      <c r="DK115" s="72" t="n"/>
      <c r="DL115" s="72" t="n"/>
      <c r="DM115" s="72" t="n"/>
      <c r="DN115" s="72" t="n"/>
      <c r="DO115" s="72" t="n"/>
      <c r="DP115" s="72" t="n"/>
      <c r="DQ115" s="72" t="n"/>
      <c r="DR115" s="72" t="n"/>
      <c r="DS115" s="72" t="n"/>
      <c r="DT115" s="72" t="n"/>
      <c r="DU115" s="72" t="n"/>
      <c r="DV115" s="72" t="n"/>
      <c r="DW115" s="72" t="n"/>
    </row>
    <row r="116" ht="15.75" customHeight="1" s="43">
      <c r="A116" s="61" t="inlineStr">
        <is>
          <t>HANWHA SYSTEMS</t>
        </is>
      </c>
      <c r="B116" s="62" t="inlineStr">
        <is>
          <t>272210</t>
        </is>
      </c>
      <c r="C116" s="62" t="inlineStr">
        <is>
          <t>Industrials</t>
        </is>
      </c>
      <c r="D116" s="62" t="inlineStr">
        <is>
          <t>2018</t>
        </is>
      </c>
      <c r="E116" s="63" t="inlineStr">
        <is>
          <t>HANWHA_SYSTEMS_2021.pdf (only report covering 2018)</t>
        </is>
      </c>
      <c r="F116" s="62" t="n"/>
      <c r="G116" s="67" t="n">
        <v>1.98</v>
      </c>
      <c r="H116" s="67" t="n">
        <v>1.98</v>
      </c>
      <c r="I116" s="65">
        <f>IFERROR(IF(AND(G116&lt;&gt;"",H116&lt;&gt;""),ABS(G116-H116)/ABS(G116)*100,""),"")</f>
        <v/>
      </c>
      <c r="J116" s="62" t="inlineStr">
        <is>
          <t>Claude</t>
        </is>
      </c>
      <c r="K116" s="67" t="n"/>
      <c r="L116" s="67" t="n"/>
      <c r="M116" s="65">
        <f>IFERROR(IF(AND(K116&lt;&gt;"",L116&lt;&gt;""),ABS(K116-L116)/ABS(K116)*100,""),"")</f>
        <v/>
      </c>
      <c r="N116" s="62" t="inlineStr">
        <is>
          <t>ND</t>
        </is>
      </c>
      <c r="O116" s="67" t="n"/>
      <c r="P116" s="67" t="n"/>
      <c r="Q116" s="65">
        <f>IFERROR(IF(AND(O116&lt;&gt;"",P116&lt;&gt;""),ABS(O116-P116)/ABS(O116)*100,""),"")</f>
        <v/>
      </c>
      <c r="R116" s="62" t="inlineStr">
        <is>
          <t>ND</t>
        </is>
      </c>
      <c r="S116" s="67" t="n">
        <v>11.81</v>
      </c>
      <c r="T116" s="67" t="n">
        <v>11.81</v>
      </c>
      <c r="U116" s="65">
        <f>IFERROR(IF(AND(S116&lt;&gt;"",T116&lt;&gt;""),ABS(S116-T116)/ABS(S116)*100,""),"")</f>
        <v/>
      </c>
      <c r="V116" s="62" t="inlineStr">
        <is>
          <t>Claude</t>
        </is>
      </c>
      <c r="W116" s="67" t="n">
        <v>12.25</v>
      </c>
      <c r="X116" s="67" t="n">
        <v>12.25</v>
      </c>
      <c r="Y116" s="65">
        <f>IFERROR(IF(AND(W116&lt;&gt;"",X116&lt;&gt;""),ABS(W116-X116)/ABS(W116)*100,""),"")</f>
        <v/>
      </c>
      <c r="Z116" s="62" t="inlineStr">
        <is>
          <t>Claude</t>
        </is>
      </c>
      <c r="AA116" s="67" t="n">
        <v>26.5</v>
      </c>
      <c r="AB116" s="67" t="n">
        <v>26.5</v>
      </c>
      <c r="AC116" s="65">
        <f>IFERROR(IF(AND(AA116&lt;&gt;"",AB116&lt;&gt;""),ABS(AA116-AB116)/ABS(AA116)*100,""),"")</f>
        <v/>
      </c>
      <c r="AD116" s="62" t="inlineStr">
        <is>
          <t>Claude</t>
        </is>
      </c>
      <c r="AE116" s="67" t="n"/>
      <c r="AF116" s="67" t="n"/>
      <c r="AG116" s="65">
        <f>IFERROR(IF(AND(AE116&lt;&gt;"",AF116&lt;&gt;""),ABS(AE116-AF116)/ABS(AE116)*100,""),"")</f>
        <v/>
      </c>
      <c r="AH116" s="62" t="inlineStr">
        <is>
          <t>ND</t>
        </is>
      </c>
      <c r="AI116" s="67" t="n"/>
      <c r="AJ116" s="67" t="n"/>
      <c r="AK116" s="65">
        <f>IFERROR(IF(AND(AI116&lt;&gt;"",AJ116&lt;&gt;""),ABS(AI116-AJ116)/ABS(AI116)*100,""),"")</f>
        <v/>
      </c>
      <c r="AL116" s="62" t="inlineStr">
        <is>
          <t>ND</t>
        </is>
      </c>
      <c r="AM116" s="67" t="n">
        <v>29</v>
      </c>
      <c r="AN116" s="67" t="n">
        <v>29</v>
      </c>
      <c r="AO116" s="65">
        <f>IFERROR(IF(AND(AM116&lt;&gt;"",AN116&lt;&gt;""),ABS(AM116-AN116)/ABS(AM116)*100,""),"")</f>
        <v/>
      </c>
      <c r="AP116" s="62" t="inlineStr">
        <is>
          <t>Claude</t>
        </is>
      </c>
      <c r="AQ116" s="67" t="n"/>
      <c r="AR116" s="67" t="n"/>
      <c r="AS116" s="65">
        <f>IFERROR(IF(AND(AQ116&lt;&gt;"",AR116&lt;&gt;""),ABS(AQ116-AR116)/ABS(AQ116)*100,""),"")</f>
        <v/>
      </c>
      <c r="AT116" s="62" t="inlineStr">
        <is>
          <t>ND</t>
        </is>
      </c>
      <c r="AU116" s="67" t="n"/>
      <c r="AV116" s="67" t="n"/>
      <c r="AW116" s="65">
        <f>IFERROR(IF(AND(AU116&lt;&gt;"",AV116&lt;&gt;""),ABS(AU116-AV116)/ABS(AU116)*100,""),"")</f>
        <v/>
      </c>
      <c r="AX116" s="62" t="inlineStr">
        <is>
          <t>ND</t>
        </is>
      </c>
      <c r="AY116" s="67" t="n">
        <v>63574400</v>
      </c>
      <c r="AZ116" s="67" t="n">
        <v>63572018</v>
      </c>
      <c r="BA116" s="65">
        <f>IFERROR(IF(AND(AY116&lt;&gt;"",AZ116&lt;&gt;""),ABS(AY116-AZ116)/ABS(AY116)*100,""),"")</f>
        <v/>
      </c>
      <c r="BB116" s="62" t="inlineStr">
        <is>
          <t>Claude</t>
        </is>
      </c>
      <c r="BC116" s="67" t="n">
        <v>21</v>
      </c>
      <c r="BD116" s="67" t="n">
        <v>21</v>
      </c>
      <c r="BE116" s="65">
        <f>IFERROR(IF(AND(BC116&lt;&gt;"",BD116&lt;&gt;""),ABS(BC116-BD116)/ABS(BC116)*100,""),"")</f>
        <v/>
      </c>
      <c r="BF116" s="62" t="inlineStr">
        <is>
          <t>Claude</t>
        </is>
      </c>
      <c r="BG116" s="67" t="n">
        <v>1180637</v>
      </c>
      <c r="BH116" s="67" t="n">
        <v>1180638</v>
      </c>
      <c r="BI116" s="65">
        <f>IFERROR(IF(AND(BG116&lt;&gt;"",BH116&lt;&gt;""),ABS(BG116-BH116)/ABS(BG116)*100,""),"")</f>
        <v/>
      </c>
      <c r="BJ116" s="62" t="inlineStr">
        <is>
          <t>Claude</t>
        </is>
      </c>
      <c r="BK116" s="67" t="n">
        <v>54</v>
      </c>
      <c r="BL116" s="67" t="n">
        <v>54</v>
      </c>
      <c r="BM116" s="65">
        <f>IFERROR(IF(AND(BK116&lt;&gt;"",BL116&lt;&gt;""),ABS(BK116-BL116)/ABS(BK116)*100,""),"")</f>
        <v/>
      </c>
      <c r="BN116" s="62" t="inlineStr">
        <is>
          <t>Claude</t>
        </is>
      </c>
      <c r="BO116" s="67" t="n">
        <v>20</v>
      </c>
      <c r="BP116" s="67" t="n">
        <v>20</v>
      </c>
      <c r="BQ116" s="65">
        <f>IFERROR(IF(AND(BO116&lt;&gt;"",BP116&lt;&gt;""),ABS(BO116-BP116)/ABS(BO116)*100,""),"")</f>
        <v/>
      </c>
      <c r="BR116" s="62" t="inlineStr">
        <is>
          <t>Claude</t>
        </is>
      </c>
      <c r="BS116" s="67" t="n">
        <v>4</v>
      </c>
      <c r="BT116" s="67" t="n">
        <v>4</v>
      </c>
      <c r="BU116" s="65">
        <f>IFERROR(IF(AND(BS116&lt;&gt;"",BT116&lt;&gt;""),ABS(BS116-BT116)/ABS(BS116)*100,""),"")</f>
        <v/>
      </c>
      <c r="BV116" s="62" t="inlineStr">
        <is>
          <t>Claude</t>
        </is>
      </c>
      <c r="BW116" s="67" t="n">
        <v>92</v>
      </c>
      <c r="BX116" s="67" t="n">
        <v>92</v>
      </c>
      <c r="BY116" s="65">
        <f>IFERROR(IF(AND(BW116&lt;&gt;"",BX116&lt;&gt;""),ABS(BW116-BX116)/ABS(BW116)*100,""),"")</f>
        <v/>
      </c>
      <c r="BZ116" s="62" t="inlineStr">
        <is>
          <t>Claude</t>
        </is>
      </c>
      <c r="CA116" s="67" t="n">
        <v>10.5</v>
      </c>
      <c r="CB116" s="67" t="n">
        <v>10.5</v>
      </c>
      <c r="CC116" s="65">
        <f>IFERROR(IF(AND(CA116&lt;&gt;"",CB116&lt;&gt;""),ABS(CA116-CB116)/ABS(CA116)*100,""),"")</f>
        <v/>
      </c>
      <c r="CD116" s="62" t="inlineStr">
        <is>
          <t>Claude</t>
        </is>
      </c>
      <c r="CE116" s="67" t="n">
        <v>5.6</v>
      </c>
      <c r="CF116" s="67" t="n">
        <v>5.6</v>
      </c>
      <c r="CG116" s="65">
        <f>IFERROR(IF(AND(CE116&lt;&gt;"",CF116&lt;&gt;""),ABS(CE116-CF116)/ABS(CE116)*100,""),"")</f>
        <v/>
      </c>
      <c r="CH116" s="62" t="inlineStr">
        <is>
          <t>Claude</t>
        </is>
      </c>
      <c r="CI116" s="67" t="n"/>
      <c r="CJ116" s="67" t="n">
        <v>0.3</v>
      </c>
      <c r="CK116" s="65">
        <f>IFERROR(IF(AND(CI116&lt;&gt;"",CJ116&lt;&gt;""),ABS(CI116-CJ116)/ABS(CI116)*100,""),"")</f>
        <v/>
      </c>
      <c r="CL116" s="62" t="inlineStr">
        <is>
          <t>DeepSeek</t>
        </is>
      </c>
      <c r="CM116" s="67" t="n">
        <v>79.90000000000001</v>
      </c>
      <c r="CN116" s="67" t="n"/>
      <c r="CO116" s="65">
        <f>IFERROR(IF(AND(CM116&lt;&gt;"",CN116&lt;&gt;""),ABS(CM116-CN116)/ABS(CM116)*100,""),"")</f>
        <v/>
      </c>
      <c r="CP116" s="62" t="inlineStr">
        <is>
          <t>Claude</t>
        </is>
      </c>
      <c r="CQ116" s="67" t="n"/>
      <c r="CR116" s="67" t="n"/>
      <c r="CS116" s="65">
        <f>IFERROR(IF(AND(CQ116&lt;&gt;"",CR116&lt;&gt;""),ABS(CQ116-CR116)/ABS(CQ116)*100,""),"")</f>
        <v/>
      </c>
      <c r="CT116" s="62" t="inlineStr">
        <is>
          <t>ND</t>
        </is>
      </c>
      <c r="CU116" s="67" t="n"/>
      <c r="CV116" s="67" t="n"/>
      <c r="CW116" s="65">
        <f>IFERROR(IF(AND(CU116&lt;&gt;"",CV116&lt;&gt;""),ABS(CU116-CV116)/ABS(CU116)*100,""),"")</f>
        <v/>
      </c>
      <c r="CX116" s="62" t="inlineStr">
        <is>
          <t>ND</t>
        </is>
      </c>
      <c r="CY116" s="68" t="n"/>
      <c r="CZ116" s="68" t="n"/>
      <c r="DA116" s="65">
        <f>IFERROR(IF(AND(CY116&lt;&gt;"",CZ116&lt;&gt;""),ABS(CY116-CZ116)/ABS(CY116)*100,""),"")</f>
        <v/>
      </c>
      <c r="DB116" s="62" t="inlineStr">
        <is>
          <t>ND</t>
        </is>
      </c>
      <c r="DC116" s="68" t="n"/>
      <c r="DD116" s="68" t="n">
        <v>5</v>
      </c>
      <c r="DE116" s="65">
        <f>IFERROR(IF(AND(DC116&lt;&gt;"",DD116&lt;&gt;""),ABS(DC116-DD116)/ABS(DC116)*100,""),"")</f>
        <v/>
      </c>
      <c r="DF116" s="62" t="inlineStr">
        <is>
          <t>DeepSeek</t>
        </is>
      </c>
      <c r="DG116" s="68" t="n"/>
      <c r="DH116" s="68" t="n">
        <v>44.7</v>
      </c>
      <c r="DI116" s="65">
        <f>IFERROR(IF(AND(DG116&lt;&gt;"",DH116&lt;&gt;""),ABS(DG116-DH116)/ABS(DG116)*100,""),"")</f>
        <v/>
      </c>
      <c r="DJ116" s="62" t="inlineStr">
        <is>
          <t>DeepSeek</t>
        </is>
      </c>
      <c r="DK116" s="68" t="n"/>
      <c r="DL116" s="68" t="n"/>
      <c r="DM116" s="65">
        <f>IFERROR(IF(AND(DK116&lt;&gt;"",DL116&lt;&gt;""),ABS(DK116-DL116)/ABS(DK116)*100,""),"")</f>
        <v/>
      </c>
      <c r="DN116" s="62" t="inlineStr">
        <is>
          <t>ND</t>
        </is>
      </c>
      <c r="DO116" s="68" t="n"/>
      <c r="DP116" s="68" t="n"/>
      <c r="DQ116" s="65">
        <f>IFERROR(IF(AND(DO116&lt;&gt;"",DP116&lt;&gt;""),ABS(DO116-DP116)/ABS(DO116)*100,""),"")</f>
        <v/>
      </c>
      <c r="DR116" s="62" t="inlineStr">
        <is>
          <t>ND</t>
        </is>
      </c>
      <c r="DS116" s="68" t="n"/>
      <c r="DT116" s="68" t="n"/>
      <c r="DU116" s="65">
        <f>IFERROR(IF(AND(DS116&lt;&gt;"",DT116&lt;&gt;""),ABS(DS116-DT116)/ABS(DS116)*100,""),"")</f>
        <v/>
      </c>
      <c r="DV116" s="62" t="inlineStr">
        <is>
          <t>ND</t>
        </is>
      </c>
      <c r="DW116" s="63" t="inlineStr">
        <is>
          <t>Claude only (DeepSeek pending). Source=2021 report (only report covering 2018). Ind.7/8=ND (no total workforce disclosed this edition; disability headcount=44, foreign na). Ind.9=29% - uses assistant-managers-included definition; **this indicator has THREE incompatible definitions across the 3 report editions for this company (see 2019/2022 notes) - treat as unreliable for any cross-year trend.** Ind.12=63,574,400 KRW. Ind.18=92 (single blended value this edition). Ind.19=10.5 (single value, likely 'Regular employees' scope based on later editions' breakdown). Ind.22=79.9, PROXY (defense-sector-only, Workers' Committee).</t>
        </is>
      </c>
    </row>
    <row r="117" ht="15.75" customHeight="1" s="43">
      <c r="A117" s="69" t="n"/>
      <c r="B117" s="69" t="n"/>
      <c r="C117" s="69" t="inlineStr">
        <is>
          <t>Industrials</t>
        </is>
      </c>
      <c r="D117" s="69" t="inlineStr">
        <is>
          <t>2019</t>
        </is>
      </c>
      <c r="E117" s="70" t="inlineStr">
        <is>
          <t>HANWHA_SYSTEMS_2022.pdf (most recent covering 2019)</t>
        </is>
      </c>
      <c r="F117" s="69" t="n"/>
      <c r="G117" s="67" t="n">
        <v>2.7</v>
      </c>
      <c r="H117" s="67" t="n">
        <v>2.66</v>
      </c>
      <c r="I117" s="71">
        <f>IFERROR(IF(AND(G117&lt;&gt;"",H117&lt;&gt;""),ABS(G117-H117)/ABS(G117)*100,""),"")</f>
        <v/>
      </c>
      <c r="J117" s="69" t="inlineStr">
        <is>
          <t>Claude</t>
        </is>
      </c>
      <c r="K117" s="67" t="n"/>
      <c r="L117" s="67" t="n"/>
      <c r="M117" s="71">
        <f>IFERROR(IF(AND(K117&lt;&gt;"",L117&lt;&gt;""),ABS(K117-L117)/ABS(K117)*100,""),"")</f>
        <v/>
      </c>
      <c r="N117" s="69" t="inlineStr">
        <is>
          <t>ND</t>
        </is>
      </c>
      <c r="O117" s="67" t="n"/>
      <c r="P117" s="67" t="n"/>
      <c r="Q117" s="71">
        <f>IFERROR(IF(AND(O117&lt;&gt;"",P117&lt;&gt;""),ABS(O117-P117)/ABS(O117)*100,""),"")</f>
        <v/>
      </c>
      <c r="R117" s="69" t="inlineStr">
        <is>
          <t>ND</t>
        </is>
      </c>
      <c r="S117" s="67" t="n">
        <v>11.4</v>
      </c>
      <c r="T117" s="67" t="n">
        <v>11.38</v>
      </c>
      <c r="U117" s="71">
        <f>IFERROR(IF(AND(S117&lt;&gt;"",T117&lt;&gt;""),ABS(S117-T117)/ABS(S117)*100,""),"")</f>
        <v/>
      </c>
      <c r="V117" s="69" t="inlineStr">
        <is>
          <t>Claude</t>
        </is>
      </c>
      <c r="W117" s="67" t="n">
        <v>13.1</v>
      </c>
      <c r="X117" s="67" t="n">
        <v>13.14</v>
      </c>
      <c r="Y117" s="71">
        <f>IFERROR(IF(AND(W117&lt;&gt;"",X117&lt;&gt;""),ABS(W117-X117)/ABS(W117)*100,""),"")</f>
        <v/>
      </c>
      <c r="Z117" s="69" t="inlineStr">
        <is>
          <t>Claude</t>
        </is>
      </c>
      <c r="AA117" s="67" t="n"/>
      <c r="AB117" s="67" t="n"/>
      <c r="AC117" s="71">
        <f>IFERROR(IF(AND(AA117&lt;&gt;"",AB117&lt;&gt;""),ABS(AA117-AB117)/ABS(AA117)*100,""),"")</f>
        <v/>
      </c>
      <c r="AD117" s="69" t="inlineStr">
        <is>
          <t>ND</t>
        </is>
      </c>
      <c r="AE117" s="67" t="n">
        <v>1.302</v>
      </c>
      <c r="AF117" s="67" t="n"/>
      <c r="AG117" s="71">
        <f>IFERROR(IF(AND(AE117&lt;&gt;"",AF117&lt;&gt;""),ABS(AE117-AF117)/ABS(AE117)*100,""),"")</f>
        <v/>
      </c>
      <c r="AH117" s="69" t="inlineStr">
        <is>
          <t>Claude</t>
        </is>
      </c>
      <c r="AI117" s="67" t="n">
        <v>0.055</v>
      </c>
      <c r="AJ117" s="67" t="n"/>
      <c r="AK117" s="71">
        <f>IFERROR(IF(AND(AI117&lt;&gt;"",AJ117&lt;&gt;""),ABS(AI117-AJ117)/ABS(AI117)*100,""),"")</f>
        <v/>
      </c>
      <c r="AL117" s="69" t="inlineStr">
        <is>
          <t>Claude</t>
        </is>
      </c>
      <c r="AM117" s="67" t="n">
        <v>5.6</v>
      </c>
      <c r="AN117" s="67" t="n">
        <v>5.77</v>
      </c>
      <c r="AO117" s="71">
        <f>IFERROR(IF(AND(AM117&lt;&gt;"",AN117&lt;&gt;""),ABS(AM117-AN117)/ABS(AM117)*100,""),"")</f>
        <v/>
      </c>
      <c r="AP117" s="69" t="inlineStr">
        <is>
          <t>Claude</t>
        </is>
      </c>
      <c r="AQ117" s="67" t="n"/>
      <c r="AR117" s="67" t="n"/>
      <c r="AS117" s="71">
        <f>IFERROR(IF(AND(AQ117&lt;&gt;"",AR117&lt;&gt;""),ABS(AQ117-AR117)/ABS(AQ117)*100,""),"")</f>
        <v/>
      </c>
      <c r="AT117" s="69" t="inlineStr">
        <is>
          <t>ND</t>
        </is>
      </c>
      <c r="AU117" s="67" t="n"/>
      <c r="AV117" s="67" t="n">
        <v>0</v>
      </c>
      <c r="AW117" s="71">
        <f>IFERROR(IF(AND(AU117&lt;&gt;"",AV117&lt;&gt;""),ABS(AU117-AV117)/ABS(AU117)*100,""),"")</f>
        <v/>
      </c>
      <c r="AX117" s="69" t="inlineStr">
        <is>
          <t>DeepSeek</t>
        </is>
      </c>
      <c r="AY117" s="64" t="n">
        <v>62787465</v>
      </c>
      <c r="AZ117" s="64" t="n">
        <v>8001162006</v>
      </c>
      <c r="BA117" s="71">
        <f>IFERROR(IF(AND(AY117&lt;&gt;"",AZ117&lt;&gt;""),ABS(AY117-AZ117)/ABS(AY117)*100,""),"")</f>
        <v/>
      </c>
      <c r="BB117" s="66" t="inlineStr">
        <is>
          <t>MANUAL FLAG</t>
        </is>
      </c>
      <c r="BC117" s="67" t="n">
        <v>22</v>
      </c>
      <c r="BD117" s="67" t="n"/>
      <c r="BE117" s="71">
        <f>IFERROR(IF(AND(BC117&lt;&gt;"",BD117&lt;&gt;""),ABS(BC117-BD117)/ABS(BC117)*100,""),"")</f>
        <v/>
      </c>
      <c r="BF117" s="69" t="inlineStr">
        <is>
          <t>Claude</t>
        </is>
      </c>
      <c r="BG117" s="64" t="n">
        <v>1318082</v>
      </c>
      <c r="BH117" s="64" t="n">
        <v>2633000</v>
      </c>
      <c r="BI117" s="71">
        <f>IFERROR(IF(AND(BG117&lt;&gt;"",BH117&lt;&gt;""),ABS(BG117-BH117)/ABS(BG117)*100,""),"")</f>
        <v/>
      </c>
      <c r="BJ117" s="66" t="inlineStr">
        <is>
          <t>MANUAL FLAG</t>
        </is>
      </c>
      <c r="BK117" s="64" t="n">
        <v>46.49</v>
      </c>
      <c r="BL117" s="64" t="n">
        <v>93</v>
      </c>
      <c r="BM117" s="71">
        <f>IFERROR(IF(AND(BK117&lt;&gt;"",BL117&lt;&gt;""),ABS(BK117-BL117)/ABS(BK117)*100,""),"")</f>
        <v/>
      </c>
      <c r="BN117" s="66" t="inlineStr">
        <is>
          <t>MANUAL FLAG</t>
        </is>
      </c>
      <c r="BO117" s="67" t="n">
        <v>30</v>
      </c>
      <c r="BP117" s="67" t="n">
        <v>30</v>
      </c>
      <c r="BQ117" s="71">
        <f>IFERROR(IF(AND(BO117&lt;&gt;"",BP117&lt;&gt;""),ABS(BO117-BP117)/ABS(BO117)*100,""),"")</f>
        <v/>
      </c>
      <c r="BR117" s="69" t="inlineStr">
        <is>
          <t>Claude</t>
        </is>
      </c>
      <c r="BS117" s="67" t="n">
        <v>11</v>
      </c>
      <c r="BT117" s="67" t="n">
        <v>11</v>
      </c>
      <c r="BU117" s="71">
        <f>IFERROR(IF(AND(BS117&lt;&gt;"",BT117&lt;&gt;""),ABS(BS117-BT117)/ABS(BS117)*100,""),"")</f>
        <v/>
      </c>
      <c r="BV117" s="69" t="inlineStr">
        <is>
          <t>Claude</t>
        </is>
      </c>
      <c r="BW117" s="67" t="n"/>
      <c r="BX117" s="67" t="n">
        <v>100</v>
      </c>
      <c r="BY117" s="71">
        <f>IFERROR(IF(AND(BW117&lt;&gt;"",BX117&lt;&gt;""),ABS(BW117-BX117)/ABS(BW117)*100,""),"")</f>
        <v/>
      </c>
      <c r="BZ117" s="69" t="inlineStr">
        <is>
          <t>DeepSeek</t>
        </is>
      </c>
      <c r="CA117" s="67" t="n">
        <v>10.6</v>
      </c>
      <c r="CB117" s="67" t="n">
        <v>10.6</v>
      </c>
      <c r="CC117" s="71">
        <f>IFERROR(IF(AND(CA117&lt;&gt;"",CB117&lt;&gt;""),ABS(CA117-CB117)/ABS(CA117)*100,""),"")</f>
        <v/>
      </c>
      <c r="CD117" s="69" t="inlineStr">
        <is>
          <t>Claude</t>
        </is>
      </c>
      <c r="CE117" s="67" t="n">
        <v>5.3</v>
      </c>
      <c r="CF117" s="67" t="n">
        <v>5.3</v>
      </c>
      <c r="CG117" s="71">
        <f>IFERROR(IF(AND(CE117&lt;&gt;"",CF117&lt;&gt;""),ABS(CE117-CF117)/ABS(CE117)*100,""),"")</f>
        <v/>
      </c>
      <c r="CH117" s="69" t="inlineStr">
        <is>
          <t>Claude</t>
        </is>
      </c>
      <c r="CI117" s="67" t="n">
        <v>0</v>
      </c>
      <c r="CJ117" s="67" t="n">
        <v>0</v>
      </c>
      <c r="CK117" s="71">
        <f>IFERROR(IF(AND(CI117&lt;&gt;"",CJ117&lt;&gt;""),ABS(CI117-CJ117)/ABS(CI117)*100,""),"")</f>
        <v/>
      </c>
      <c r="CL117" s="69" t="inlineStr">
        <is>
          <t>Claude</t>
        </is>
      </c>
      <c r="CM117" s="67" t="n"/>
      <c r="CN117" s="67" t="n"/>
      <c r="CO117" s="71">
        <f>IFERROR(IF(AND(CM117&lt;&gt;"",CN117&lt;&gt;""),ABS(CM117-CN117)/ABS(CM117)*100,""),"")</f>
        <v/>
      </c>
      <c r="CP117" s="69" t="inlineStr">
        <is>
          <t>ND</t>
        </is>
      </c>
      <c r="CQ117" s="67" t="n">
        <v>0.15</v>
      </c>
      <c r="CR117" s="67" t="n">
        <v>0.15</v>
      </c>
      <c r="CS117" s="71">
        <f>IFERROR(IF(AND(CQ117&lt;&gt;"",CR117&lt;&gt;""),ABS(CQ117-CR117)/ABS(CQ117)*100,""),"")</f>
        <v/>
      </c>
      <c r="CT117" s="69" t="inlineStr">
        <is>
          <t>Claude</t>
        </is>
      </c>
      <c r="CU117" s="67" t="n">
        <v>0</v>
      </c>
      <c r="CV117" s="67" t="n">
        <v>0</v>
      </c>
      <c r="CW117" s="71">
        <f>IFERROR(IF(AND(CU117&lt;&gt;"",CV117&lt;&gt;""),ABS(CU117-CV117)/ABS(CU117)*100,""),"")</f>
        <v/>
      </c>
      <c r="CX117" s="69" t="inlineStr">
        <is>
          <t>Claude</t>
        </is>
      </c>
      <c r="CY117" s="68" t="n"/>
      <c r="CZ117" s="68" t="n">
        <v>0</v>
      </c>
      <c r="DA117" s="71">
        <f>IFERROR(IF(AND(CY117&lt;&gt;"",CZ117&lt;&gt;""),ABS(CY117-CZ117)/ABS(CY117)*100,""),"")</f>
        <v/>
      </c>
      <c r="DB117" s="69" t="inlineStr">
        <is>
          <t>DeepSeek</t>
        </is>
      </c>
      <c r="DC117" s="68" t="n"/>
      <c r="DD117" s="68" t="n"/>
      <c r="DE117" s="71">
        <f>IFERROR(IF(AND(DC117&lt;&gt;"",DD117&lt;&gt;""),ABS(DC117-DD117)/ABS(DC117)*100,""),"")</f>
        <v/>
      </c>
      <c r="DF117" s="69" t="inlineStr">
        <is>
          <t>ND</t>
        </is>
      </c>
      <c r="DG117" s="68" t="n">
        <v>59.1</v>
      </c>
      <c r="DH117" s="68" t="n">
        <v>59.1</v>
      </c>
      <c r="DI117" s="71">
        <f>IFERROR(IF(AND(DG117&lt;&gt;"",DH117&lt;&gt;""),ABS(DG117-DH117)/ABS(DG117)*100,""),"")</f>
        <v/>
      </c>
      <c r="DJ117" s="69" t="inlineStr">
        <is>
          <t>Claude</t>
        </is>
      </c>
      <c r="DK117" s="68" t="n"/>
      <c r="DL117" s="68" t="n"/>
      <c r="DM117" s="71">
        <f>IFERROR(IF(AND(DK117&lt;&gt;"",DL117&lt;&gt;""),ABS(DK117-DL117)/ABS(DK117)*100,""),"")</f>
        <v/>
      </c>
      <c r="DN117" s="69" t="inlineStr">
        <is>
          <t>ND</t>
        </is>
      </c>
      <c r="DO117" s="68" t="n"/>
      <c r="DP117" s="68" t="n"/>
      <c r="DQ117" s="71">
        <f>IFERROR(IF(AND(DO117&lt;&gt;"",DP117&lt;&gt;""),ABS(DO117-DP117)/ABS(DO117)*100,""),"")</f>
        <v/>
      </c>
      <c r="DR117" s="69" t="inlineStr">
        <is>
          <t>ND</t>
        </is>
      </c>
      <c r="DS117" s="68" t="n"/>
      <c r="DT117" s="68" t="n"/>
      <c r="DU117" s="71">
        <f>IFERROR(IF(AND(DS117&lt;&gt;"",DT117&lt;&gt;""),ABS(DS117-DT117)/ABS(DS117)*100,""),"")</f>
        <v/>
      </c>
      <c r="DV117" s="69" t="inlineStr">
        <is>
          <t>ND</t>
        </is>
      </c>
      <c r="DW117" s="70" t="inlineStr">
        <is>
          <t>Claude only (DeepSeek pending). Source=2022 report (more recent than 2021 report). Ind.1=2.7 close match to 2021 report's 2.66. Ind.7/8: %Disabled=1.302 (47/3,611, NOW COMPUTABLE - 2022 report gives explicit total workforce). %Foreign=0.055 (headcount 2, PROXY - 'International employees' term not confirmed nationality-based). Ind.6=11.4, PROXY (domestic-only numerator vs unconfirmed-scope denominator). **Ind.8=na: 2022 report RETRACTS the 2021 report's 25.55% New Female Workers figure - couldn't find gender breakdown of new hires this edition.** **Ind.9=5.6, MASSIVE DISCREPANCY vs 2021 report's 29% (~5x difference) - 2022 report's denominator explicitly MIXES middle managers with Executives, a broader/different tier than 2021 report's assistant-manager-inclusive definition. These measure different populations, not the same trend.** **Ind.12=62,787,465 vs 2021 report's 80,011,632 - MAJOR CONFLICT: 2022 report calculated a headcount-weighted average of BASE PAY only (excl. incentives), while 2021 report likely used Total Wages (broader, incl. incentives) - different scope, not a correction.** Ind.13=22.0, matches 2021 report exactly. **Ind.14=1,318,082, essentially IDENTICAL to 2021 report's 1,318,193 (off by only 111) despite 2022 report correcting a 100x unit-labeling error found in the source - excellent independent cross-validation that this figure is reliable.** Ind.16/17 match 2021 report exactly (30/11). Ind.19=10.6 ('Regular employees' component of a Regular/Non-regular breakdown; matches 2021 report's single value exactly - Non-regular=5.0 noted separately). **Ind.21=0.0, NEW (2021 report had no involuntary-turnover data at all).** **Ind.22=na: RETRACTS 2021 report's 76.6% - 2022 report found no membership rate/count disclosed at all this edition, not even defense-sector-scoped.** Ind.23=0.15, NEW, PROXY ('LTIR' ambiguous severity-vs-frequency). Ind.24=0, NEW (explicit direct disclosure). **Ind.25=2, MAJOR CONFLICT vs 2021 report's 14 for COVID actions in the 2020 data year - very different itemization, not just a different scope.** Ind.27=59.1, NEW. || DEEPSEEK RECONCILIATION - MANUAL FLAGS: Ind.12 (Annual Pay): Claude=62787465, DeepSeek=8001162006, Diff=12643.2%; Ind.14 (Training Budget/Employee): Claude=1318082, DeepSeek=2633000, Diff=99.8%; Ind.15 (Training Hours/Employee): Claude=46.49, DeepSeek=93, Diff=100.0% || NOTE: Ind.12 (Annual Pay) DeepSeek value (~8 billion KRW) is almost certainly a TOTAL WAGE BILL, not a per-employee figure - the ~12,600% difference is consistent with DeepSeek forgetting to divide by total headcount (~127x scale factor roughly matches SKC's typical headcount range). Treat as a clear DeepSeek calculation error, not a genuine per-employee salary. Ind.14/15 (Training Budget/Hours) also run consistently ~2x higher in DeepSeek this year - possibly a different scope/denominator (e.g. total vs. per-capita basis) rather than random noise.</t>
        </is>
      </c>
    </row>
    <row r="118" ht="15.75" customHeight="1" s="43">
      <c r="A118" s="62" t="n"/>
      <c r="B118" s="62" t="n"/>
      <c r="C118" s="62" t="inlineStr">
        <is>
          <t>Industrials</t>
        </is>
      </c>
      <c r="D118" s="62" t="inlineStr">
        <is>
          <t>2020</t>
        </is>
      </c>
      <c r="E118" s="63" t="inlineStr">
        <is>
          <t>HANWHA_SYSTEMS_2022.pdf (most recent covering 2020)</t>
        </is>
      </c>
      <c r="F118" s="62" t="n"/>
      <c r="G118" s="67" t="n">
        <v>2.9</v>
      </c>
      <c r="H118" s="67" t="n">
        <v>2.87</v>
      </c>
      <c r="I118" s="65">
        <f>IFERROR(IF(AND(G118&lt;&gt;"",H118&lt;&gt;""),ABS(G118-H118)/ABS(G118)*100,""),"")</f>
        <v/>
      </c>
      <c r="J118" s="62" t="inlineStr">
        <is>
          <t>Claude</t>
        </is>
      </c>
      <c r="K118" s="67" t="n"/>
      <c r="L118" s="67" t="n"/>
      <c r="M118" s="65">
        <f>IFERROR(IF(AND(K118&lt;&gt;"",L118&lt;&gt;""),ABS(K118-L118)/ABS(K118)*100,""),"")</f>
        <v/>
      </c>
      <c r="N118" s="62" t="inlineStr">
        <is>
          <t>ND</t>
        </is>
      </c>
      <c r="O118" s="67" t="n"/>
      <c r="P118" s="67" t="n"/>
      <c r="Q118" s="65">
        <f>IFERROR(IF(AND(O118&lt;&gt;"",P118&lt;&gt;""),ABS(O118-P118)/ABS(O118)*100,""),"")</f>
        <v/>
      </c>
      <c r="R118" s="62" t="inlineStr">
        <is>
          <t>ND</t>
        </is>
      </c>
      <c r="S118" s="67" t="n">
        <v>6.7</v>
      </c>
      <c r="T118" s="67" t="n">
        <v>6.69</v>
      </c>
      <c r="U118" s="65">
        <f>IFERROR(IF(AND(S118&lt;&gt;"",T118&lt;&gt;""),ABS(S118-T118)/ABS(S118)*100,""),"")</f>
        <v/>
      </c>
      <c r="V118" s="62" t="inlineStr">
        <is>
          <t>Claude</t>
        </is>
      </c>
      <c r="W118" s="67" t="n">
        <v>19.4</v>
      </c>
      <c r="X118" s="67" t="n">
        <v>19.43</v>
      </c>
      <c r="Y118" s="65">
        <f>IFERROR(IF(AND(W118&lt;&gt;"",X118&lt;&gt;""),ABS(W118-X118)/ABS(W118)*100,""),"")</f>
        <v/>
      </c>
      <c r="Z118" s="62" t="inlineStr">
        <is>
          <t>Claude</t>
        </is>
      </c>
      <c r="AA118" s="67" t="n"/>
      <c r="AB118" s="67" t="n"/>
      <c r="AC118" s="65">
        <f>IFERROR(IF(AND(AA118&lt;&gt;"",AB118&lt;&gt;""),ABS(AA118-AB118)/ABS(AA118)*100,""),"")</f>
        <v/>
      </c>
      <c r="AD118" s="62" t="inlineStr">
        <is>
          <t>ND</t>
        </is>
      </c>
      <c r="AE118" s="67" t="n">
        <v>1.327</v>
      </c>
      <c r="AF118" s="67" t="n"/>
      <c r="AG118" s="65">
        <f>IFERROR(IF(AND(AE118&lt;&gt;"",AF118&lt;&gt;""),ABS(AE118-AF118)/ABS(AE118)*100,""),"")</f>
        <v/>
      </c>
      <c r="AH118" s="62" t="inlineStr">
        <is>
          <t>Claude</t>
        </is>
      </c>
      <c r="AI118" s="67" t="n">
        <v>0.054</v>
      </c>
      <c r="AJ118" s="67" t="n"/>
      <c r="AK118" s="65">
        <f>IFERROR(IF(AND(AI118&lt;&gt;"",AJ118&lt;&gt;""),ABS(AI118-AJ118)/ABS(AI118)*100,""),"")</f>
        <v/>
      </c>
      <c r="AL118" s="62" t="inlineStr">
        <is>
          <t>Claude</t>
        </is>
      </c>
      <c r="AM118" s="67" t="n">
        <v>6.2</v>
      </c>
      <c r="AN118" s="67" t="n">
        <v>6.4</v>
      </c>
      <c r="AO118" s="65">
        <f>IFERROR(IF(AND(AM118&lt;&gt;"",AN118&lt;&gt;""),ABS(AM118-AN118)/ABS(AM118)*100,""),"")</f>
        <v/>
      </c>
      <c r="AP118" s="62" t="inlineStr">
        <is>
          <t>Claude</t>
        </is>
      </c>
      <c r="AQ118" s="67" t="n"/>
      <c r="AR118" s="67" t="n"/>
      <c r="AS118" s="65">
        <f>IFERROR(IF(AND(AQ118&lt;&gt;"",AR118&lt;&gt;""),ABS(AQ118-AR118)/ABS(AQ118)*100,""),"")</f>
        <v/>
      </c>
      <c r="AT118" s="62" t="inlineStr">
        <is>
          <t>ND</t>
        </is>
      </c>
      <c r="AU118" s="67" t="n"/>
      <c r="AV118" s="67" t="n">
        <v>0</v>
      </c>
      <c r="AW118" s="65">
        <f>IFERROR(IF(AND(AU118&lt;&gt;"",AV118&lt;&gt;""),ABS(AU118-AV118)/ABS(AU118)*100,""),"")</f>
        <v/>
      </c>
      <c r="AX118" s="62" t="inlineStr">
        <is>
          <t>DeepSeek</t>
        </is>
      </c>
      <c r="AY118" s="64" t="n">
        <v>64189372</v>
      </c>
      <c r="AZ118" s="64" t="n">
        <v>8499674972</v>
      </c>
      <c r="BA118" s="65">
        <f>IFERROR(IF(AND(AY118&lt;&gt;"",AZ118&lt;&gt;""),ABS(AY118-AZ118)/ABS(AY118)*100,""),"")</f>
        <v/>
      </c>
      <c r="BB118" s="66" t="inlineStr">
        <is>
          <t>MANUAL FLAG</t>
        </is>
      </c>
      <c r="BC118" s="67" t="n">
        <v>21</v>
      </c>
      <c r="BD118" s="67" t="n"/>
      <c r="BE118" s="65">
        <f>IFERROR(IF(AND(BC118&lt;&gt;"",BD118&lt;&gt;""),ABS(BC118-BD118)/ABS(BC118)*100,""),"")</f>
        <v/>
      </c>
      <c r="BF118" s="62" t="inlineStr">
        <is>
          <t>Claude</t>
        </is>
      </c>
      <c r="BG118" s="64" t="n">
        <v>156555</v>
      </c>
      <c r="BH118" s="64" t="n">
        <v>317000</v>
      </c>
      <c r="BI118" s="65">
        <f>IFERROR(IF(AND(BG118&lt;&gt;"",BH118&lt;&gt;""),ABS(BG118-BH118)/ABS(BG118)*100,""),"")</f>
        <v/>
      </c>
      <c r="BJ118" s="66" t="inlineStr">
        <is>
          <t>MANUAL FLAG</t>
        </is>
      </c>
      <c r="BK118" s="64" t="n">
        <v>18.28</v>
      </c>
      <c r="BL118" s="64" t="n">
        <v>36</v>
      </c>
      <c r="BM118" s="65">
        <f>IFERROR(IF(AND(BK118&lt;&gt;"",BL118&lt;&gt;""),ABS(BK118-BL118)/ABS(BK118)*100,""),"")</f>
        <v/>
      </c>
      <c r="BN118" s="66" t="inlineStr">
        <is>
          <t>MANUAL FLAG</t>
        </is>
      </c>
      <c r="BO118" s="67" t="n">
        <v>26</v>
      </c>
      <c r="BP118" s="67" t="n">
        <v>26</v>
      </c>
      <c r="BQ118" s="65">
        <f>IFERROR(IF(AND(BO118&lt;&gt;"",BP118&lt;&gt;""),ABS(BO118-BP118)/ABS(BO118)*100,""),"")</f>
        <v/>
      </c>
      <c r="BR118" s="62" t="inlineStr">
        <is>
          <t>Claude</t>
        </is>
      </c>
      <c r="BS118" s="67" t="n">
        <v>16</v>
      </c>
      <c r="BT118" s="67" t="n">
        <v>16</v>
      </c>
      <c r="BU118" s="65">
        <f>IFERROR(IF(AND(BS118&lt;&gt;"",BT118&lt;&gt;""),ABS(BS118-BT118)/ABS(BS118)*100,""),"")</f>
        <v/>
      </c>
      <c r="BV118" s="62" t="inlineStr">
        <is>
          <t>Claude</t>
        </is>
      </c>
      <c r="BW118" s="67" t="n"/>
      <c r="BX118" s="67" t="n">
        <v>100</v>
      </c>
      <c r="BY118" s="65">
        <f>IFERROR(IF(AND(BW118&lt;&gt;"",BX118&lt;&gt;""),ABS(BW118-BX118)/ABS(BW118)*100,""),"")</f>
        <v/>
      </c>
      <c r="BZ118" s="62" t="inlineStr">
        <is>
          <t>DeepSeek</t>
        </is>
      </c>
      <c r="CA118" s="67" t="n">
        <v>11.1</v>
      </c>
      <c r="CB118" s="67" t="n">
        <v>11.1</v>
      </c>
      <c r="CC118" s="65">
        <f>IFERROR(IF(AND(CA118&lt;&gt;"",CB118&lt;&gt;""),ABS(CA118-CB118)/ABS(CA118)*100,""),"")</f>
        <v/>
      </c>
      <c r="CD118" s="62" t="inlineStr">
        <is>
          <t>Claude</t>
        </is>
      </c>
      <c r="CE118" s="67" t="n">
        <v>5</v>
      </c>
      <c r="CF118" s="67" t="n">
        <v>5</v>
      </c>
      <c r="CG118" s="65">
        <f>IFERROR(IF(AND(CE118&lt;&gt;"",CF118&lt;&gt;""),ABS(CE118-CF118)/ABS(CE118)*100,""),"")</f>
        <v/>
      </c>
      <c r="CH118" s="62" t="inlineStr">
        <is>
          <t>Claude</t>
        </is>
      </c>
      <c r="CI118" s="67" t="n">
        <v>0</v>
      </c>
      <c r="CJ118" s="67" t="n">
        <v>0</v>
      </c>
      <c r="CK118" s="65">
        <f>IFERROR(IF(AND(CI118&lt;&gt;"",CJ118&lt;&gt;""),ABS(CI118-CJ118)/ABS(CI118)*100,""),"")</f>
        <v/>
      </c>
      <c r="CL118" s="62" t="inlineStr">
        <is>
          <t>Claude</t>
        </is>
      </c>
      <c r="CM118" s="67" t="n"/>
      <c r="CN118" s="67" t="n"/>
      <c r="CO118" s="65">
        <f>IFERROR(IF(AND(CM118&lt;&gt;"",CN118&lt;&gt;""),ABS(CM118-CN118)/ABS(CM118)*100,""),"")</f>
        <v/>
      </c>
      <c r="CP118" s="62" t="inlineStr">
        <is>
          <t>ND</t>
        </is>
      </c>
      <c r="CQ118" s="67" t="n">
        <v>0</v>
      </c>
      <c r="CR118" s="67" t="n">
        <v>0</v>
      </c>
      <c r="CS118" s="65">
        <f>IFERROR(IF(AND(CQ118&lt;&gt;"",CR118&lt;&gt;""),ABS(CQ118-CR118)/ABS(CQ118)*100,""),"")</f>
        <v/>
      </c>
      <c r="CT118" s="62" t="inlineStr">
        <is>
          <t>Claude</t>
        </is>
      </c>
      <c r="CU118" s="67" t="n">
        <v>0</v>
      </c>
      <c r="CV118" s="67" t="n">
        <v>0</v>
      </c>
      <c r="CW118" s="65">
        <f>IFERROR(IF(AND(CU118&lt;&gt;"",CV118&lt;&gt;""),ABS(CU118-CV118)/ABS(CU118)*100,""),"")</f>
        <v/>
      </c>
      <c r="CX118" s="62" t="inlineStr">
        <is>
          <t>Claude</t>
        </is>
      </c>
      <c r="CY118" s="64" t="n">
        <v>2</v>
      </c>
      <c r="CZ118" s="64" t="n">
        <v>0</v>
      </c>
      <c r="DA118" s="65">
        <f>IFERROR(IF(AND(CY118&lt;&gt;"",CZ118&lt;&gt;""),ABS(CY118-CZ118)/ABS(CY118)*100,""),"")</f>
        <v/>
      </c>
      <c r="DB118" s="66" t="inlineStr">
        <is>
          <t>MANUAL FLAG</t>
        </is>
      </c>
      <c r="DC118" s="68" t="n"/>
      <c r="DD118" s="68" t="n"/>
      <c r="DE118" s="65">
        <f>IFERROR(IF(AND(DC118&lt;&gt;"",DD118&lt;&gt;""),ABS(DC118-DD118)/ABS(DC118)*100,""),"")</f>
        <v/>
      </c>
      <c r="DF118" s="62" t="inlineStr">
        <is>
          <t>ND</t>
        </is>
      </c>
      <c r="DG118" s="68" t="n"/>
      <c r="DH118" s="68" t="n"/>
      <c r="DI118" s="65">
        <f>IFERROR(IF(AND(DG118&lt;&gt;"",DH118&lt;&gt;""),ABS(DG118-DH118)/ABS(DG118)*100,""),"")</f>
        <v/>
      </c>
      <c r="DJ118" s="62" t="inlineStr">
        <is>
          <t>ND</t>
        </is>
      </c>
      <c r="DK118" s="68" t="n"/>
      <c r="DL118" s="68" t="n"/>
      <c r="DM118" s="65">
        <f>IFERROR(IF(AND(DK118&lt;&gt;"",DL118&lt;&gt;""),ABS(DK118-DL118)/ABS(DK118)*100,""),"")</f>
        <v/>
      </c>
      <c r="DN118" s="62" t="inlineStr">
        <is>
          <t>ND</t>
        </is>
      </c>
      <c r="DO118" s="68" t="n"/>
      <c r="DP118" s="68" t="n"/>
      <c r="DQ118" s="65">
        <f>IFERROR(IF(AND(DO118&lt;&gt;"",DP118&lt;&gt;""),ABS(DO118-DP118)/ABS(DO118)*100,""),"")</f>
        <v/>
      </c>
      <c r="DR118" s="62" t="inlineStr">
        <is>
          <t>ND</t>
        </is>
      </c>
      <c r="DS118" s="68" t="n"/>
      <c r="DT118" s="68" t="n"/>
      <c r="DU118" s="65">
        <f>IFERROR(IF(AND(DS118&lt;&gt;"",DT118&lt;&gt;""),ABS(DS118-DT118)/ABS(DS118)*100,""),"")</f>
        <v/>
      </c>
      <c r="DV118" s="62" t="inlineStr">
        <is>
          <t>ND</t>
        </is>
      </c>
      <c r="DW118" s="63" t="inlineStr">
        <is>
          <t>Claude only (DeepSeek pending). Source=2022 report. Ind.7/8: %Disabled=1.327 (49/3,692); %Foreign=0.054 (headcount 2, proxy). Ind.9=6.2 (same broader-tier issue as 2019, see note). Ind.12=64,189,372 vs 2021 report's 84,991,872 - same base-pay-vs-total-wages conflict as 2019. Ind.14=156,555, essentially IDENTICAL to 2021 report's 156,554 (off by 1) - same excellent cross-validation as 2019. Ind.19=11.1 (Regular component, matches 2021 report exactly; Non-regular=6.4 noted). Ind.21=0.0. Ind.22=na (RETRACTS 2021 report's 75.4%). Ind.23=0.00. Ind.24=0. **Ind.25=2 (SAME combined count as 2019 - 2022 report doesn't disaggregate by year for this indicator, both 2019/2020 show '2' - treat with that caveat) vs 2021 report's specific-to-2020 count of 14 - MAJOR CONFLICT.** Ind.27=na, explicit 'survey not conducted in 2020' per source footnote - genuine gap, not missing data. || DEEPSEEK RECONCILIATION - MANUAL FLAGS: Ind.12 (Annual Pay): Claude=64189372, DeepSeek=8499674972, Diff=13141.6%; Ind.14 (Training Budget/Employee): Claude=156555, DeepSeek=317000, Diff=102.5%; Ind.15 (Training Hours/Employee): Claude=18.28, DeepSeek=36, Diff=96.9%; Ind.25 (COVID Response): Claude=2, DeepSeek=0, Diff=100.0% || NOTE: Same Ind.12 total-vs-per-employee scale error as 2019 (~13,000% off) - confirmed DeepSeek calculation error. Ind.14/15 continue the ~2x pattern from 2019.</t>
        </is>
      </c>
    </row>
    <row r="119" ht="15.75" customHeight="1" s="43">
      <c r="A119" s="69" t="n"/>
      <c r="B119" s="69" t="n"/>
      <c r="C119" s="69" t="inlineStr">
        <is>
          <t>Industrials</t>
        </is>
      </c>
      <c r="D119" s="69" t="inlineStr">
        <is>
          <t>2021</t>
        </is>
      </c>
      <c r="E119" s="70" t="inlineStr">
        <is>
          <t>HANWHA_SYSTEMS_2022.pdf (only report covering 2021)</t>
        </is>
      </c>
      <c r="F119" s="69" t="n"/>
      <c r="G119" s="67" t="n">
        <v>4.8</v>
      </c>
      <c r="H119" s="67" t="n">
        <v>4.81</v>
      </c>
      <c r="I119" s="71">
        <f>IFERROR(IF(AND(G119&lt;&gt;"",H119&lt;&gt;""),ABS(G119-H119)/ABS(G119)*100,""),"")</f>
        <v/>
      </c>
      <c r="J119" s="69" t="inlineStr">
        <is>
          <t>Claude</t>
        </is>
      </c>
      <c r="K119" s="67" t="n"/>
      <c r="L119" s="67" t="n"/>
      <c r="M119" s="71">
        <f>IFERROR(IF(AND(K119&lt;&gt;"",L119&lt;&gt;""),ABS(K119-L119)/ABS(K119)*100,""),"")</f>
        <v/>
      </c>
      <c r="N119" s="69" t="inlineStr">
        <is>
          <t>ND</t>
        </is>
      </c>
      <c r="O119" s="67" t="n"/>
      <c r="P119" s="67" t="n"/>
      <c r="Q119" s="71">
        <f>IFERROR(IF(AND(O119&lt;&gt;"",P119&lt;&gt;""),ABS(O119-P119)/ABS(O119)*100,""),"")</f>
        <v/>
      </c>
      <c r="R119" s="69" t="inlineStr">
        <is>
          <t>ND</t>
        </is>
      </c>
      <c r="S119" s="67" t="n">
        <v>12.5</v>
      </c>
      <c r="T119" s="67" t="n">
        <v>12.47</v>
      </c>
      <c r="U119" s="71">
        <f>IFERROR(IF(AND(S119&lt;&gt;"",T119&lt;&gt;""),ABS(S119-T119)/ABS(S119)*100,""),"")</f>
        <v/>
      </c>
      <c r="V119" s="69" t="inlineStr">
        <is>
          <t>Claude</t>
        </is>
      </c>
      <c r="W119" s="67" t="n">
        <v>19.2</v>
      </c>
      <c r="X119" s="67" t="n">
        <v>19.18</v>
      </c>
      <c r="Y119" s="71">
        <f>IFERROR(IF(AND(W119&lt;&gt;"",X119&lt;&gt;""),ABS(W119-X119)/ABS(W119)*100,""),"")</f>
        <v/>
      </c>
      <c r="Z119" s="69" t="inlineStr">
        <is>
          <t>Claude</t>
        </is>
      </c>
      <c r="AA119" s="67" t="n"/>
      <c r="AB119" s="67" t="n"/>
      <c r="AC119" s="71">
        <f>IFERROR(IF(AND(AA119&lt;&gt;"",AB119&lt;&gt;""),ABS(AA119-AB119)/ABS(AA119)*100,""),"")</f>
        <v/>
      </c>
      <c r="AD119" s="69" t="inlineStr">
        <is>
          <t>ND</t>
        </is>
      </c>
      <c r="AE119" s="67" t="n">
        <v>1.297</v>
      </c>
      <c r="AF119" s="67" t="n"/>
      <c r="AG119" s="71">
        <f>IFERROR(IF(AND(AE119&lt;&gt;"",AF119&lt;&gt;""),ABS(AE119-AF119)/ABS(AE119)*100,""),"")</f>
        <v/>
      </c>
      <c r="AH119" s="69" t="inlineStr">
        <is>
          <t>Claude</t>
        </is>
      </c>
      <c r="AI119" s="67" t="n">
        <v>0.076</v>
      </c>
      <c r="AJ119" s="67" t="n"/>
      <c r="AK119" s="71">
        <f>IFERROR(IF(AND(AI119&lt;&gt;"",AJ119&lt;&gt;""),ABS(AI119-AJ119)/ABS(AI119)*100,""),"")</f>
        <v/>
      </c>
      <c r="AL119" s="69" t="inlineStr">
        <is>
          <t>Claude</t>
        </is>
      </c>
      <c r="AM119" s="67" t="n">
        <v>6.7</v>
      </c>
      <c r="AN119" s="67" t="n">
        <v>6.87</v>
      </c>
      <c r="AO119" s="71">
        <f>IFERROR(IF(AND(AM119&lt;&gt;"",AN119&lt;&gt;""),ABS(AM119-AN119)/ABS(AM119)*100,""),"")</f>
        <v/>
      </c>
      <c r="AP119" s="69" t="inlineStr">
        <is>
          <t>Claude</t>
        </is>
      </c>
      <c r="AQ119" s="67" t="n"/>
      <c r="AR119" s="67" t="n"/>
      <c r="AS119" s="71">
        <f>IFERROR(IF(AND(AQ119&lt;&gt;"",AR119&lt;&gt;""),ABS(AQ119-AR119)/ABS(AQ119)*100,""),"")</f>
        <v/>
      </c>
      <c r="AT119" s="69" t="inlineStr">
        <is>
          <t>ND</t>
        </is>
      </c>
      <c r="AU119" s="67" t="n"/>
      <c r="AV119" s="67" t="n">
        <v>0</v>
      </c>
      <c r="AW119" s="71">
        <f>IFERROR(IF(AND(AU119&lt;&gt;"",AV119&lt;&gt;""),ABS(AU119-AV119)/ABS(AU119)*100,""),"")</f>
        <v/>
      </c>
      <c r="AX119" s="69" t="inlineStr">
        <is>
          <t>DeepSeek</t>
        </is>
      </c>
      <c r="AY119" s="64" t="n">
        <v>70641776</v>
      </c>
      <c r="AZ119" s="64" t="n">
        <v>8884052659</v>
      </c>
      <c r="BA119" s="71">
        <f>IFERROR(IF(AND(AY119&lt;&gt;"",AZ119&lt;&gt;""),ABS(AY119-AZ119)/ABS(AY119)*100,""),"")</f>
        <v/>
      </c>
      <c r="BB119" s="66" t="inlineStr">
        <is>
          <t>MANUAL FLAG</t>
        </is>
      </c>
      <c r="BC119" s="67" t="n">
        <v>19</v>
      </c>
      <c r="BD119" s="67" t="n"/>
      <c r="BE119" s="71">
        <f>IFERROR(IF(AND(BC119&lt;&gt;"",BD119&lt;&gt;""),ABS(BC119-BD119)/ABS(BC119)*100,""),"")</f>
        <v/>
      </c>
      <c r="BF119" s="69" t="inlineStr">
        <is>
          <t>Claude</t>
        </is>
      </c>
      <c r="BG119" s="64" t="n">
        <v>299669</v>
      </c>
      <c r="BH119" s="64" t="n">
        <v>551000</v>
      </c>
      <c r="BI119" s="71">
        <f>IFERROR(IF(AND(BG119&lt;&gt;"",BH119&lt;&gt;""),ABS(BG119-BH119)/ABS(BG119)*100,""),"")</f>
        <v/>
      </c>
      <c r="BJ119" s="66" t="inlineStr">
        <is>
          <t>MANUAL FLAG</t>
        </is>
      </c>
      <c r="BK119" s="64" t="n">
        <v>36.8</v>
      </c>
      <c r="BL119" s="64" t="n">
        <v>90</v>
      </c>
      <c r="BM119" s="71">
        <f>IFERROR(IF(AND(BK119&lt;&gt;"",BL119&lt;&gt;""),ABS(BK119-BL119)/ABS(BK119)*100,""),"")</f>
        <v/>
      </c>
      <c r="BN119" s="66" t="inlineStr">
        <is>
          <t>MANUAL FLAG</t>
        </is>
      </c>
      <c r="BO119" s="67" t="n">
        <v>31</v>
      </c>
      <c r="BP119" s="67" t="n">
        <v>31</v>
      </c>
      <c r="BQ119" s="71">
        <f>IFERROR(IF(AND(BO119&lt;&gt;"",BP119&lt;&gt;""),ABS(BO119-BP119)/ABS(BO119)*100,""),"")</f>
        <v/>
      </c>
      <c r="BR119" s="69" t="inlineStr">
        <is>
          <t>Claude</t>
        </is>
      </c>
      <c r="BS119" s="67" t="n">
        <v>16</v>
      </c>
      <c r="BT119" s="67" t="n">
        <v>16</v>
      </c>
      <c r="BU119" s="71">
        <f>IFERROR(IF(AND(BS119&lt;&gt;"",BT119&lt;&gt;""),ABS(BS119-BT119)/ABS(BS119)*100,""),"")</f>
        <v/>
      </c>
      <c r="BV119" s="69" t="inlineStr">
        <is>
          <t>Claude</t>
        </is>
      </c>
      <c r="BW119" s="67" t="n"/>
      <c r="BX119" s="67" t="n">
        <v>91</v>
      </c>
      <c r="BY119" s="71">
        <f>IFERROR(IF(AND(BW119&lt;&gt;"",BX119&lt;&gt;""),ABS(BW119-BX119)/ABS(BW119)*100,""),"")</f>
        <v/>
      </c>
      <c r="BZ119" s="69" t="inlineStr">
        <is>
          <t>DeepSeek</t>
        </is>
      </c>
      <c r="CA119" s="67" t="n">
        <v>10.9</v>
      </c>
      <c r="CB119" s="67" t="n">
        <v>10.9</v>
      </c>
      <c r="CC119" s="71">
        <f>IFERROR(IF(AND(CA119&lt;&gt;"",CB119&lt;&gt;""),ABS(CA119-CB119)/ABS(CA119)*100,""),"")</f>
        <v/>
      </c>
      <c r="CD119" s="69" t="inlineStr">
        <is>
          <t>Claude</t>
        </is>
      </c>
      <c r="CE119" s="67" t="n">
        <v>6.1</v>
      </c>
      <c r="CF119" s="67" t="n">
        <v>6.1</v>
      </c>
      <c r="CG119" s="71">
        <f>IFERROR(IF(AND(CE119&lt;&gt;"",CF119&lt;&gt;""),ABS(CE119-CF119)/ABS(CE119)*100,""),"")</f>
        <v/>
      </c>
      <c r="CH119" s="69" t="inlineStr">
        <is>
          <t>Claude</t>
        </is>
      </c>
      <c r="CI119" s="67" t="n">
        <v>0.2</v>
      </c>
      <c r="CJ119" s="67" t="n">
        <v>0.2</v>
      </c>
      <c r="CK119" s="71">
        <f>IFERROR(IF(AND(CI119&lt;&gt;"",CJ119&lt;&gt;""),ABS(CI119-CJ119)/ABS(CI119)*100,""),"")</f>
        <v/>
      </c>
      <c r="CL119" s="69" t="inlineStr">
        <is>
          <t>Claude</t>
        </is>
      </c>
      <c r="CM119" s="67" t="n"/>
      <c r="CN119" s="67" t="n"/>
      <c r="CO119" s="71">
        <f>IFERROR(IF(AND(CM119&lt;&gt;"",CN119&lt;&gt;""),ABS(CM119-CN119)/ABS(CM119)*100,""),"")</f>
        <v/>
      </c>
      <c r="CP119" s="69" t="inlineStr">
        <is>
          <t>ND</t>
        </is>
      </c>
      <c r="CQ119" s="67" t="n">
        <v>0</v>
      </c>
      <c r="CR119" s="67" t="n"/>
      <c r="CS119" s="71">
        <f>IFERROR(IF(AND(CQ119&lt;&gt;"",CR119&lt;&gt;""),ABS(CQ119-CR119)/ABS(CQ119)*100,""),"")</f>
        <v/>
      </c>
      <c r="CT119" s="69" t="inlineStr">
        <is>
          <t>Claude</t>
        </is>
      </c>
      <c r="CU119" s="67" t="n">
        <v>0</v>
      </c>
      <c r="CV119" s="67" t="n">
        <v>0</v>
      </c>
      <c r="CW119" s="71">
        <f>IFERROR(IF(AND(CU119&lt;&gt;"",CV119&lt;&gt;""),ABS(CU119-CV119)/ABS(CU119)*100,""),"")</f>
        <v/>
      </c>
      <c r="CX119" s="69" t="inlineStr">
        <is>
          <t>Claude</t>
        </is>
      </c>
      <c r="CY119" s="64" t="n">
        <v>3</v>
      </c>
      <c r="CZ119" s="64" t="n">
        <v>6</v>
      </c>
      <c r="DA119" s="71">
        <f>IFERROR(IF(AND(CY119&lt;&gt;"",CZ119&lt;&gt;""),ABS(CY119-CZ119)/ABS(CY119)*100,""),"")</f>
        <v/>
      </c>
      <c r="DB119" s="66" t="inlineStr">
        <is>
          <t>MANUAL FLAG</t>
        </is>
      </c>
      <c r="DC119" s="68" t="n"/>
      <c r="DD119" s="68" t="n"/>
      <c r="DE119" s="71">
        <f>IFERROR(IF(AND(DC119&lt;&gt;"",DD119&lt;&gt;""),ABS(DC119-DD119)/ABS(DC119)*100,""),"")</f>
        <v/>
      </c>
      <c r="DF119" s="69" t="inlineStr">
        <is>
          <t>ND</t>
        </is>
      </c>
      <c r="DG119" s="68" t="n">
        <v>59.8</v>
      </c>
      <c r="DH119" s="68" t="n">
        <v>59.8</v>
      </c>
      <c r="DI119" s="71">
        <f>IFERROR(IF(AND(DG119&lt;&gt;"",DH119&lt;&gt;""),ABS(DG119-DH119)/ABS(DG119)*100,""),"")</f>
        <v/>
      </c>
      <c r="DJ119" s="69" t="inlineStr">
        <is>
          <t>Claude</t>
        </is>
      </c>
      <c r="DK119" s="68" t="n"/>
      <c r="DL119" s="68" t="n"/>
      <c r="DM119" s="71">
        <f>IFERROR(IF(AND(DK119&lt;&gt;"",DL119&lt;&gt;""),ABS(DK119-DL119)/ABS(DK119)*100,""),"")</f>
        <v/>
      </c>
      <c r="DN119" s="69" t="inlineStr">
        <is>
          <t>ND</t>
        </is>
      </c>
      <c r="DO119" s="68" t="n"/>
      <c r="DP119" s="68" t="n"/>
      <c r="DQ119" s="71">
        <f>IFERROR(IF(AND(DO119&lt;&gt;"",DP119&lt;&gt;""),ABS(DO119-DP119)/ABS(DO119)*100,""),"")</f>
        <v/>
      </c>
      <c r="DR119" s="69" t="inlineStr">
        <is>
          <t>ND</t>
        </is>
      </c>
      <c r="DS119" s="68" t="inlineStr">
        <is>
          <t>A</t>
        </is>
      </c>
      <c r="DT119" s="68" t="n"/>
      <c r="DU119" s="71">
        <f>IFERROR(IF(AND(DS119&lt;&gt;"",DT119&lt;&gt;""),ABS(DS119-DT119)/ABS(DS119)*100,""),"")</f>
        <v/>
      </c>
      <c r="DV119" s="69" t="inlineStr">
        <is>
          <t>Claude</t>
        </is>
      </c>
      <c r="DW119" s="70" t="inlineStr">
        <is>
          <t>Claude only (DeepSeek pending). Source=2022 report, only report covering 2021 (2025 report shows na for 2021 on most indicators, though KCGS reaches back - see Ind.30 note). Ind.7/8: %Disabled=1.298 (51/3,931); %Foreign=0.076 (headcount 3, proxy). Ind.9=6.7 (same broader-tier definition). Ind.12=70,641,776 (base-pay-only weighted average, same methodology as 2019/2020, no earlier-edition comparison available for 2021 specifically). Ind.18=ND: gendered breakdown only (M=87%/F=96%), no blended figure this edition - recorded for reference (2021 report's 2018 had a single blended value of 92%, showing the structural format changed between editions). Ind.19=10.9 (Regular component; Non-regular=3.6 noted). Ind.21=0.2. Ind.23=0.00. Ind.24=0. Ind.25=3 (2021-specific itemized count, no cross-edition comparison available). Ind.27=59.8. **Ind.30='A' - this 2022 report gave this a confident 'Direct' status; the 2025 report later revisits this same year and DOWNGRADES it to 'Proxy - inferred' (same value, lower confidence) - see 2025 report's own note on Ind.30.** || DEEPSEEK RECONCILIATION - MANUAL FLAGS: Ind.12 (Annual Pay): Claude=70641776, DeepSeek=8884052659, Diff=12476.2%; Ind.14 (Training Budget/Employee): Claude=299669, DeepSeek=551000, Diff=83.9%; Ind.15 (Training Hours/Employee): Claude=36.8, DeepSeek=90, Diff=144.6%; Ind.25 (COVID Response): Claude=3, DeepSeek=6, Diff=100.0% || NOTE: Same Ind.12 scale error continues (~12,500% off) - confirms this is a systematic DeepSeek methodology issue across all 3 years in this batch, not an isolated mistake. Ind.14/15 also continue the ~2x pattern.</t>
        </is>
      </c>
    </row>
    <row r="120" ht="15.75" customHeight="1" s="43">
      <c r="A120" s="62" t="n"/>
      <c r="B120" s="62" t="n"/>
      <c r="C120" s="62" t="inlineStr">
        <is>
          <t>Industrials</t>
        </is>
      </c>
      <c r="D120" s="62" t="inlineStr">
        <is>
          <t>2022</t>
        </is>
      </c>
      <c r="E120" s="63" t="inlineStr">
        <is>
          <t>HANWHA_SYSTEMS_2025.pdf (only report covering 2022)</t>
        </is>
      </c>
      <c r="F120" s="62" t="n"/>
      <c r="G120" s="67" t="n">
        <v>5.6</v>
      </c>
      <c r="H120" s="67" t="n">
        <v>5.62</v>
      </c>
      <c r="I120" s="65">
        <f>IFERROR(IF(AND(G120&lt;&gt;"",H120&lt;&gt;""),ABS(G120-H120)/ABS(G120)*100,""),"")</f>
        <v/>
      </c>
      <c r="J120" s="62" t="inlineStr">
        <is>
          <t>Claude</t>
        </is>
      </c>
      <c r="K120" s="67" t="n">
        <v>14.34</v>
      </c>
      <c r="L120" s="67" t="n">
        <v>14.34</v>
      </c>
      <c r="M120" s="65">
        <f>IFERROR(IF(AND(K120&lt;&gt;"",L120&lt;&gt;""),ABS(K120-L120)/ABS(K120)*100,""),"")</f>
        <v/>
      </c>
      <c r="N120" s="62" t="inlineStr">
        <is>
          <t>Claude</t>
        </is>
      </c>
      <c r="O120" s="67" t="n">
        <v>18.26</v>
      </c>
      <c r="P120" s="67" t="n">
        <v>18.26</v>
      </c>
      <c r="Q120" s="65">
        <f>IFERROR(IF(AND(O120&lt;&gt;"",P120&lt;&gt;""),ABS(O120-P120)/ABS(O120)*100,""),"")</f>
        <v/>
      </c>
      <c r="R120" s="62" t="inlineStr">
        <is>
          <t>Claude</t>
        </is>
      </c>
      <c r="S120" s="64" t="n">
        <v>13.45</v>
      </c>
      <c r="T120" s="64" t="n">
        <v>15.54</v>
      </c>
      <c r="U120" s="65">
        <f>IFERROR(IF(AND(S120&lt;&gt;"",T120&lt;&gt;""),ABS(S120-T120)/ABS(S120)*100,""),"")</f>
        <v/>
      </c>
      <c r="V120" s="66" t="inlineStr">
        <is>
          <t>MANUAL FLAG</t>
        </is>
      </c>
      <c r="W120" s="67" t="n">
        <v>21.59</v>
      </c>
      <c r="X120" s="67" t="n">
        <v>21.59</v>
      </c>
      <c r="Y120" s="65">
        <f>IFERROR(IF(AND(W120&lt;&gt;"",X120&lt;&gt;""),ABS(W120-X120)/ABS(W120)*100,""),"")</f>
        <v/>
      </c>
      <c r="Z120" s="62" t="inlineStr">
        <is>
          <t>Claude</t>
        </is>
      </c>
      <c r="AA120" s="67" t="n">
        <v>19.94</v>
      </c>
      <c r="AB120" s="67" t="n">
        <v>19.94</v>
      </c>
      <c r="AC120" s="65">
        <f>IFERROR(IF(AND(AA120&lt;&gt;"",AB120&lt;&gt;""),ABS(AA120-AB120)/ABS(AA120)*100,""),"")</f>
        <v/>
      </c>
      <c r="AD120" s="62" t="inlineStr">
        <is>
          <t>Claude</t>
        </is>
      </c>
      <c r="AE120" s="67" t="n"/>
      <c r="AF120" s="67" t="n"/>
      <c r="AG120" s="65">
        <f>IFERROR(IF(AND(AE120&lt;&gt;"",AF120&lt;&gt;""),ABS(AE120-AF120)/ABS(AE120)*100,""),"")</f>
        <v/>
      </c>
      <c r="AH120" s="62" t="inlineStr">
        <is>
          <t>ND</t>
        </is>
      </c>
      <c r="AI120" s="67" t="n"/>
      <c r="AJ120" s="67" t="n"/>
      <c r="AK120" s="65">
        <f>IFERROR(IF(AND(AI120&lt;&gt;"",AJ120&lt;&gt;""),ABS(AI120-AJ120)/ABS(AI120)*100,""),"")</f>
        <v/>
      </c>
      <c r="AL120" s="62" t="inlineStr">
        <is>
          <t>ND</t>
        </is>
      </c>
      <c r="AM120" s="67" t="n">
        <v>17.45</v>
      </c>
      <c r="AN120" s="67" t="n">
        <v>17.45</v>
      </c>
      <c r="AO120" s="65">
        <f>IFERROR(IF(AND(AM120&lt;&gt;"",AN120&lt;&gt;""),ABS(AM120-AN120)/ABS(AM120)*100,""),"")</f>
        <v/>
      </c>
      <c r="AP120" s="62" t="inlineStr">
        <is>
          <t>Claude</t>
        </is>
      </c>
      <c r="AQ120" s="67" t="n">
        <v>0</v>
      </c>
      <c r="AR120" s="67" t="n">
        <v>0</v>
      </c>
      <c r="AS120" s="65">
        <f>IFERROR(IF(AND(AQ120&lt;&gt;"",AR120&lt;&gt;""),ABS(AQ120-AR120)/ABS(AQ120)*100,""),"")</f>
        <v/>
      </c>
      <c r="AT120" s="62" t="inlineStr">
        <is>
          <t>Claude</t>
        </is>
      </c>
      <c r="AU120" s="67" t="n">
        <v>11.1</v>
      </c>
      <c r="AV120" s="67" t="n">
        <v>11.1</v>
      </c>
      <c r="AW120" s="65">
        <f>IFERROR(IF(AND(AU120&lt;&gt;"",AV120&lt;&gt;""),ABS(AU120-AV120)/ABS(AU120)*100,""),"")</f>
        <v/>
      </c>
      <c r="AX120" s="62" t="inlineStr">
        <is>
          <t>Claude</t>
        </is>
      </c>
      <c r="AY120" s="67" t="n"/>
      <c r="AZ120" s="67" t="n">
        <v>73973000</v>
      </c>
      <c r="BA120" s="65">
        <f>IFERROR(IF(AND(AY120&lt;&gt;"",AZ120&lt;&gt;""),ABS(AY120-AZ120)/ABS(AY120)*100,""),"")</f>
        <v/>
      </c>
      <c r="BB120" s="62" t="inlineStr">
        <is>
          <t>DeepSeek</t>
        </is>
      </c>
      <c r="BC120" s="67" t="n">
        <v>16.75</v>
      </c>
      <c r="BD120" s="67" t="n">
        <v>16.75</v>
      </c>
      <c r="BE120" s="65">
        <f>IFERROR(IF(AND(BC120&lt;&gt;"",BD120&lt;&gt;""),ABS(BC120-BD120)/ABS(BC120)*100,""),"")</f>
        <v/>
      </c>
      <c r="BF120" s="62" t="inlineStr">
        <is>
          <t>Claude</t>
        </is>
      </c>
      <c r="BG120" s="67" t="n">
        <v>668220</v>
      </c>
      <c r="BH120" s="67" t="n">
        <v>700000</v>
      </c>
      <c r="BI120" s="65">
        <f>IFERROR(IF(AND(BG120&lt;&gt;"",BH120&lt;&gt;""),ABS(BG120-BH120)/ABS(BG120)*100,""),"")</f>
        <v/>
      </c>
      <c r="BJ120" s="62" t="inlineStr">
        <is>
          <t>Claude</t>
        </is>
      </c>
      <c r="BK120" s="67" t="n">
        <v>31.8</v>
      </c>
      <c r="BL120" s="67" t="n">
        <v>31.8</v>
      </c>
      <c r="BM120" s="65">
        <f>IFERROR(IF(AND(BK120&lt;&gt;"",BL120&lt;&gt;""),ABS(BK120-BL120)/ABS(BK120)*100,""),"")</f>
        <v/>
      </c>
      <c r="BN120" s="62" t="inlineStr">
        <is>
          <t>Claude</t>
        </is>
      </c>
      <c r="BO120" s="67" t="n">
        <v>39</v>
      </c>
      <c r="BP120" s="67" t="n">
        <v>39</v>
      </c>
      <c r="BQ120" s="65">
        <f>IFERROR(IF(AND(BO120&lt;&gt;"",BP120&lt;&gt;""),ABS(BO120-BP120)/ABS(BO120)*100,""),"")</f>
        <v/>
      </c>
      <c r="BR120" s="62" t="inlineStr">
        <is>
          <t>Claude</t>
        </is>
      </c>
      <c r="BS120" s="67" t="n">
        <v>40</v>
      </c>
      <c r="BT120" s="67" t="n">
        <v>40</v>
      </c>
      <c r="BU120" s="65">
        <f>IFERROR(IF(AND(BS120&lt;&gt;"",BT120&lt;&gt;""),ABS(BS120-BT120)/ABS(BS120)*100,""),"")</f>
        <v/>
      </c>
      <c r="BV120" s="62" t="inlineStr">
        <is>
          <t>Claude</t>
        </is>
      </c>
      <c r="BW120" s="67" t="n"/>
      <c r="BX120" s="67" t="n"/>
      <c r="BY120" s="65">
        <f>IFERROR(IF(AND(BW120&lt;&gt;"",BX120&lt;&gt;""),ABS(BW120-BX120)/ABS(BW120)*100,""),"")</f>
        <v/>
      </c>
      <c r="BZ120" s="62" t="inlineStr">
        <is>
          <t>ND</t>
        </is>
      </c>
      <c r="CA120" s="67" t="n">
        <v>9.800000000000001</v>
      </c>
      <c r="CB120" s="67" t="n">
        <v>9.800000000000001</v>
      </c>
      <c r="CC120" s="65">
        <f>IFERROR(IF(AND(CA120&lt;&gt;"",CB120&lt;&gt;""),ABS(CA120-CB120)/ABS(CA120)*100,""),"")</f>
        <v/>
      </c>
      <c r="CD120" s="62" t="inlineStr">
        <is>
          <t>Claude</t>
        </is>
      </c>
      <c r="CE120" s="67" t="n">
        <v>5.8</v>
      </c>
      <c r="CF120" s="67" t="n">
        <v>5.8</v>
      </c>
      <c r="CG120" s="65">
        <f>IFERROR(IF(AND(CE120&lt;&gt;"",CF120&lt;&gt;""),ABS(CE120-CF120)/ABS(CE120)*100,""),"")</f>
        <v/>
      </c>
      <c r="CH120" s="62" t="inlineStr">
        <is>
          <t>Claude</t>
        </is>
      </c>
      <c r="CI120" s="67" t="n">
        <v>1.9</v>
      </c>
      <c r="CJ120" s="67" t="n">
        <v>1.9</v>
      </c>
      <c r="CK120" s="65">
        <f>IFERROR(IF(AND(CI120&lt;&gt;"",CJ120&lt;&gt;""),ABS(CI120-CJ120)/ABS(CI120)*100,""),"")</f>
        <v/>
      </c>
      <c r="CL120" s="62" t="inlineStr">
        <is>
          <t>Claude</t>
        </is>
      </c>
      <c r="CM120" s="67" t="n"/>
      <c r="CN120" s="67" t="n"/>
      <c r="CO120" s="65">
        <f>IFERROR(IF(AND(CM120&lt;&gt;"",CN120&lt;&gt;""),ABS(CM120-CN120)/ABS(CM120)*100,""),"")</f>
        <v/>
      </c>
      <c r="CP120" s="62" t="inlineStr">
        <is>
          <t>ND</t>
        </is>
      </c>
      <c r="CQ120" s="67" t="n">
        <v>0</v>
      </c>
      <c r="CR120" s="67" t="n"/>
      <c r="CS120" s="65">
        <f>IFERROR(IF(AND(CQ120&lt;&gt;"",CR120&lt;&gt;""),ABS(CQ120-CR120)/ABS(CQ120)*100,""),"")</f>
        <v/>
      </c>
      <c r="CT120" s="62" t="inlineStr">
        <is>
          <t>Claude</t>
        </is>
      </c>
      <c r="CU120" s="67" t="n">
        <v>0</v>
      </c>
      <c r="CV120" s="67" t="n">
        <v>0</v>
      </c>
      <c r="CW120" s="65">
        <f>IFERROR(IF(AND(CU120&lt;&gt;"",CV120&lt;&gt;""),ABS(CU120-CV120)/ABS(CU120)*100,""),"")</f>
        <v/>
      </c>
      <c r="CX120" s="62" t="inlineStr">
        <is>
          <t>Claude</t>
        </is>
      </c>
      <c r="CY120" s="68" t="n"/>
      <c r="CZ120" s="68" t="n"/>
      <c r="DA120" s="65">
        <f>IFERROR(IF(AND(CY120&lt;&gt;"",CZ120&lt;&gt;""),ABS(CY120-CZ120)/ABS(CY120)*100,""),"")</f>
        <v/>
      </c>
      <c r="DB120" s="62" t="inlineStr">
        <is>
          <t>ND</t>
        </is>
      </c>
      <c r="DC120" s="68" t="n"/>
      <c r="DD120" s="68" t="n"/>
      <c r="DE120" s="65">
        <f>IFERROR(IF(AND(DC120&lt;&gt;"",DD120&lt;&gt;""),ABS(DC120-DD120)/ABS(DC120)*100,""),"")</f>
        <v/>
      </c>
      <c r="DF120" s="62" t="inlineStr">
        <is>
          <t>ND</t>
        </is>
      </c>
      <c r="DG120" s="68" t="n">
        <v>52.6</v>
      </c>
      <c r="DH120" s="68" t="n">
        <v>52.6</v>
      </c>
      <c r="DI120" s="65">
        <f>IFERROR(IF(AND(DG120&lt;&gt;"",DH120&lt;&gt;""),ABS(DG120-DH120)/ABS(DG120)*100,""),"")</f>
        <v/>
      </c>
      <c r="DJ120" s="62" t="inlineStr">
        <is>
          <t>Claude</t>
        </is>
      </c>
      <c r="DK120" s="68" t="n"/>
      <c r="DL120" s="68" t="n"/>
      <c r="DM120" s="65">
        <f>IFERROR(IF(AND(DK120&lt;&gt;"",DL120&lt;&gt;""),ABS(DK120-DL120)/ABS(DK120)*100,""),"")</f>
        <v/>
      </c>
      <c r="DN120" s="62" t="inlineStr">
        <is>
          <t>ND</t>
        </is>
      </c>
      <c r="DO120" s="68" t="n"/>
      <c r="DP120" s="68" t="n"/>
      <c r="DQ120" s="65">
        <f>IFERROR(IF(AND(DO120&lt;&gt;"",DP120&lt;&gt;""),ABS(DO120-DP120)/ABS(DO120)*100,""),"")</f>
        <v/>
      </c>
      <c r="DR120" s="62" t="inlineStr">
        <is>
          <t>ND</t>
        </is>
      </c>
      <c r="DS120" s="68" t="inlineStr">
        <is>
          <t>A</t>
        </is>
      </c>
      <c r="DT120" s="68" t="inlineStr">
        <is>
          <t>A</t>
        </is>
      </c>
      <c r="DU120" s="65">
        <f>IFERROR(IF(AND(DS120&lt;&gt;"",DT120&lt;&gt;""),ABS(DS120-DT120)/ABS(DS120)*100,""),"")</f>
        <v/>
      </c>
      <c r="DV120" s="62" t="inlineStr">
        <is>
          <t>Claude</t>
        </is>
      </c>
      <c r="DW120" s="63" t="inlineStr">
        <is>
          <t>Claude only (DeepSeek pending). Source=2025 report, only report covering 2022 (no overlap with 2022 report - clean transition for most indicators, though KCGS Ind.30 does revisit 2021, see note below). Ind.7/8=ND (%Disabled/%Foreign): headcount 57 disabled, 5 foreign - but this edition doesn't give an explicit total-workforce number in its notes, so % not computable despite being computable in the 2022 report - a methodological step back for these two indicators specifically. Ind.2/3/10/11 NOW COMPUTABLE for the first time (were ND/na in 2022 report) - genuine improvements in this edition's extraction rigor. **Ind.9=17.45 - a THIRD different definition for this indicator (see 2018/2019 notes): this edition explicitly isolates 'Mid-level managers (assistant managers, managers)' and deliberately does NOT use the report's own broader 'Percentage of women managers' metric - the most rigorous methodology of the three editions, but still not comparable to either earlier approach.** **Ind.12=na: RETRACTS the 2022 report's calculated 62-70M KRW figures entirely - this edition found only gender-split base salaries with no ungendered company-wide figure, even more cautious than the 2022 report's assumption-dependent weighted average. Ind.12 has NO usable data anywhere in this company's 3-edition history without an unconfirmed assumption.** Ind.18=na: RETRACTS the 2022 report's gendered breakdowns entirely - only retention headcount/utilization rate exist, neither substitutable. Ind.19=9.8, single value, notable DROP from 2021's 10.9 (Regular scope). Ind.20/21: source flags 'Correcting data due to changes in calculation basis' - methodology note, not necessarily an error vs earlier years. Ind.25=na (no COVID content at all in this 2025 edition - genuine topic absence, consistent retraction pattern). **Ind.30='A', PROXY: this edition, working from a 'fourth consecutive year' narrative claim anchored to the CONFIRMED 2024 grade, backward-infers 2021-2023 as also 'A' - lower confidence than the 2022 report's confident Direct assertion for 2021, but same value.** || DEEPSEEK RECONCILIATION - MANUAL FLAGS: Ind.4 (New Hire Rate): Claude=13.45, DeepSeek=15.54, Diff=15.5%</t>
        </is>
      </c>
    </row>
    <row r="121" ht="15.75" customHeight="1" s="43">
      <c r="A121" s="69" t="n"/>
      <c r="B121" s="69" t="n"/>
      <c r="C121" s="69" t="inlineStr">
        <is>
          <t>Industrials</t>
        </is>
      </c>
      <c r="D121" s="69" t="inlineStr">
        <is>
          <t>2023</t>
        </is>
      </c>
      <c r="E121" s="70" t="inlineStr">
        <is>
          <t>HANWHA_SYSTEMS_2025.pdf</t>
        </is>
      </c>
      <c r="F121" s="69" t="n"/>
      <c r="G121" s="64" t="n">
        <v>5.8</v>
      </c>
      <c r="H121" s="64" t="n">
        <v>5.1</v>
      </c>
      <c r="I121" s="71">
        <f>IFERROR(IF(AND(G121&lt;&gt;"",H121&lt;&gt;""),ABS(G121-H121)/ABS(G121)*100,""),"")</f>
        <v/>
      </c>
      <c r="J121" s="66" t="inlineStr">
        <is>
          <t>MANUAL FLAG</t>
        </is>
      </c>
      <c r="K121" s="67" t="n">
        <v>14.97</v>
      </c>
      <c r="L121" s="67" t="n">
        <v>15.15</v>
      </c>
      <c r="M121" s="71">
        <f>IFERROR(IF(AND(K121&lt;&gt;"",L121&lt;&gt;""),ABS(K121-L121)/ABS(K121)*100,""),"")</f>
        <v/>
      </c>
      <c r="N121" s="69" t="inlineStr">
        <is>
          <t>Claude</t>
        </is>
      </c>
      <c r="O121" s="64" t="n">
        <v>20.96</v>
      </c>
      <c r="P121" s="64" t="n">
        <v>18.26</v>
      </c>
      <c r="Q121" s="71">
        <f>IFERROR(IF(AND(O121&lt;&gt;"",P121&lt;&gt;""),ABS(O121-P121)/ABS(O121)*100,""),"")</f>
        <v/>
      </c>
      <c r="R121" s="66" t="inlineStr">
        <is>
          <t>MANUAL FLAG</t>
        </is>
      </c>
      <c r="S121" s="64" t="n">
        <v>14.38</v>
      </c>
      <c r="T121" s="64" t="n">
        <v>16.79</v>
      </c>
      <c r="U121" s="71">
        <f>IFERROR(IF(AND(S121&lt;&gt;"",T121&lt;&gt;""),ABS(S121-T121)/ABS(S121)*100,""),"")</f>
        <v/>
      </c>
      <c r="V121" s="66" t="inlineStr">
        <is>
          <t>MANUAL FLAG</t>
        </is>
      </c>
      <c r="W121" s="67" t="n">
        <v>19.4</v>
      </c>
      <c r="X121" s="67" t="n">
        <v>19.4</v>
      </c>
      <c r="Y121" s="71">
        <f>IFERROR(IF(AND(W121&lt;&gt;"",X121&lt;&gt;""),ABS(W121-X121)/ABS(W121)*100,""),"")</f>
        <v/>
      </c>
      <c r="Z121" s="69" t="inlineStr">
        <is>
          <t>Claude</t>
        </is>
      </c>
      <c r="AA121" s="67" t="n">
        <v>21.41</v>
      </c>
      <c r="AB121" s="67" t="n">
        <v>21.41</v>
      </c>
      <c r="AC121" s="71">
        <f>IFERROR(IF(AND(AA121&lt;&gt;"",AB121&lt;&gt;""),ABS(AA121-AB121)/ABS(AA121)*100,""),"")</f>
        <v/>
      </c>
      <c r="AD121" s="69" t="inlineStr">
        <is>
          <t>Claude</t>
        </is>
      </c>
      <c r="AE121" s="67" t="n"/>
      <c r="AF121" s="67" t="n"/>
      <c r="AG121" s="71">
        <f>IFERROR(IF(AND(AE121&lt;&gt;"",AF121&lt;&gt;""),ABS(AE121-AF121)/ABS(AE121)*100,""),"")</f>
        <v/>
      </c>
      <c r="AH121" s="69" t="inlineStr">
        <is>
          <t>ND</t>
        </is>
      </c>
      <c r="AI121" s="67" t="n"/>
      <c r="AJ121" s="67" t="n"/>
      <c r="AK121" s="71">
        <f>IFERROR(IF(AND(AI121&lt;&gt;"",AJ121&lt;&gt;""),ABS(AI121-AJ121)/ABS(AI121)*100,""),"")</f>
        <v/>
      </c>
      <c r="AL121" s="69" t="inlineStr">
        <is>
          <t>ND</t>
        </is>
      </c>
      <c r="AM121" s="67" t="n">
        <v>18.62</v>
      </c>
      <c r="AN121" s="67" t="n">
        <v>18.62</v>
      </c>
      <c r="AO121" s="71">
        <f>IFERROR(IF(AND(AM121&lt;&gt;"",AN121&lt;&gt;""),ABS(AM121-AN121)/ABS(AM121)*100,""),"")</f>
        <v/>
      </c>
      <c r="AP121" s="69" t="inlineStr">
        <is>
          <t>Claude</t>
        </is>
      </c>
      <c r="AQ121" s="67" t="n">
        <v>0</v>
      </c>
      <c r="AR121" s="67" t="n">
        <v>0</v>
      </c>
      <c r="AS121" s="71">
        <f>IFERROR(IF(AND(AQ121&lt;&gt;"",AR121&lt;&gt;""),ABS(AQ121-AR121)/ABS(AQ121)*100,""),"")</f>
        <v/>
      </c>
      <c r="AT121" s="69" t="inlineStr">
        <is>
          <t>Claude</t>
        </is>
      </c>
      <c r="AU121" s="67" t="n">
        <v>20</v>
      </c>
      <c r="AV121" s="67" t="n">
        <v>20</v>
      </c>
      <c r="AW121" s="71">
        <f>IFERROR(IF(AND(AU121&lt;&gt;"",AV121&lt;&gt;""),ABS(AU121-AV121)/ABS(AU121)*100,""),"")</f>
        <v/>
      </c>
      <c r="AX121" s="69" t="inlineStr">
        <is>
          <t>Claude</t>
        </is>
      </c>
      <c r="AY121" s="67" t="n"/>
      <c r="AZ121" s="67" t="n">
        <v>76316000</v>
      </c>
      <c r="BA121" s="71">
        <f>IFERROR(IF(AND(AY121&lt;&gt;"",AZ121&lt;&gt;""),ABS(AY121-AZ121)/ABS(AY121)*100,""),"")</f>
        <v/>
      </c>
      <c r="BB121" s="69" t="inlineStr">
        <is>
          <t>DeepSeek</t>
        </is>
      </c>
      <c r="BC121" s="67" t="n">
        <v>15.92</v>
      </c>
      <c r="BD121" s="67" t="n">
        <v>15.92</v>
      </c>
      <c r="BE121" s="71">
        <f>IFERROR(IF(AND(BC121&lt;&gt;"",BD121&lt;&gt;""),ABS(BC121-BD121)/ABS(BC121)*100,""),"")</f>
        <v/>
      </c>
      <c r="BF121" s="69" t="inlineStr">
        <is>
          <t>Claude</t>
        </is>
      </c>
      <c r="BG121" s="67" t="n">
        <v>491647</v>
      </c>
      <c r="BH121" s="67" t="n">
        <v>500000</v>
      </c>
      <c r="BI121" s="71">
        <f>IFERROR(IF(AND(BG121&lt;&gt;"",BH121&lt;&gt;""),ABS(BG121-BH121)/ABS(BG121)*100,""),"")</f>
        <v/>
      </c>
      <c r="BJ121" s="69" t="inlineStr">
        <is>
          <t>Claude</t>
        </is>
      </c>
      <c r="BK121" s="67" t="n">
        <v>28.44</v>
      </c>
      <c r="BL121" s="67" t="n">
        <v>28.3</v>
      </c>
      <c r="BM121" s="71">
        <f>IFERROR(IF(AND(BK121&lt;&gt;"",BL121&lt;&gt;""),ABS(BK121-BL121)/ABS(BK121)*100,""),"")</f>
        <v/>
      </c>
      <c r="BN121" s="69" t="inlineStr">
        <is>
          <t>Claude</t>
        </is>
      </c>
      <c r="BO121" s="67" t="n">
        <v>39</v>
      </c>
      <c r="BP121" s="67" t="n">
        <v>39</v>
      </c>
      <c r="BQ121" s="71">
        <f>IFERROR(IF(AND(BO121&lt;&gt;"",BP121&lt;&gt;""),ABS(BO121-BP121)/ABS(BO121)*100,""),"")</f>
        <v/>
      </c>
      <c r="BR121" s="69" t="inlineStr">
        <is>
          <t>Claude</t>
        </is>
      </c>
      <c r="BS121" s="67" t="n">
        <v>49</v>
      </c>
      <c r="BT121" s="67" t="n">
        <v>49</v>
      </c>
      <c r="BU121" s="71">
        <f>IFERROR(IF(AND(BS121&lt;&gt;"",BT121&lt;&gt;""),ABS(BS121-BT121)/ABS(BS121)*100,""),"")</f>
        <v/>
      </c>
      <c r="BV121" s="69" t="inlineStr">
        <is>
          <t>Claude</t>
        </is>
      </c>
      <c r="BW121" s="67" t="n"/>
      <c r="BX121" s="67" t="n"/>
      <c r="BY121" s="71">
        <f>IFERROR(IF(AND(BW121&lt;&gt;"",BX121&lt;&gt;""),ABS(BW121-BX121)/ABS(BW121)*100,""),"")</f>
        <v/>
      </c>
      <c r="BZ121" s="69" t="inlineStr">
        <is>
          <t>ND</t>
        </is>
      </c>
      <c r="CA121" s="67" t="n">
        <v>10.3</v>
      </c>
      <c r="CB121" s="67" t="n">
        <v>10.3</v>
      </c>
      <c r="CC121" s="71">
        <f>IFERROR(IF(AND(CA121&lt;&gt;"",CB121&lt;&gt;""),ABS(CA121-CB121)/ABS(CA121)*100,""),"")</f>
        <v/>
      </c>
      <c r="CD121" s="69" t="inlineStr">
        <is>
          <t>Claude</t>
        </is>
      </c>
      <c r="CE121" s="67" t="n">
        <v>4.7</v>
      </c>
      <c r="CF121" s="67" t="n">
        <v>4.7</v>
      </c>
      <c r="CG121" s="71">
        <f>IFERROR(IF(AND(CE121&lt;&gt;"",CF121&lt;&gt;""),ABS(CE121-CF121)/ABS(CE121)*100,""),"")</f>
        <v/>
      </c>
      <c r="CH121" s="69" t="inlineStr">
        <is>
          <t>Claude</t>
        </is>
      </c>
      <c r="CI121" s="67" t="n">
        <v>4.1</v>
      </c>
      <c r="CJ121" s="67" t="n">
        <v>4.1</v>
      </c>
      <c r="CK121" s="71">
        <f>IFERROR(IF(AND(CI121&lt;&gt;"",CJ121&lt;&gt;""),ABS(CI121-CJ121)/ABS(CI121)*100,""),"")</f>
        <v/>
      </c>
      <c r="CL121" s="69" t="inlineStr">
        <is>
          <t>Claude</t>
        </is>
      </c>
      <c r="CM121" s="67" t="n"/>
      <c r="CN121" s="67" t="n"/>
      <c r="CO121" s="71">
        <f>IFERROR(IF(AND(CM121&lt;&gt;"",CN121&lt;&gt;""),ABS(CM121-CN121)/ABS(CM121)*100,""),"")</f>
        <v/>
      </c>
      <c r="CP121" s="69" t="inlineStr">
        <is>
          <t>ND</t>
        </is>
      </c>
      <c r="CQ121" s="67" t="n">
        <v>0</v>
      </c>
      <c r="CR121" s="67" t="n"/>
      <c r="CS121" s="71">
        <f>IFERROR(IF(AND(CQ121&lt;&gt;"",CR121&lt;&gt;""),ABS(CQ121-CR121)/ABS(CQ121)*100,""),"")</f>
        <v/>
      </c>
      <c r="CT121" s="69" t="inlineStr">
        <is>
          <t>Claude</t>
        </is>
      </c>
      <c r="CU121" s="67" t="n">
        <v>0</v>
      </c>
      <c r="CV121" s="67" t="n">
        <v>0</v>
      </c>
      <c r="CW121" s="71">
        <f>IFERROR(IF(AND(CU121&lt;&gt;"",CV121&lt;&gt;""),ABS(CU121-CV121)/ABS(CU121)*100,""),"")</f>
        <v/>
      </c>
      <c r="CX121" s="69" t="inlineStr">
        <is>
          <t>Claude</t>
        </is>
      </c>
      <c r="CY121" s="68" t="n"/>
      <c r="CZ121" s="68" t="n"/>
      <c r="DA121" s="71">
        <f>IFERROR(IF(AND(CY121&lt;&gt;"",CZ121&lt;&gt;""),ABS(CY121-CZ121)/ABS(CY121)*100,""),"")</f>
        <v/>
      </c>
      <c r="DB121" s="69" t="inlineStr">
        <is>
          <t>ND</t>
        </is>
      </c>
      <c r="DC121" s="68" t="n"/>
      <c r="DD121" s="68" t="n"/>
      <c r="DE121" s="71">
        <f>IFERROR(IF(AND(DC121&lt;&gt;"",DD121&lt;&gt;""),ABS(DC121-DD121)/ABS(DC121)*100,""),"")</f>
        <v/>
      </c>
      <c r="DF121" s="69" t="inlineStr">
        <is>
          <t>ND</t>
        </is>
      </c>
      <c r="DG121" s="68" t="n">
        <v>58.7</v>
      </c>
      <c r="DH121" s="68" t="n">
        <v>58.7</v>
      </c>
      <c r="DI121" s="71">
        <f>IFERROR(IF(AND(DG121&lt;&gt;"",DH121&lt;&gt;""),ABS(DG121-DH121)/ABS(DG121)*100,""),"")</f>
        <v/>
      </c>
      <c r="DJ121" s="69" t="inlineStr">
        <is>
          <t>Claude</t>
        </is>
      </c>
      <c r="DK121" s="68" t="n"/>
      <c r="DL121" s="68" t="n"/>
      <c r="DM121" s="71">
        <f>IFERROR(IF(AND(DK121&lt;&gt;"",DL121&lt;&gt;""),ABS(DK121-DL121)/ABS(DK121)*100,""),"")</f>
        <v/>
      </c>
      <c r="DN121" s="69" t="inlineStr">
        <is>
          <t>ND</t>
        </is>
      </c>
      <c r="DO121" s="68" t="n"/>
      <c r="DP121" s="68" t="n"/>
      <c r="DQ121" s="71">
        <f>IFERROR(IF(AND(DO121&lt;&gt;"",DP121&lt;&gt;""),ABS(DO121-DP121)/ABS(DO121)*100,""),"")</f>
        <v/>
      </c>
      <c r="DR121" s="69" t="inlineStr">
        <is>
          <t>ND</t>
        </is>
      </c>
      <c r="DS121" s="68" t="inlineStr">
        <is>
          <t>A</t>
        </is>
      </c>
      <c r="DT121" s="68" t="inlineStr">
        <is>
          <t>A</t>
        </is>
      </c>
      <c r="DU121" s="71">
        <f>IFERROR(IF(AND(DS121&lt;&gt;"",DT121&lt;&gt;""),ABS(DS121-DT121)/ABS(DS121)*100,""),"")</f>
        <v/>
      </c>
      <c r="DV121" s="69" t="inlineStr">
        <is>
          <t>Claude</t>
        </is>
      </c>
      <c r="DW121" s="70" t="inlineStr">
        <is>
          <t>Claude only (DeepSeek pending). Source=2025 report. Ind.7/8=ND (headcount 76 disabled, 9 foreign, no total workforce given). Ind.9=18.62 (same rigorous 'mid-level managers' tier). Ind.23=0, source notes an UNRECONCILED anomaly: 146 lost workdays disclosed despite LTIFR/LITR showing 0 - a genuine internal inconsistency in the source, not an extraction error. Ind.30='A', PROXY (same backward-inference basis as 2022). || DEEPSEEK RECONCILIATION - MANUAL FLAGS: Ind.1 (Contract Workers%): Claude=5.8, DeepSeek=5.1, Diff=12.1%; Ind.3 (Female Contract%): Claude=20.96, DeepSeek=18.26, Diff=12.9%; Ind.4 (New Hire Rate): Claude=14.38, DeepSeek=16.79, Diff=16.8%</t>
        </is>
      </c>
    </row>
    <row r="122" ht="15.75" customHeight="1" s="43">
      <c r="A122" s="62" t="n"/>
      <c r="B122" s="62" t="n"/>
      <c r="C122" s="62" t="inlineStr">
        <is>
          <t>Industrials</t>
        </is>
      </c>
      <c r="D122" s="62" t="inlineStr">
        <is>
          <t>2024</t>
        </is>
      </c>
      <c r="E122" s="63" t="inlineStr">
        <is>
          <t>HANWHA_SYSTEMS_2025.pdf</t>
        </is>
      </c>
      <c r="F122" s="62" t="n"/>
      <c r="G122" s="64" t="n">
        <v>4.3</v>
      </c>
      <c r="H122" s="64" t="n">
        <v>5.73</v>
      </c>
      <c r="I122" s="65">
        <f>IFERROR(IF(AND(G122&lt;&gt;"",H122&lt;&gt;""),ABS(G122-H122)/ABS(G122)*100,""),"")</f>
        <v/>
      </c>
      <c r="J122" s="66" t="inlineStr">
        <is>
          <t>MANUAL FLAG</t>
        </is>
      </c>
      <c r="K122" s="67" t="n">
        <v>15.29</v>
      </c>
      <c r="L122" s="67" t="n">
        <v>15.16</v>
      </c>
      <c r="M122" s="65">
        <f>IFERROR(IF(AND(K122&lt;&gt;"",L122&lt;&gt;""),ABS(K122-L122)/ABS(K122)*100,""),"")</f>
        <v/>
      </c>
      <c r="N122" s="62" t="inlineStr">
        <is>
          <t>Claude</t>
        </is>
      </c>
      <c r="O122" s="64" t="n">
        <v>19.9</v>
      </c>
      <c r="P122" s="64" t="n">
        <v>20.96</v>
      </c>
      <c r="Q122" s="65">
        <f>IFERROR(IF(AND(O122&lt;&gt;"",P122&lt;&gt;""),ABS(O122-P122)/ABS(O122)*100,""),"")</f>
        <v/>
      </c>
      <c r="R122" s="66" t="inlineStr">
        <is>
          <t>MANUAL FLAG</t>
        </is>
      </c>
      <c r="S122" s="64" t="n">
        <v>7.06</v>
      </c>
      <c r="T122" s="64" t="n">
        <v>7.6</v>
      </c>
      <c r="U122" s="65">
        <f>IFERROR(IF(AND(S122&lt;&gt;"",T122&lt;&gt;""),ABS(S122-T122)/ABS(S122)*100,""),"")</f>
        <v/>
      </c>
      <c r="V122" s="66" t="inlineStr">
        <is>
          <t>MANUAL FLAG</t>
        </is>
      </c>
      <c r="W122" s="67" t="n">
        <v>33.24</v>
      </c>
      <c r="X122" s="67" t="n">
        <v>33.24</v>
      </c>
      <c r="Y122" s="65">
        <f>IFERROR(IF(AND(W122&lt;&gt;"",X122&lt;&gt;""),ABS(W122-X122)/ABS(W122)*100,""),"")</f>
        <v/>
      </c>
      <c r="Z122" s="62" t="inlineStr">
        <is>
          <t>Claude</t>
        </is>
      </c>
      <c r="AA122" s="67" t="n">
        <v>22.71</v>
      </c>
      <c r="AB122" s="67" t="n">
        <v>22.71</v>
      </c>
      <c r="AC122" s="65">
        <f>IFERROR(IF(AND(AA122&lt;&gt;"",AB122&lt;&gt;""),ABS(AA122-AB122)/ABS(AA122)*100,""),"")</f>
        <v/>
      </c>
      <c r="AD122" s="62" t="inlineStr">
        <is>
          <t>Claude</t>
        </is>
      </c>
      <c r="AE122" s="67" t="n"/>
      <c r="AF122" s="67" t="n"/>
      <c r="AG122" s="65">
        <f>IFERROR(IF(AND(AE122&lt;&gt;"",AF122&lt;&gt;""),ABS(AE122-AF122)/ABS(AE122)*100,""),"")</f>
        <v/>
      </c>
      <c r="AH122" s="62" t="inlineStr">
        <is>
          <t>ND</t>
        </is>
      </c>
      <c r="AI122" s="67" t="n"/>
      <c r="AJ122" s="67" t="n"/>
      <c r="AK122" s="65">
        <f>IFERROR(IF(AND(AI122&lt;&gt;"",AJ122&lt;&gt;""),ABS(AI122-AJ122)/ABS(AI122)*100,""),"")</f>
        <v/>
      </c>
      <c r="AL122" s="62" t="inlineStr">
        <is>
          <t>ND</t>
        </is>
      </c>
      <c r="AM122" s="67" t="n">
        <v>18.97</v>
      </c>
      <c r="AN122" s="67" t="n">
        <v>18.97</v>
      </c>
      <c r="AO122" s="65">
        <f>IFERROR(IF(AND(AM122&lt;&gt;"",AN122&lt;&gt;""),ABS(AM122-AN122)/ABS(AM122)*100,""),"")</f>
        <v/>
      </c>
      <c r="AP122" s="62" t="inlineStr">
        <is>
          <t>Claude</t>
        </is>
      </c>
      <c r="AQ122" s="67" t="n">
        <v>1.89</v>
      </c>
      <c r="AR122" s="67" t="n">
        <v>1.89</v>
      </c>
      <c r="AS122" s="65">
        <f>IFERROR(IF(AND(AQ122&lt;&gt;"",AR122&lt;&gt;""),ABS(AQ122-AR122)/ABS(AQ122)*100,""),"")</f>
        <v/>
      </c>
      <c r="AT122" s="62" t="inlineStr">
        <is>
          <t>Claude</t>
        </is>
      </c>
      <c r="AU122" s="67" t="n">
        <v>20</v>
      </c>
      <c r="AV122" s="67" t="n">
        <v>20</v>
      </c>
      <c r="AW122" s="65">
        <f>IFERROR(IF(AND(AU122&lt;&gt;"",AV122&lt;&gt;""),ABS(AU122-AV122)/ABS(AU122)*100,""),"")</f>
        <v/>
      </c>
      <c r="AX122" s="62" t="inlineStr">
        <is>
          <t>Claude</t>
        </is>
      </c>
      <c r="AY122" s="67" t="n"/>
      <c r="AZ122" s="67" t="n">
        <v>79296000</v>
      </c>
      <c r="BA122" s="65">
        <f>IFERROR(IF(AND(AY122&lt;&gt;"",AZ122&lt;&gt;""),ABS(AY122-AZ122)/ABS(AY122)*100,""),"")</f>
        <v/>
      </c>
      <c r="BB122" s="62" t="inlineStr">
        <is>
          <t>DeepSeek</t>
        </is>
      </c>
      <c r="BC122" s="67" t="n">
        <v>16.53</v>
      </c>
      <c r="BD122" s="67" t="n">
        <v>16.53</v>
      </c>
      <c r="BE122" s="65">
        <f>IFERROR(IF(AND(BC122&lt;&gt;"",BD122&lt;&gt;""),ABS(BC122-BD122)/ABS(BC122)*100,""),"")</f>
        <v/>
      </c>
      <c r="BF122" s="62" t="inlineStr">
        <is>
          <t>Claude</t>
        </is>
      </c>
      <c r="BG122" s="67" t="n">
        <v>503473</v>
      </c>
      <c r="BH122" s="67" t="n"/>
      <c r="BI122" s="65">
        <f>IFERROR(IF(AND(BG122&lt;&gt;"",BH122&lt;&gt;""),ABS(BG122-BH122)/ABS(BG122)*100,""),"")</f>
        <v/>
      </c>
      <c r="BJ122" s="62" t="inlineStr">
        <is>
          <t>Claude</t>
        </is>
      </c>
      <c r="BK122" s="67" t="n">
        <v>29.23</v>
      </c>
      <c r="BL122" s="67" t="n"/>
      <c r="BM122" s="65">
        <f>IFERROR(IF(AND(BK122&lt;&gt;"",BL122&lt;&gt;""),ABS(BK122-BL122)/ABS(BK122)*100,""),"")</f>
        <v/>
      </c>
      <c r="BN122" s="62" t="inlineStr">
        <is>
          <t>Claude</t>
        </is>
      </c>
      <c r="BO122" s="64" t="n">
        <v>48</v>
      </c>
      <c r="BP122" s="64" t="n">
        <v>39</v>
      </c>
      <c r="BQ122" s="65">
        <f>IFERROR(IF(AND(BO122&lt;&gt;"",BP122&lt;&gt;""),ABS(BO122-BP122)/ABS(BO122)*100,""),"")</f>
        <v/>
      </c>
      <c r="BR122" s="66" t="inlineStr">
        <is>
          <t>MANUAL FLAG</t>
        </is>
      </c>
      <c r="BS122" s="67" t="n">
        <v>47</v>
      </c>
      <c r="BT122" s="67" t="n">
        <v>49</v>
      </c>
      <c r="BU122" s="65">
        <f>IFERROR(IF(AND(BS122&lt;&gt;"",BT122&lt;&gt;""),ABS(BS122-BT122)/ABS(BS122)*100,""),"")</f>
        <v/>
      </c>
      <c r="BV122" s="62" t="inlineStr">
        <is>
          <t>Claude</t>
        </is>
      </c>
      <c r="BW122" s="67" t="n"/>
      <c r="BX122" s="67" t="n"/>
      <c r="BY122" s="65">
        <f>IFERROR(IF(AND(BW122&lt;&gt;"",BX122&lt;&gt;""),ABS(BW122-BX122)/ABS(BW122)*100,""),"")</f>
        <v/>
      </c>
      <c r="BZ122" s="62" t="inlineStr">
        <is>
          <t>ND</t>
        </is>
      </c>
      <c r="CA122" s="67" t="n">
        <v>10.2</v>
      </c>
      <c r="CB122" s="67" t="n"/>
      <c r="CC122" s="65">
        <f>IFERROR(IF(AND(CA122&lt;&gt;"",CB122&lt;&gt;""),ABS(CA122-CB122)/ABS(CA122)*100,""),"")</f>
        <v/>
      </c>
      <c r="CD122" s="62" t="inlineStr">
        <is>
          <t>Claude</t>
        </is>
      </c>
      <c r="CE122" s="67" t="n">
        <v>2.6</v>
      </c>
      <c r="CF122" s="67" t="n"/>
      <c r="CG122" s="65">
        <f>IFERROR(IF(AND(CE122&lt;&gt;"",CF122&lt;&gt;""),ABS(CE122-CF122)/ABS(CE122)*100,""),"")</f>
        <v/>
      </c>
      <c r="CH122" s="62" t="inlineStr">
        <is>
          <t>Claude</t>
        </is>
      </c>
      <c r="CI122" s="64" t="n">
        <v>6.2</v>
      </c>
      <c r="CJ122" s="64" t="n">
        <v>4.1</v>
      </c>
      <c r="CK122" s="65">
        <f>IFERROR(IF(AND(CI122&lt;&gt;"",CJ122&lt;&gt;""),ABS(CI122-CJ122)/ABS(CI122)*100,""),"")</f>
        <v/>
      </c>
      <c r="CL122" s="66" t="inlineStr">
        <is>
          <t>MANUAL FLAG</t>
        </is>
      </c>
      <c r="CM122" s="67" t="n"/>
      <c r="CN122" s="67" t="n"/>
      <c r="CO122" s="65">
        <f>IFERROR(IF(AND(CM122&lt;&gt;"",CN122&lt;&gt;""),ABS(CM122-CN122)/ABS(CM122)*100,""),"")</f>
        <v/>
      </c>
      <c r="CP122" s="62" t="inlineStr">
        <is>
          <t>ND</t>
        </is>
      </c>
      <c r="CQ122" s="67" t="n">
        <v>0.11</v>
      </c>
      <c r="CR122" s="67" t="n"/>
      <c r="CS122" s="65">
        <f>IFERROR(IF(AND(CQ122&lt;&gt;"",CR122&lt;&gt;""),ABS(CQ122-CR122)/ABS(CQ122)*100,""),"")</f>
        <v/>
      </c>
      <c r="CT122" s="62" t="inlineStr">
        <is>
          <t>Claude</t>
        </is>
      </c>
      <c r="CU122" s="67" t="n">
        <v>0</v>
      </c>
      <c r="CV122" s="67" t="n">
        <v>0</v>
      </c>
      <c r="CW122" s="65">
        <f>IFERROR(IF(AND(CU122&lt;&gt;"",CV122&lt;&gt;""),ABS(CU122-CV122)/ABS(CU122)*100,""),"")</f>
        <v/>
      </c>
      <c r="CX122" s="62" t="inlineStr">
        <is>
          <t>Claude</t>
        </is>
      </c>
      <c r="CY122" s="68" t="n"/>
      <c r="CZ122" s="68" t="n"/>
      <c r="DA122" s="65">
        <f>IFERROR(IF(AND(CY122&lt;&gt;"",CZ122&lt;&gt;""),ABS(CY122-CZ122)/ABS(CY122)*100,""),"")</f>
        <v/>
      </c>
      <c r="DB122" s="62" t="inlineStr">
        <is>
          <t>ND</t>
        </is>
      </c>
      <c r="DC122" s="68" t="n"/>
      <c r="DD122" s="68" t="n"/>
      <c r="DE122" s="65">
        <f>IFERROR(IF(AND(DC122&lt;&gt;"",DD122&lt;&gt;""),ABS(DC122-DD122)/ABS(DC122)*100,""),"")</f>
        <v/>
      </c>
      <c r="DF122" s="62" t="inlineStr">
        <is>
          <t>ND</t>
        </is>
      </c>
      <c r="DG122" s="68" t="n"/>
      <c r="DH122" s="68" t="n">
        <v>62.21</v>
      </c>
      <c r="DI122" s="65">
        <f>IFERROR(IF(AND(DG122&lt;&gt;"",DH122&lt;&gt;""),ABS(DG122-DH122)/ABS(DG122)*100,""),"")</f>
        <v/>
      </c>
      <c r="DJ122" s="62" t="inlineStr">
        <is>
          <t>DeepSeek</t>
        </is>
      </c>
      <c r="DK122" s="68" t="n"/>
      <c r="DL122" s="68" t="n"/>
      <c r="DM122" s="65">
        <f>IFERROR(IF(AND(DK122&lt;&gt;"",DL122&lt;&gt;""),ABS(DK122-DL122)/ABS(DK122)*100,""),"")</f>
        <v/>
      </c>
      <c r="DN122" s="62" t="inlineStr">
        <is>
          <t>ND</t>
        </is>
      </c>
      <c r="DO122" s="68" t="n"/>
      <c r="DP122" s="68" t="n"/>
      <c r="DQ122" s="65">
        <f>IFERROR(IF(AND(DO122&lt;&gt;"",DP122&lt;&gt;""),ABS(DO122-DP122)/ABS(DO122)*100,""),"")</f>
        <v/>
      </c>
      <c r="DR122" s="62" t="inlineStr">
        <is>
          <t>ND</t>
        </is>
      </c>
      <c r="DS122" s="68" t="inlineStr">
        <is>
          <t>A</t>
        </is>
      </c>
      <c r="DT122" s="68" t="inlineStr">
        <is>
          <t>A</t>
        </is>
      </c>
      <c r="DU122" s="65">
        <f>IFERROR(IF(AND(DS122&lt;&gt;"",DT122&lt;&gt;""),ABS(DS122-DT122)/ABS(DS122)*100,""),"")</f>
        <v/>
      </c>
      <c r="DV122" s="62" t="inlineStr">
        <is>
          <t>Claude</t>
        </is>
      </c>
      <c r="DW122" s="63" t="inlineStr">
        <is>
          <t>Claude only (DeepSeek pending). Source=2025 report. Ind.7/8=ND (headcount 69 disabled, 6 foreign, no total workforce given). Ind.9=18.97 (same tier definition, real fluctuation within it). Ind.12=na still (no data anywhere this company's history without an assumption). Ind.27=na: only 3 of 6 survey sub-dimension scores disclosed following a methodology change - no overall composite this year, unlike 2022/2023 which had one. Ind.30='A', DIRECT and confidently confirmed this year (the anchor point for the other years' backward inference). || DEEPSEEK RECONCILIATION - MANUAL FLAGS: Ind.1 (Contract Workers%): Claude=4.3, DeepSeek=5.73, Diff=33.3%; Ind.3 (Female Contract%): Claude=19.9, DeepSeek=20.96, Diff=5.3%; Ind.4 (New Hire Rate): Claude=7.06, DeepSeek=7.6, Diff=7.6%; Ind.16 (Parental Leave F): Claude=48, DeepSeek=39, Diff=18.8%; Ind.21 (Involuntary Turnover): Claude=6.2, DeepSeek=4.1, Diff=33.9%</t>
        </is>
      </c>
    </row>
    <row r="123" ht="4.5" customHeight="1" s="43">
      <c r="A123" s="72" t="n"/>
      <c r="B123" s="72" t="n"/>
      <c r="C123" s="72" t="n"/>
      <c r="D123" s="72" t="n"/>
      <c r="E123" s="72" t="n"/>
      <c r="F123" s="72" t="n"/>
      <c r="G123" s="72" t="n"/>
      <c r="H123" s="72" t="n"/>
      <c r="I123" s="72" t="n"/>
      <c r="J123" s="72" t="n"/>
      <c r="K123" s="72" t="n"/>
      <c r="L123" s="72" t="n"/>
      <c r="M123" s="72" t="n"/>
      <c r="N123" s="72" t="n"/>
      <c r="O123" s="72" t="n"/>
      <c r="P123" s="72" t="n"/>
      <c r="Q123" s="72" t="n"/>
      <c r="R123" s="72" t="n"/>
      <c r="S123" s="72" t="n"/>
      <c r="T123" s="72" t="n"/>
      <c r="U123" s="72" t="n"/>
      <c r="V123" s="72" t="n"/>
      <c r="W123" s="72" t="n"/>
      <c r="X123" s="72" t="n"/>
      <c r="Y123" s="72" t="n"/>
      <c r="Z123" s="72" t="n"/>
      <c r="AA123" s="72" t="n"/>
      <c r="AB123" s="72" t="n"/>
      <c r="AC123" s="72" t="n"/>
      <c r="AD123" s="72" t="n"/>
      <c r="AE123" s="72" t="n"/>
      <c r="AF123" s="72" t="n"/>
      <c r="AG123" s="72" t="n"/>
      <c r="AH123" s="72" t="n"/>
      <c r="AI123" s="72" t="n"/>
      <c r="AJ123" s="72" t="n"/>
      <c r="AK123" s="72" t="n"/>
      <c r="AL123" s="72" t="n"/>
      <c r="AM123" s="72" t="n"/>
      <c r="AN123" s="72" t="n"/>
      <c r="AO123" s="72" t="n"/>
      <c r="AP123" s="72" t="n"/>
      <c r="AQ123" s="72" t="n"/>
      <c r="AR123" s="72" t="n"/>
      <c r="AS123" s="72" t="n"/>
      <c r="AT123" s="72" t="n"/>
      <c r="AU123" s="72" t="n"/>
      <c r="AV123" s="72" t="n"/>
      <c r="AW123" s="72" t="n"/>
      <c r="AX123" s="72" t="n"/>
      <c r="AY123" s="72" t="n"/>
      <c r="AZ123" s="72" t="n"/>
      <c r="BA123" s="72" t="n"/>
      <c r="BB123" s="72" t="n"/>
      <c r="BC123" s="72" t="n"/>
      <c r="BD123" s="72" t="n"/>
      <c r="BE123" s="72" t="n"/>
      <c r="BF123" s="72" t="n"/>
      <c r="BG123" s="72" t="n"/>
      <c r="BH123" s="72" t="n"/>
      <c r="BI123" s="72" t="n"/>
      <c r="BJ123" s="72" t="n"/>
      <c r="BK123" s="72" t="n"/>
      <c r="BL123" s="72" t="n"/>
      <c r="BM123" s="72" t="n"/>
      <c r="BN123" s="72" t="n"/>
      <c r="BO123" s="72" t="n"/>
      <c r="BP123" s="72" t="n"/>
      <c r="BQ123" s="72" t="n"/>
      <c r="BR123" s="72" t="n"/>
      <c r="BS123" s="72" t="n"/>
      <c r="BT123" s="72" t="n"/>
      <c r="BU123" s="72" t="n"/>
      <c r="BV123" s="72" t="n"/>
      <c r="BW123" s="72" t="n"/>
      <c r="BX123" s="72" t="n"/>
      <c r="BY123" s="72" t="n"/>
      <c r="BZ123" s="72" t="n"/>
      <c r="CA123" s="72" t="n"/>
      <c r="CB123" s="72" t="n"/>
      <c r="CC123" s="72" t="n"/>
      <c r="CD123" s="72" t="n"/>
      <c r="CE123" s="72" t="n"/>
      <c r="CF123" s="72" t="n"/>
      <c r="CG123" s="72" t="n"/>
      <c r="CH123" s="72" t="n"/>
      <c r="CI123" s="72" t="n"/>
      <c r="CJ123" s="72" t="n"/>
      <c r="CK123" s="72" t="n"/>
      <c r="CL123" s="72" t="n"/>
      <c r="CM123" s="72" t="n"/>
      <c r="CN123" s="72" t="n"/>
      <c r="CO123" s="72" t="n"/>
      <c r="CP123" s="72" t="n"/>
      <c r="CQ123" s="72" t="n"/>
      <c r="CR123" s="72" t="n"/>
      <c r="CS123" s="72" t="n"/>
      <c r="CT123" s="72" t="n"/>
      <c r="CU123" s="72" t="n"/>
      <c r="CV123" s="72" t="n"/>
      <c r="CW123" s="72" t="n"/>
      <c r="CX123" s="72" t="n"/>
      <c r="CY123" s="72" t="n"/>
      <c r="CZ123" s="72" t="n"/>
      <c r="DA123" s="72" t="n"/>
      <c r="DB123" s="72" t="n"/>
      <c r="DC123" s="72" t="n"/>
      <c r="DD123" s="72" t="n"/>
      <c r="DE123" s="72" t="n"/>
      <c r="DF123" s="72" t="n"/>
      <c r="DG123" s="72" t="n"/>
      <c r="DH123" s="72" t="n"/>
      <c r="DI123" s="72" t="n"/>
      <c r="DJ123" s="72" t="n"/>
      <c r="DK123" s="72" t="n"/>
      <c r="DL123" s="72" t="n"/>
      <c r="DM123" s="72" t="n"/>
      <c r="DN123" s="72" t="n"/>
      <c r="DO123" s="72" t="n"/>
      <c r="DP123" s="72" t="n"/>
      <c r="DQ123" s="72" t="n"/>
      <c r="DR123" s="72" t="n"/>
      <c r="DS123" s="72" t="n"/>
      <c r="DT123" s="72" t="n"/>
      <c r="DU123" s="72" t="n"/>
      <c r="DV123" s="72" t="n"/>
      <c r="DW123" s="72" t="n"/>
    </row>
    <row r="124" ht="15.75" customHeight="1" s="43">
      <c r="A124" s="73" t="inlineStr">
        <is>
          <t>HD HYUNDAI ELECTRIC</t>
        </is>
      </c>
      <c r="B124" s="69" t="inlineStr">
        <is>
          <t>267260</t>
        </is>
      </c>
      <c r="C124" s="69" t="inlineStr">
        <is>
          <t>Industrials</t>
        </is>
      </c>
      <c r="D124" s="69" t="inlineStr">
        <is>
          <t>2018</t>
        </is>
      </c>
      <c r="E124" s="70" t="inlineStr">
        <is>
          <t>HD_HYUNDAI_ELECTRIC_2020.pdf (only report covering 2018)</t>
        </is>
      </c>
      <c r="F124" s="69" t="n"/>
      <c r="G124" s="67" t="n"/>
      <c r="H124" s="67" t="n"/>
      <c r="I124" s="71">
        <f>IFERROR(IF(AND(G124&lt;&gt;"",H124&lt;&gt;""),ABS(G124-H124)/ABS(G124)*100,""),"")</f>
        <v/>
      </c>
      <c r="J124" s="69" t="inlineStr">
        <is>
          <t>ND</t>
        </is>
      </c>
      <c r="K124" s="67" t="n"/>
      <c r="L124" s="67" t="n"/>
      <c r="M124" s="71">
        <f>IFERROR(IF(AND(K124&lt;&gt;"",L124&lt;&gt;""),ABS(K124-L124)/ABS(K124)*100,""),"")</f>
        <v/>
      </c>
      <c r="N124" s="69" t="inlineStr">
        <is>
          <t>ND</t>
        </is>
      </c>
      <c r="O124" s="67" t="n"/>
      <c r="P124" s="67" t="n"/>
      <c r="Q124" s="71">
        <f>IFERROR(IF(AND(O124&lt;&gt;"",P124&lt;&gt;""),ABS(O124-P124)/ABS(O124)*100,""),"")</f>
        <v/>
      </c>
      <c r="R124" s="69" t="inlineStr">
        <is>
          <t>ND</t>
        </is>
      </c>
      <c r="S124" s="67" t="n"/>
      <c r="T124" s="67" t="n"/>
      <c r="U124" s="71">
        <f>IFERROR(IF(AND(S124&lt;&gt;"",T124&lt;&gt;""),ABS(S124-T124)/ABS(S124)*100,""),"")</f>
        <v/>
      </c>
      <c r="V124" s="69" t="inlineStr">
        <is>
          <t>ND</t>
        </is>
      </c>
      <c r="W124" s="67" t="n"/>
      <c r="X124" s="67" t="n"/>
      <c r="Y124" s="71">
        <f>IFERROR(IF(AND(W124&lt;&gt;"",X124&lt;&gt;""),ABS(W124-X124)/ABS(W124)*100,""),"")</f>
        <v/>
      </c>
      <c r="Z124" s="69" t="inlineStr">
        <is>
          <t>ND</t>
        </is>
      </c>
      <c r="AA124" s="67" t="n"/>
      <c r="AB124" s="67" t="n"/>
      <c r="AC124" s="71">
        <f>IFERROR(IF(AND(AA124&lt;&gt;"",AB124&lt;&gt;""),ABS(AA124-AB124)/ABS(AA124)*100,""),"")</f>
        <v/>
      </c>
      <c r="AD124" s="69" t="inlineStr">
        <is>
          <t>ND</t>
        </is>
      </c>
      <c r="AE124" s="67" t="n"/>
      <c r="AF124" s="67" t="n"/>
      <c r="AG124" s="71">
        <f>IFERROR(IF(AND(AE124&lt;&gt;"",AF124&lt;&gt;""),ABS(AE124-AF124)/ABS(AE124)*100,""),"")</f>
        <v/>
      </c>
      <c r="AH124" s="69" t="inlineStr">
        <is>
          <t>ND</t>
        </is>
      </c>
      <c r="AI124" s="67" t="n"/>
      <c r="AJ124" s="67" t="n"/>
      <c r="AK124" s="71">
        <f>IFERROR(IF(AND(AI124&lt;&gt;"",AJ124&lt;&gt;""),ABS(AI124-AJ124)/ABS(AI124)*100,""),"")</f>
        <v/>
      </c>
      <c r="AL124" s="69" t="inlineStr">
        <is>
          <t>ND</t>
        </is>
      </c>
      <c r="AM124" s="67" t="n"/>
      <c r="AN124" s="67" t="n"/>
      <c r="AO124" s="71">
        <f>IFERROR(IF(AND(AM124&lt;&gt;"",AN124&lt;&gt;""),ABS(AM124-AN124)/ABS(AM124)*100,""),"")</f>
        <v/>
      </c>
      <c r="AP124" s="69" t="inlineStr">
        <is>
          <t>ND</t>
        </is>
      </c>
      <c r="AQ124" s="67" t="n"/>
      <c r="AR124" s="67" t="n"/>
      <c r="AS124" s="71">
        <f>IFERROR(IF(AND(AQ124&lt;&gt;"",AR124&lt;&gt;""),ABS(AQ124-AR124)/ABS(AQ124)*100,""),"")</f>
        <v/>
      </c>
      <c r="AT124" s="69" t="inlineStr">
        <is>
          <t>ND</t>
        </is>
      </c>
      <c r="AU124" s="67" t="n"/>
      <c r="AV124" s="67" t="n"/>
      <c r="AW124" s="71">
        <f>IFERROR(IF(AND(AU124&lt;&gt;"",AV124&lt;&gt;""),ABS(AU124-AV124)/ABS(AU124)*100,""),"")</f>
        <v/>
      </c>
      <c r="AX124" s="69" t="inlineStr">
        <is>
          <t>ND</t>
        </is>
      </c>
      <c r="AY124" s="67" t="n"/>
      <c r="AZ124" s="67" t="n"/>
      <c r="BA124" s="71">
        <f>IFERROR(IF(AND(AY124&lt;&gt;"",AZ124&lt;&gt;""),ABS(AY124-AZ124)/ABS(AY124)*100,""),"")</f>
        <v/>
      </c>
      <c r="BB124" s="69" t="inlineStr">
        <is>
          <t>ND</t>
        </is>
      </c>
      <c r="BC124" s="67" t="n"/>
      <c r="BD124" s="67" t="n"/>
      <c r="BE124" s="71">
        <f>IFERROR(IF(AND(BC124&lt;&gt;"",BD124&lt;&gt;""),ABS(BC124-BD124)/ABS(BC124)*100,""),"")</f>
        <v/>
      </c>
      <c r="BF124" s="69" t="inlineStr">
        <is>
          <t>ND</t>
        </is>
      </c>
      <c r="BG124" s="67" t="n"/>
      <c r="BH124" s="67" t="n"/>
      <c r="BI124" s="71">
        <f>IFERROR(IF(AND(BG124&lt;&gt;"",BH124&lt;&gt;""),ABS(BG124-BH124)/ABS(BG124)*100,""),"")</f>
        <v/>
      </c>
      <c r="BJ124" s="69" t="inlineStr">
        <is>
          <t>ND</t>
        </is>
      </c>
      <c r="BK124" s="67" t="n">
        <v>10</v>
      </c>
      <c r="BL124" s="67" t="n">
        <v>10</v>
      </c>
      <c r="BM124" s="71">
        <f>IFERROR(IF(AND(BK124&lt;&gt;"",BL124&lt;&gt;""),ABS(BK124-BL124)/ABS(BK124)*100,""),"")</f>
        <v/>
      </c>
      <c r="BN124" s="69" t="inlineStr">
        <is>
          <t>Claude</t>
        </is>
      </c>
      <c r="BO124" s="64" t="n">
        <v>3</v>
      </c>
      <c r="BP124" s="64" t="n">
        <v>6</v>
      </c>
      <c r="BQ124" s="71">
        <f>IFERROR(IF(AND(BO124&lt;&gt;"",BP124&lt;&gt;""),ABS(BO124-BP124)/ABS(BO124)*100,""),"")</f>
        <v/>
      </c>
      <c r="BR124" s="66" t="inlineStr">
        <is>
          <t>MANUAL FLAG</t>
        </is>
      </c>
      <c r="BS124" s="64" t="n">
        <v>16</v>
      </c>
      <c r="BT124" s="64" t="n">
        <v>2</v>
      </c>
      <c r="BU124" s="71">
        <f>IFERROR(IF(AND(BS124&lt;&gt;"",BT124&lt;&gt;""),ABS(BS124-BT124)/ABS(BS124)*100,""),"")</f>
        <v/>
      </c>
      <c r="BV124" s="66" t="inlineStr">
        <is>
          <t>MANUAL FLAG</t>
        </is>
      </c>
      <c r="BW124" s="67" t="n"/>
      <c r="BX124" s="67" t="n"/>
      <c r="BY124" s="71">
        <f>IFERROR(IF(AND(BW124&lt;&gt;"",BX124&lt;&gt;""),ABS(BW124-BX124)/ABS(BW124)*100,""),"")</f>
        <v/>
      </c>
      <c r="BZ124" s="69" t="inlineStr">
        <is>
          <t>ND</t>
        </is>
      </c>
      <c r="CA124" s="67" t="n">
        <v>1</v>
      </c>
      <c r="CB124" s="67" t="n">
        <v>1</v>
      </c>
      <c r="CC124" s="71">
        <f>IFERROR(IF(AND(CA124&lt;&gt;"",CB124&lt;&gt;""),ABS(CA124-CB124)/ABS(CA124)*100,""),"")</f>
        <v/>
      </c>
      <c r="CD124" s="69" t="inlineStr">
        <is>
          <t>Claude</t>
        </is>
      </c>
      <c r="CE124" s="67" t="n"/>
      <c r="CF124" s="67" t="n"/>
      <c r="CG124" s="71">
        <f>IFERROR(IF(AND(CE124&lt;&gt;"",CF124&lt;&gt;""),ABS(CE124-CF124)/ABS(CE124)*100,""),"")</f>
        <v/>
      </c>
      <c r="CH124" s="69" t="inlineStr">
        <is>
          <t>ND</t>
        </is>
      </c>
      <c r="CI124" s="67" t="n"/>
      <c r="CJ124" s="67" t="n"/>
      <c r="CK124" s="71">
        <f>IFERROR(IF(AND(CI124&lt;&gt;"",CJ124&lt;&gt;""),ABS(CI124-CJ124)/ABS(CI124)*100,""),"")</f>
        <v/>
      </c>
      <c r="CL124" s="69" t="inlineStr">
        <is>
          <t>ND</t>
        </is>
      </c>
      <c r="CM124" s="67" t="n">
        <v>94.8</v>
      </c>
      <c r="CN124" s="67" t="n">
        <v>94.8</v>
      </c>
      <c r="CO124" s="71">
        <f>IFERROR(IF(AND(CM124&lt;&gt;"",CN124&lt;&gt;""),ABS(CM124-CN124)/ABS(CM124)*100,""),"")</f>
        <v/>
      </c>
      <c r="CP124" s="69" t="inlineStr">
        <is>
          <t>Claude</t>
        </is>
      </c>
      <c r="CQ124" s="67" t="n">
        <v>2.06</v>
      </c>
      <c r="CR124" s="67" t="n">
        <v>2.06</v>
      </c>
      <c r="CS124" s="71">
        <f>IFERROR(IF(AND(CQ124&lt;&gt;"",CR124&lt;&gt;""),ABS(CQ124-CR124)/ABS(CQ124)*100,""),"")</f>
        <v/>
      </c>
      <c r="CT124" s="69" t="inlineStr">
        <is>
          <t>Claude</t>
        </is>
      </c>
      <c r="CU124" s="67" t="n">
        <v>0</v>
      </c>
      <c r="CV124" s="67" t="n">
        <v>0</v>
      </c>
      <c r="CW124" s="71">
        <f>IFERROR(IF(AND(CU124&lt;&gt;"",CV124&lt;&gt;""),ABS(CU124-CV124)/ABS(CU124)*100,""),"")</f>
        <v/>
      </c>
      <c r="CX124" s="69" t="inlineStr">
        <is>
          <t>Claude</t>
        </is>
      </c>
      <c r="CY124" s="68" t="n"/>
      <c r="CZ124" s="68" t="n"/>
      <c r="DA124" s="71">
        <f>IFERROR(IF(AND(CY124&lt;&gt;"",CZ124&lt;&gt;""),ABS(CY124-CZ124)/ABS(CY124)*100,""),"")</f>
        <v/>
      </c>
      <c r="DB124" s="69" t="inlineStr">
        <is>
          <t>ND</t>
        </is>
      </c>
      <c r="DC124" s="68" t="n"/>
      <c r="DD124" s="68" t="n">
        <v>5</v>
      </c>
      <c r="DE124" s="71">
        <f>IFERROR(IF(AND(DC124&lt;&gt;"",DD124&lt;&gt;""),ABS(DC124-DD124)/ABS(DC124)*100,""),"")</f>
        <v/>
      </c>
      <c r="DF124" s="69" t="inlineStr">
        <is>
          <t>DeepSeek</t>
        </is>
      </c>
      <c r="DG124" s="68" t="n"/>
      <c r="DH124" s="68" t="n"/>
      <c r="DI124" s="71">
        <f>IFERROR(IF(AND(DG124&lt;&gt;"",DH124&lt;&gt;""),ABS(DG124-DH124)/ABS(DG124)*100,""),"")</f>
        <v/>
      </c>
      <c r="DJ124" s="69" t="inlineStr">
        <is>
          <t>ND</t>
        </is>
      </c>
      <c r="DK124" s="68" t="n"/>
      <c r="DL124" s="68" t="n"/>
      <c r="DM124" s="71">
        <f>IFERROR(IF(AND(DK124&lt;&gt;"",DL124&lt;&gt;""),ABS(DK124-DL124)/ABS(DK124)*100,""),"")</f>
        <v/>
      </c>
      <c r="DN124" s="69" t="inlineStr">
        <is>
          <t>ND</t>
        </is>
      </c>
      <c r="DO124" s="68" t="n"/>
      <c r="DP124" s="68" t="n"/>
      <c r="DQ124" s="71">
        <f>IFERROR(IF(AND(DO124&lt;&gt;"",DP124&lt;&gt;""),ABS(DO124-DP124)/ABS(DO124)*100,""),"")</f>
        <v/>
      </c>
      <c r="DR124" s="69" t="inlineStr">
        <is>
          <t>ND</t>
        </is>
      </c>
      <c r="DS124" s="68" t="n"/>
      <c r="DT124" s="68" t="n"/>
      <c r="DU124" s="71">
        <f>IFERROR(IF(AND(DS124&lt;&gt;"",DT124&lt;&gt;""),ABS(DS124-DT124)/ABS(DS124)*100,""),"")</f>
        <v/>
      </c>
      <c r="DV124" s="69" t="inlineStr">
        <is>
          <t>ND</t>
        </is>
      </c>
      <c r="DW124" s="70" t="inlineStr">
        <is>
          <t>Claude only (DeepSeek pending). Source=2020 report (only report covering 2018). Ind.7/8=ND (no data disclosed to compute; not even headcounts given). Ind.19=1.0, low value explained by company's April 2017 legal-entity spin-off from Hyundai Heavy Industries. || DEEPSEEK RECONCILIATION - MANUAL FLAGS: Ind.16 (Parental Leave F): Claude=3, DeepSeek=6, Diff=100.0%; Ind.17 (Parental Leave M): Claude=16, DeepSeek=2, Diff=87.5% || NOTE: Ind.16/17 (Parental Leave) DeepSeek values are suspiciously CONSTANT (Female=6 for all of 2017-2019, Male=1/2/1) - likely a misread/placeholder cell rather than genuine year-specific data, as originally suspected. Recommend treating DeepSeek's parental-leave figures for this company with skepticism.</t>
        </is>
      </c>
    </row>
    <row r="125" ht="15.75" customHeight="1" s="43">
      <c r="A125" s="62" t="n"/>
      <c r="B125" s="62" t="n"/>
      <c r="C125" s="62" t="inlineStr">
        <is>
          <t>Industrials</t>
        </is>
      </c>
      <c r="D125" s="62" t="inlineStr">
        <is>
          <t>2019</t>
        </is>
      </c>
      <c r="E125" s="63" t="inlineStr">
        <is>
          <t>HD_HYUNDAI_ELECTRIC_2020.pdf (only report covering 2019)</t>
        </is>
      </c>
      <c r="F125" s="62" t="n"/>
      <c r="G125" s="67" t="n"/>
      <c r="H125" s="67" t="n"/>
      <c r="I125" s="65">
        <f>IFERROR(IF(AND(G125&lt;&gt;"",H125&lt;&gt;""),ABS(G125-H125)/ABS(G125)*100,""),"")</f>
        <v/>
      </c>
      <c r="J125" s="62" t="inlineStr">
        <is>
          <t>ND</t>
        </is>
      </c>
      <c r="K125" s="67" t="n"/>
      <c r="L125" s="67" t="n">
        <v>21.1</v>
      </c>
      <c r="M125" s="65">
        <f>IFERROR(IF(AND(K125&lt;&gt;"",L125&lt;&gt;""),ABS(K125-L125)/ABS(K125)*100,""),"")</f>
        <v/>
      </c>
      <c r="N125" s="62" t="inlineStr">
        <is>
          <t>DeepSeek</t>
        </is>
      </c>
      <c r="O125" s="67" t="n"/>
      <c r="P125" s="67" t="n"/>
      <c r="Q125" s="65">
        <f>IFERROR(IF(AND(O125&lt;&gt;"",P125&lt;&gt;""),ABS(O125-P125)/ABS(O125)*100,""),"")</f>
        <v/>
      </c>
      <c r="R125" s="62" t="inlineStr">
        <is>
          <t>ND</t>
        </is>
      </c>
      <c r="S125" s="67" t="n"/>
      <c r="T125" s="67" t="n"/>
      <c r="U125" s="65">
        <f>IFERROR(IF(AND(S125&lt;&gt;"",T125&lt;&gt;""),ABS(S125-T125)/ABS(S125)*100,""),"")</f>
        <v/>
      </c>
      <c r="V125" s="62" t="inlineStr">
        <is>
          <t>ND</t>
        </is>
      </c>
      <c r="W125" s="67" t="n"/>
      <c r="X125" s="67" t="n"/>
      <c r="Y125" s="65">
        <f>IFERROR(IF(AND(W125&lt;&gt;"",X125&lt;&gt;""),ABS(W125-X125)/ABS(W125)*100,""),"")</f>
        <v/>
      </c>
      <c r="Z125" s="62" t="inlineStr">
        <is>
          <t>ND</t>
        </is>
      </c>
      <c r="AA125" s="67" t="n"/>
      <c r="AB125" s="67" t="n"/>
      <c r="AC125" s="65">
        <f>IFERROR(IF(AND(AA125&lt;&gt;"",AB125&lt;&gt;""),ABS(AA125-AB125)/ABS(AA125)*100,""),"")</f>
        <v/>
      </c>
      <c r="AD125" s="62" t="inlineStr">
        <is>
          <t>ND</t>
        </is>
      </c>
      <c r="AE125" s="67" t="n"/>
      <c r="AF125" s="67" t="n"/>
      <c r="AG125" s="65">
        <f>IFERROR(IF(AND(AE125&lt;&gt;"",AF125&lt;&gt;""),ABS(AE125-AF125)/ABS(AE125)*100,""),"")</f>
        <v/>
      </c>
      <c r="AH125" s="62" t="inlineStr">
        <is>
          <t>ND</t>
        </is>
      </c>
      <c r="AI125" s="67" t="n"/>
      <c r="AJ125" s="67" t="n"/>
      <c r="AK125" s="65">
        <f>IFERROR(IF(AND(AI125&lt;&gt;"",AJ125&lt;&gt;""),ABS(AI125-AJ125)/ABS(AI125)*100,""),"")</f>
        <v/>
      </c>
      <c r="AL125" s="62" t="inlineStr">
        <is>
          <t>ND</t>
        </is>
      </c>
      <c r="AM125" s="67" t="n"/>
      <c r="AN125" s="67" t="n"/>
      <c r="AO125" s="65">
        <f>IFERROR(IF(AND(AM125&lt;&gt;"",AN125&lt;&gt;""),ABS(AM125-AN125)/ABS(AM125)*100,""),"")</f>
        <v/>
      </c>
      <c r="AP125" s="62" t="inlineStr">
        <is>
          <t>ND</t>
        </is>
      </c>
      <c r="AQ125" s="67" t="n"/>
      <c r="AR125" s="67" t="n"/>
      <c r="AS125" s="65">
        <f>IFERROR(IF(AND(AQ125&lt;&gt;"",AR125&lt;&gt;""),ABS(AQ125-AR125)/ABS(AQ125)*100,""),"")</f>
        <v/>
      </c>
      <c r="AT125" s="62" t="inlineStr">
        <is>
          <t>ND</t>
        </is>
      </c>
      <c r="AU125" s="67" t="n"/>
      <c r="AV125" s="67" t="n"/>
      <c r="AW125" s="65">
        <f>IFERROR(IF(AND(AU125&lt;&gt;"",AV125&lt;&gt;""),ABS(AU125-AV125)/ABS(AU125)*100,""),"")</f>
        <v/>
      </c>
      <c r="AX125" s="62" t="inlineStr">
        <is>
          <t>ND</t>
        </is>
      </c>
      <c r="AY125" s="64" t="n">
        <v>73472042</v>
      </c>
      <c r="AZ125" s="64" t="n">
        <v>124529317</v>
      </c>
      <c r="BA125" s="65">
        <f>IFERROR(IF(AND(AY125&lt;&gt;"",AZ125&lt;&gt;""),ABS(AY125-AZ125)/ABS(AY125)*100,""),"")</f>
        <v/>
      </c>
      <c r="BB125" s="66" t="inlineStr">
        <is>
          <t>MANUAL FLAG</t>
        </is>
      </c>
      <c r="BC125" s="67" t="n"/>
      <c r="BD125" s="67" t="n"/>
      <c r="BE125" s="65">
        <f>IFERROR(IF(AND(BC125&lt;&gt;"",BD125&lt;&gt;""),ABS(BC125-BD125)/ABS(BC125)*100,""),"")</f>
        <v/>
      </c>
      <c r="BF125" s="62" t="inlineStr">
        <is>
          <t>ND</t>
        </is>
      </c>
      <c r="BG125" s="67" t="n"/>
      <c r="BH125" s="67" t="n">
        <v>48413</v>
      </c>
      <c r="BI125" s="65">
        <f>IFERROR(IF(AND(BG125&lt;&gt;"",BH125&lt;&gt;""),ABS(BG125-BH125)/ABS(BG125)*100,""),"")</f>
        <v/>
      </c>
      <c r="BJ125" s="62" t="inlineStr">
        <is>
          <t>DeepSeek</t>
        </is>
      </c>
      <c r="BK125" s="67" t="n">
        <v>16</v>
      </c>
      <c r="BL125" s="67" t="n">
        <v>16</v>
      </c>
      <c r="BM125" s="65">
        <f>IFERROR(IF(AND(BK125&lt;&gt;"",BL125&lt;&gt;""),ABS(BK125-BL125)/ABS(BK125)*100,""),"")</f>
        <v/>
      </c>
      <c r="BN125" s="62" t="inlineStr">
        <is>
          <t>Claude</t>
        </is>
      </c>
      <c r="BO125" s="64" t="n">
        <v>1</v>
      </c>
      <c r="BP125" s="64" t="n">
        <v>6</v>
      </c>
      <c r="BQ125" s="65">
        <f>IFERROR(IF(AND(BO125&lt;&gt;"",BP125&lt;&gt;""),ABS(BO125-BP125)/ABS(BO125)*100,""),"")</f>
        <v/>
      </c>
      <c r="BR125" s="66" t="inlineStr">
        <is>
          <t>MANUAL FLAG</t>
        </is>
      </c>
      <c r="BS125" s="64" t="n">
        <v>6</v>
      </c>
      <c r="BT125" s="64" t="n">
        <v>1</v>
      </c>
      <c r="BU125" s="65">
        <f>IFERROR(IF(AND(BS125&lt;&gt;"",BT125&lt;&gt;""),ABS(BS125-BT125)/ABS(BS125)*100,""),"")</f>
        <v/>
      </c>
      <c r="BV125" s="66" t="inlineStr">
        <is>
          <t>MANUAL FLAG</t>
        </is>
      </c>
      <c r="BW125" s="67" t="n"/>
      <c r="BX125" s="67" t="n"/>
      <c r="BY125" s="65">
        <f>IFERROR(IF(AND(BW125&lt;&gt;"",BX125&lt;&gt;""),ABS(BW125-BX125)/ABS(BW125)*100,""),"")</f>
        <v/>
      </c>
      <c r="BZ125" s="62" t="inlineStr">
        <is>
          <t>ND</t>
        </is>
      </c>
      <c r="CA125" s="67" t="n">
        <v>1.9</v>
      </c>
      <c r="CB125" s="67" t="n">
        <v>1.9</v>
      </c>
      <c r="CC125" s="65">
        <f>IFERROR(IF(AND(CA125&lt;&gt;"",CB125&lt;&gt;""),ABS(CA125-CB125)/ABS(CA125)*100,""),"")</f>
        <v/>
      </c>
      <c r="CD125" s="62" t="inlineStr">
        <is>
          <t>Claude</t>
        </is>
      </c>
      <c r="CE125" s="67" t="n"/>
      <c r="CF125" s="67" t="n"/>
      <c r="CG125" s="65">
        <f>IFERROR(IF(AND(CE125&lt;&gt;"",CF125&lt;&gt;""),ABS(CE125-CF125)/ABS(CE125)*100,""),"")</f>
        <v/>
      </c>
      <c r="CH125" s="62" t="inlineStr">
        <is>
          <t>ND</t>
        </is>
      </c>
      <c r="CI125" s="67" t="n"/>
      <c r="CJ125" s="67" t="n"/>
      <c r="CK125" s="65">
        <f>IFERROR(IF(AND(CI125&lt;&gt;"",CJ125&lt;&gt;""),ABS(CI125-CJ125)/ABS(CI125)*100,""),"")</f>
        <v/>
      </c>
      <c r="CL125" s="62" t="inlineStr">
        <is>
          <t>ND</t>
        </is>
      </c>
      <c r="CM125" s="67" t="n">
        <v>92.90000000000001</v>
      </c>
      <c r="CN125" s="67" t="n">
        <v>92.90000000000001</v>
      </c>
      <c r="CO125" s="65">
        <f>IFERROR(IF(AND(CM125&lt;&gt;"",CN125&lt;&gt;""),ABS(CM125-CN125)/ABS(CM125)*100,""),"")</f>
        <v/>
      </c>
      <c r="CP125" s="62" t="inlineStr">
        <is>
          <t>Claude</t>
        </is>
      </c>
      <c r="CQ125" s="67" t="n">
        <v>1.13</v>
      </c>
      <c r="CR125" s="67" t="n">
        <v>1.13</v>
      </c>
      <c r="CS125" s="65">
        <f>IFERROR(IF(AND(CQ125&lt;&gt;"",CR125&lt;&gt;""),ABS(CQ125-CR125)/ABS(CQ125)*100,""),"")</f>
        <v/>
      </c>
      <c r="CT125" s="62" t="inlineStr">
        <is>
          <t>Claude</t>
        </is>
      </c>
      <c r="CU125" s="67" t="n">
        <v>0</v>
      </c>
      <c r="CV125" s="67" t="n">
        <v>0</v>
      </c>
      <c r="CW125" s="65">
        <f>IFERROR(IF(AND(CU125&lt;&gt;"",CV125&lt;&gt;""),ABS(CU125-CV125)/ABS(CU125)*100,""),"")</f>
        <v/>
      </c>
      <c r="CX125" s="62" t="inlineStr">
        <is>
          <t>Claude</t>
        </is>
      </c>
      <c r="CY125" s="68" t="n"/>
      <c r="CZ125" s="68" t="n"/>
      <c r="DA125" s="65">
        <f>IFERROR(IF(AND(CY125&lt;&gt;"",CZ125&lt;&gt;""),ABS(CY125-CZ125)/ABS(CY125)*100,""),"")</f>
        <v/>
      </c>
      <c r="DB125" s="62" t="inlineStr">
        <is>
          <t>ND</t>
        </is>
      </c>
      <c r="DC125" s="68" t="n"/>
      <c r="DD125" s="68" t="n">
        <v>5</v>
      </c>
      <c r="DE125" s="65">
        <f>IFERROR(IF(AND(DC125&lt;&gt;"",DD125&lt;&gt;""),ABS(DC125-DD125)/ABS(DC125)*100,""),"")</f>
        <v/>
      </c>
      <c r="DF125" s="62" t="inlineStr">
        <is>
          <t>DeepSeek</t>
        </is>
      </c>
      <c r="DG125" s="68" t="n"/>
      <c r="DH125" s="68" t="n"/>
      <c r="DI125" s="65">
        <f>IFERROR(IF(AND(DG125&lt;&gt;"",DH125&lt;&gt;""),ABS(DG125-DH125)/ABS(DG125)*100,""),"")</f>
        <v/>
      </c>
      <c r="DJ125" s="62" t="inlineStr">
        <is>
          <t>ND</t>
        </is>
      </c>
      <c r="DK125" s="68" t="n"/>
      <c r="DL125" s="68" t="n"/>
      <c r="DM125" s="65">
        <f>IFERROR(IF(AND(DK125&lt;&gt;"",DL125&lt;&gt;""),ABS(DK125-DL125)/ABS(DK125)*100,""),"")</f>
        <v/>
      </c>
      <c r="DN125" s="62" t="inlineStr">
        <is>
          <t>ND</t>
        </is>
      </c>
      <c r="DO125" s="68" t="n"/>
      <c r="DP125" s="68" t="n"/>
      <c r="DQ125" s="65">
        <f>IFERROR(IF(AND(DO125&lt;&gt;"",DP125&lt;&gt;""),ABS(DO125-DP125)/ABS(DO125)*100,""),"")</f>
        <v/>
      </c>
      <c r="DR125" s="62" t="inlineStr">
        <is>
          <t>ND</t>
        </is>
      </c>
      <c r="DS125" s="68" t="n"/>
      <c r="DT125" s="68" t="n"/>
      <c r="DU125" s="65">
        <f>IFERROR(IF(AND(DS125&lt;&gt;"",DT125&lt;&gt;""),ABS(DS125-DT125)/ABS(DS125)*100,""),"")</f>
        <v/>
      </c>
      <c r="DV125" s="62" t="inlineStr">
        <is>
          <t>ND</t>
        </is>
      </c>
      <c r="DW125" s="63" t="inlineStr">
        <is>
          <t>Claude only (DeepSeek pending). Source=2020 report. Ind.12=73,472,042 KRW - flagged: numerator/denominator combine two different report sections, population identity not independently confirmable. Ind.19=1.9. || DEEPSEEK RECONCILIATION - MANUAL FLAGS: Ind.12 (Annual Pay): Claude=73472042, DeepSeek=124529317, Diff=69.5%; Ind.16 (Parental Leave F): Claude=1, DeepSeek=6, Diff=500.0%; Ind.17 (Parental Leave M): Claude=6, DeepSeek=1, Diff=83.3% || NOTE: Ind.12 (Annual Pay) conflict (73.5M Claude vs 124.5M DeepSeek) - DeepSeek notes this includes 'total compensation (salary+welfare)' vs Claude's narrower scope; a real methodology/scope difference, not necessarily an error. Same Ind.16/17 constant-value concern as 2018.</t>
        </is>
      </c>
    </row>
    <row r="126" ht="15.75" customHeight="1" s="43">
      <c r="A126" s="69" t="n"/>
      <c r="B126" s="69" t="n"/>
      <c r="C126" s="69" t="inlineStr">
        <is>
          <t>Industrials</t>
        </is>
      </c>
      <c r="D126" s="69" t="inlineStr">
        <is>
          <t>2020</t>
        </is>
      </c>
      <c r="E126" s="70" t="inlineStr">
        <is>
          <t>HD Hyundai Electric 2023 report (most recent covering 2020)</t>
        </is>
      </c>
      <c r="F126" s="69" t="n"/>
      <c r="G126" s="67" t="n"/>
      <c r="H126" s="67" t="n"/>
      <c r="I126" s="71">
        <f>IFERROR(IF(AND(G126&lt;&gt;"",H126&lt;&gt;""),ABS(G126-H126)/ABS(G126)*100,""),"")</f>
        <v/>
      </c>
      <c r="J126" s="69" t="inlineStr">
        <is>
          <t>ND</t>
        </is>
      </c>
      <c r="K126" s="67" t="n"/>
      <c r="L126" s="67" t="n"/>
      <c r="M126" s="71">
        <f>IFERROR(IF(AND(K126&lt;&gt;"",L126&lt;&gt;""),ABS(K126-L126)/ABS(K126)*100,""),"")</f>
        <v/>
      </c>
      <c r="N126" s="69" t="inlineStr">
        <is>
          <t>ND</t>
        </is>
      </c>
      <c r="O126" s="67" t="n"/>
      <c r="P126" s="67" t="n"/>
      <c r="Q126" s="71">
        <f>IFERROR(IF(AND(O126&lt;&gt;"",P126&lt;&gt;""),ABS(O126-P126)/ABS(O126)*100,""),"")</f>
        <v/>
      </c>
      <c r="R126" s="69" t="inlineStr">
        <is>
          <t>ND</t>
        </is>
      </c>
      <c r="S126" s="67" t="n"/>
      <c r="T126" s="67" t="n"/>
      <c r="U126" s="71">
        <f>IFERROR(IF(AND(S126&lt;&gt;"",T126&lt;&gt;""),ABS(S126-T126)/ABS(S126)*100,""),"")</f>
        <v/>
      </c>
      <c r="V126" s="69" t="inlineStr">
        <is>
          <t>ND</t>
        </is>
      </c>
      <c r="W126" s="67" t="n"/>
      <c r="X126" s="67" t="n"/>
      <c r="Y126" s="71">
        <f>IFERROR(IF(AND(W126&lt;&gt;"",X126&lt;&gt;""),ABS(W126-X126)/ABS(W126)*100,""),"")</f>
        <v/>
      </c>
      <c r="Z126" s="69" t="inlineStr">
        <is>
          <t>ND</t>
        </is>
      </c>
      <c r="AA126" s="67" t="n"/>
      <c r="AB126" s="67" t="n"/>
      <c r="AC126" s="71">
        <f>IFERROR(IF(AND(AA126&lt;&gt;"",AB126&lt;&gt;""),ABS(AA126-AB126)/ABS(AA126)*100,""),"")</f>
        <v/>
      </c>
      <c r="AD126" s="69" t="inlineStr">
        <is>
          <t>ND</t>
        </is>
      </c>
      <c r="AE126" s="67" t="n"/>
      <c r="AF126" s="67" t="n"/>
      <c r="AG126" s="71">
        <f>IFERROR(IF(AND(AE126&lt;&gt;"",AF126&lt;&gt;""),ABS(AE126-AF126)/ABS(AE126)*100,""),"")</f>
        <v/>
      </c>
      <c r="AH126" s="69" t="inlineStr">
        <is>
          <t>ND</t>
        </is>
      </c>
      <c r="AI126" s="67" t="n"/>
      <c r="AJ126" s="67" t="n"/>
      <c r="AK126" s="71">
        <f>IFERROR(IF(AND(AI126&lt;&gt;"",AJ126&lt;&gt;""),ABS(AI126-AJ126)/ABS(AI126)*100,""),"")</f>
        <v/>
      </c>
      <c r="AL126" s="69" t="inlineStr">
        <is>
          <t>ND</t>
        </is>
      </c>
      <c r="AM126" s="67" t="n"/>
      <c r="AN126" s="67" t="n"/>
      <c r="AO126" s="71">
        <f>IFERROR(IF(AND(AM126&lt;&gt;"",AN126&lt;&gt;""),ABS(AM126-AN126)/ABS(AM126)*100,""),"")</f>
        <v/>
      </c>
      <c r="AP126" s="69" t="inlineStr">
        <is>
          <t>ND</t>
        </is>
      </c>
      <c r="AQ126" s="67" t="n"/>
      <c r="AR126" s="67" t="n"/>
      <c r="AS126" s="71">
        <f>IFERROR(IF(AND(AQ126&lt;&gt;"",AR126&lt;&gt;""),ABS(AQ126-AR126)/ABS(AQ126)*100,""),"")</f>
        <v/>
      </c>
      <c r="AT126" s="69" t="inlineStr">
        <is>
          <t>ND</t>
        </is>
      </c>
      <c r="AU126" s="67" t="n">
        <v>0</v>
      </c>
      <c r="AV126" s="67" t="n">
        <v>0</v>
      </c>
      <c r="AW126" s="71">
        <f>IFERROR(IF(AND(AU126&lt;&gt;"",AV126&lt;&gt;""),ABS(AU126-AV126)/ABS(AU126)*100,""),"")</f>
        <v/>
      </c>
      <c r="AX126" s="69" t="inlineStr">
        <is>
          <t>Claude</t>
        </is>
      </c>
      <c r="AY126" s="67" t="n"/>
      <c r="AZ126" s="67" t="n"/>
      <c r="BA126" s="71">
        <f>IFERROR(IF(AND(AY126&lt;&gt;"",AZ126&lt;&gt;""),ABS(AY126-AZ126)/ABS(AY126)*100,""),"")</f>
        <v/>
      </c>
      <c r="BB126" s="69" t="inlineStr">
        <is>
          <t>ND</t>
        </is>
      </c>
      <c r="BC126" s="67" t="n"/>
      <c r="BD126" s="67" t="n"/>
      <c r="BE126" s="71">
        <f>IFERROR(IF(AND(BC126&lt;&gt;"",BD126&lt;&gt;""),ABS(BC126-BD126)/ABS(BC126)*100,""),"")</f>
        <v/>
      </c>
      <c r="BF126" s="69" t="inlineStr">
        <is>
          <t>ND</t>
        </is>
      </c>
      <c r="BG126" s="67" t="n"/>
      <c r="BH126" s="67" t="n"/>
      <c r="BI126" s="71">
        <f>IFERROR(IF(AND(BG126&lt;&gt;"",BH126&lt;&gt;""),ABS(BG126-BH126)/ABS(BG126)*100,""),"")</f>
        <v/>
      </c>
      <c r="BJ126" s="69" t="inlineStr">
        <is>
          <t>ND</t>
        </is>
      </c>
      <c r="BK126" s="67" t="n"/>
      <c r="BL126" s="67" t="n"/>
      <c r="BM126" s="71">
        <f>IFERROR(IF(AND(BK126&lt;&gt;"",BL126&lt;&gt;""),ABS(BK126-BL126)/ABS(BK126)*100,""),"")</f>
        <v/>
      </c>
      <c r="BN126" s="69" t="inlineStr">
        <is>
          <t>ND</t>
        </is>
      </c>
      <c r="BO126" s="67" t="n"/>
      <c r="BP126" s="67" t="n"/>
      <c r="BQ126" s="71">
        <f>IFERROR(IF(AND(BO126&lt;&gt;"",BP126&lt;&gt;""),ABS(BO126-BP126)/ABS(BO126)*100,""),"")</f>
        <v/>
      </c>
      <c r="BR126" s="69" t="inlineStr">
        <is>
          <t>ND</t>
        </is>
      </c>
      <c r="BS126" s="67" t="n"/>
      <c r="BT126" s="67" t="n"/>
      <c r="BU126" s="71">
        <f>IFERROR(IF(AND(BS126&lt;&gt;"",BT126&lt;&gt;""),ABS(BS126-BT126)/ABS(BS126)*100,""),"")</f>
        <v/>
      </c>
      <c r="BV126" s="69" t="inlineStr">
        <is>
          <t>ND</t>
        </is>
      </c>
      <c r="BW126" s="67" t="n"/>
      <c r="BX126" s="67" t="n"/>
      <c r="BY126" s="71">
        <f>IFERROR(IF(AND(BW126&lt;&gt;"",BX126&lt;&gt;""),ABS(BW126-BX126)/ABS(BW126)*100,""),"")</f>
        <v/>
      </c>
      <c r="BZ126" s="69" t="inlineStr">
        <is>
          <t>ND</t>
        </is>
      </c>
      <c r="CA126" s="67" t="n">
        <v>2.8</v>
      </c>
      <c r="CB126" s="67" t="n"/>
      <c r="CC126" s="71">
        <f>IFERROR(IF(AND(CA126&lt;&gt;"",CB126&lt;&gt;""),ABS(CA126-CB126)/ABS(CA126)*100,""),"")</f>
        <v/>
      </c>
      <c r="CD126" s="69" t="inlineStr">
        <is>
          <t>Claude</t>
        </is>
      </c>
      <c r="CE126" s="67" t="n">
        <v>8.4</v>
      </c>
      <c r="CF126" s="67" t="n"/>
      <c r="CG126" s="71">
        <f>IFERROR(IF(AND(CE126&lt;&gt;"",CF126&lt;&gt;""),ABS(CE126-CF126)/ABS(CE126)*100,""),"")</f>
        <v/>
      </c>
      <c r="CH126" s="69" t="inlineStr">
        <is>
          <t>Claude</t>
        </is>
      </c>
      <c r="CI126" s="67" t="n">
        <v>2.6</v>
      </c>
      <c r="CJ126" s="67" t="n"/>
      <c r="CK126" s="71">
        <f>IFERROR(IF(AND(CI126&lt;&gt;"",CJ126&lt;&gt;""),ABS(CI126-CJ126)/ABS(CI126)*100,""),"")</f>
        <v/>
      </c>
      <c r="CL126" s="69" t="inlineStr">
        <is>
          <t>Claude</t>
        </is>
      </c>
      <c r="CM126" s="67" t="n"/>
      <c r="CN126" s="67" t="n"/>
      <c r="CO126" s="71">
        <f>IFERROR(IF(AND(CM126&lt;&gt;"",CN126&lt;&gt;""),ABS(CM126-CN126)/ABS(CM126)*100,""),"")</f>
        <v/>
      </c>
      <c r="CP126" s="69" t="inlineStr">
        <is>
          <t>ND</t>
        </is>
      </c>
      <c r="CQ126" s="67" t="n">
        <v>0.74</v>
      </c>
      <c r="CR126" s="67" t="n"/>
      <c r="CS126" s="71">
        <f>IFERROR(IF(AND(CQ126&lt;&gt;"",CR126&lt;&gt;""),ABS(CQ126-CR126)/ABS(CQ126)*100,""),"")</f>
        <v/>
      </c>
      <c r="CT126" s="69" t="inlineStr">
        <is>
          <t>Claude</t>
        </is>
      </c>
      <c r="CU126" s="67" t="n">
        <v>0</v>
      </c>
      <c r="CV126" s="67" t="n"/>
      <c r="CW126" s="71">
        <f>IFERROR(IF(AND(CU126&lt;&gt;"",CV126&lt;&gt;""),ABS(CU126-CV126)/ABS(CU126)*100,""),"")</f>
        <v/>
      </c>
      <c r="CX126" s="69" t="inlineStr">
        <is>
          <t>Claude</t>
        </is>
      </c>
      <c r="CY126" s="68" t="n"/>
      <c r="CZ126" s="68" t="n"/>
      <c r="DA126" s="71">
        <f>IFERROR(IF(AND(CY126&lt;&gt;"",CZ126&lt;&gt;""),ABS(CY126-CZ126)/ABS(CY126)*100,""),"")</f>
        <v/>
      </c>
      <c r="DB126" s="69" t="inlineStr">
        <is>
          <t>ND</t>
        </is>
      </c>
      <c r="DC126" s="68" t="n"/>
      <c r="DD126" s="68" t="n">
        <v>5</v>
      </c>
      <c r="DE126" s="71">
        <f>IFERROR(IF(AND(DC126&lt;&gt;"",DD126&lt;&gt;""),ABS(DC126-DD126)/ABS(DC126)*100,""),"")</f>
        <v/>
      </c>
      <c r="DF126" s="69" t="inlineStr">
        <is>
          <t>DeepSeek</t>
        </is>
      </c>
      <c r="DG126" s="68" t="n"/>
      <c r="DH126" s="68" t="n"/>
      <c r="DI126" s="71">
        <f>IFERROR(IF(AND(DG126&lt;&gt;"",DH126&lt;&gt;""),ABS(DG126-DH126)/ABS(DG126)*100,""),"")</f>
        <v/>
      </c>
      <c r="DJ126" s="69" t="inlineStr">
        <is>
          <t>ND</t>
        </is>
      </c>
      <c r="DK126" s="68" t="n"/>
      <c r="DL126" s="68" t="n"/>
      <c r="DM126" s="71">
        <f>IFERROR(IF(AND(DK126&lt;&gt;"",DL126&lt;&gt;""),ABS(DK126-DL126)/ABS(DK126)*100,""),"")</f>
        <v/>
      </c>
      <c r="DN126" s="69" t="inlineStr">
        <is>
          <t>ND</t>
        </is>
      </c>
      <c r="DO126" s="68" t="n"/>
      <c r="DP126" s="68" t="n"/>
      <c r="DQ126" s="71">
        <f>IFERROR(IF(AND(DO126&lt;&gt;"",DP126&lt;&gt;""),ABS(DO126-DP126)/ABS(DO126)*100,""),"")</f>
        <v/>
      </c>
      <c r="DR126" s="69" t="inlineStr">
        <is>
          <t>ND</t>
        </is>
      </c>
      <c r="DS126" s="68" t="n"/>
      <c r="DT126" s="68" t="n"/>
      <c r="DU126" s="71">
        <f>IFERROR(IF(AND(DS126&lt;&gt;"",DT126&lt;&gt;""),ABS(DS126-DT126)/ABS(DS126)*100,""),"")</f>
        <v/>
      </c>
      <c r="DV126" s="69" t="inlineStr">
        <is>
          <t>ND</t>
        </is>
      </c>
      <c r="DW126" s="70" t="inlineStr">
        <is>
          <t>Claude only (DeepSeek pending). Source=2023 report (more recent than 2020 report; 2020 report only had a forward-looking 'target' for LTIFR/Fatality, not actuals). Ind.11=0 (5 male directors, 2020 report only - 2023 report doesn't address 2020 for this indicator). Ind.19=2.8, Ind.20=8.4 (NEW), Ind.21=2.6 (proxy, NEW), Ind.23=0.74 (NEW actual, vs 2020 report's target-only 1.03), Ind.24=0 (confirmed actual, matches 2020 report's target).</t>
        </is>
      </c>
    </row>
    <row r="127" ht="15.75" customHeight="1" s="43">
      <c r="A127" s="62" t="n"/>
      <c r="B127" s="62" t="n"/>
      <c r="C127" s="62" t="inlineStr">
        <is>
          <t>Industrials</t>
        </is>
      </c>
      <c r="D127" s="62" t="inlineStr">
        <is>
          <t>2021</t>
        </is>
      </c>
      <c r="E127" s="63" t="inlineStr">
        <is>
          <t>HD Hyundai Electric 2023 report (only report covering 2021)</t>
        </is>
      </c>
      <c r="F127" s="62" t="n"/>
      <c r="G127" s="67" t="n">
        <v>2.7</v>
      </c>
      <c r="H127" s="67" t="n">
        <v>2.73</v>
      </c>
      <c r="I127" s="65">
        <f>IFERROR(IF(AND(G127&lt;&gt;"",H127&lt;&gt;""),ABS(G127-H127)/ABS(G127)*100,""),"")</f>
        <v/>
      </c>
      <c r="J127" s="62" t="inlineStr">
        <is>
          <t>Claude</t>
        </is>
      </c>
      <c r="K127" s="67" t="n"/>
      <c r="L127" s="67" t="n"/>
      <c r="M127" s="65">
        <f>IFERROR(IF(AND(K127&lt;&gt;"",L127&lt;&gt;""),ABS(K127-L127)/ABS(K127)*100,""),"")</f>
        <v/>
      </c>
      <c r="N127" s="62" t="inlineStr">
        <is>
          <t>ND</t>
        </is>
      </c>
      <c r="O127" s="67" t="n"/>
      <c r="P127" s="67" t="n"/>
      <c r="Q127" s="65">
        <f>IFERROR(IF(AND(O127&lt;&gt;"",P127&lt;&gt;""),ABS(O127-P127)/ABS(O127)*100,""),"")</f>
        <v/>
      </c>
      <c r="R127" s="62" t="inlineStr">
        <is>
          <t>ND</t>
        </is>
      </c>
      <c r="S127" s="64" t="n">
        <v>3</v>
      </c>
      <c r="T127" s="64" t="n">
        <v>1.74</v>
      </c>
      <c r="U127" s="65">
        <f>IFERROR(IF(AND(S127&lt;&gt;"",T127&lt;&gt;""),ABS(S127-T127)/ABS(S127)*100,""),"")</f>
        <v/>
      </c>
      <c r="V127" s="66" t="inlineStr">
        <is>
          <t>MANUAL FLAG</t>
        </is>
      </c>
      <c r="W127" s="67" t="n"/>
      <c r="X127" s="67" t="n"/>
      <c r="Y127" s="65">
        <f>IFERROR(IF(AND(W127&lt;&gt;"",X127&lt;&gt;""),ABS(W127-X127)/ABS(W127)*100,""),"")</f>
        <v/>
      </c>
      <c r="Z127" s="62" t="inlineStr">
        <is>
          <t>ND</t>
        </is>
      </c>
      <c r="AA127" s="67" t="n">
        <v>57.8</v>
      </c>
      <c r="AB127" s="67" t="n"/>
      <c r="AC127" s="65">
        <f>IFERROR(IF(AND(AA127&lt;&gt;"",AB127&lt;&gt;""),ABS(AA127-AB127)/ABS(AA127)*100,""),"")</f>
        <v/>
      </c>
      <c r="AD127" s="62" t="inlineStr">
        <is>
          <t>Claude</t>
        </is>
      </c>
      <c r="AE127" s="67" t="n"/>
      <c r="AF127" s="67" t="n"/>
      <c r="AG127" s="65">
        <f>IFERROR(IF(AND(AE127&lt;&gt;"",AF127&lt;&gt;""),ABS(AE127-AF127)/ABS(AE127)*100,""),"")</f>
        <v/>
      </c>
      <c r="AH127" s="62" t="inlineStr">
        <is>
          <t>ND</t>
        </is>
      </c>
      <c r="AI127" s="67" t="n"/>
      <c r="AJ127" s="67" t="n"/>
      <c r="AK127" s="65">
        <f>IFERROR(IF(AND(AI127&lt;&gt;"",AJ127&lt;&gt;""),ABS(AI127-AJ127)/ABS(AI127)*100,""),"")</f>
        <v/>
      </c>
      <c r="AL127" s="62" t="inlineStr">
        <is>
          <t>ND</t>
        </is>
      </c>
      <c r="AM127" s="67" t="n"/>
      <c r="AN127" s="67" t="n"/>
      <c r="AO127" s="65">
        <f>IFERROR(IF(AND(AM127&lt;&gt;"",AN127&lt;&gt;""),ABS(AM127-AN127)/ABS(AM127)*100,""),"")</f>
        <v/>
      </c>
      <c r="AP127" s="62" t="inlineStr">
        <is>
          <t>ND</t>
        </is>
      </c>
      <c r="AQ127" s="67" t="n"/>
      <c r="AR127" s="67" t="n"/>
      <c r="AS127" s="65">
        <f>IFERROR(IF(AND(AQ127&lt;&gt;"",AR127&lt;&gt;""),ABS(AQ127-AR127)/ABS(AQ127)*100,""),"")</f>
        <v/>
      </c>
      <c r="AT127" s="62" t="inlineStr">
        <is>
          <t>ND</t>
        </is>
      </c>
      <c r="AU127" s="67" t="n"/>
      <c r="AV127" s="67" t="n"/>
      <c r="AW127" s="65">
        <f>IFERROR(IF(AND(AU127&lt;&gt;"",AV127&lt;&gt;""),ABS(AU127-AV127)/ABS(AU127)*100,""),"")</f>
        <v/>
      </c>
      <c r="AX127" s="62" t="inlineStr">
        <is>
          <t>ND</t>
        </is>
      </c>
      <c r="AY127" s="67" t="n">
        <v>81000000</v>
      </c>
      <c r="AZ127" s="67" t="n"/>
      <c r="BA127" s="65">
        <f>IFERROR(IF(AND(AY127&lt;&gt;"",AZ127&lt;&gt;""),ABS(AY127-AZ127)/ABS(AY127)*100,""),"")</f>
        <v/>
      </c>
      <c r="BB127" s="62" t="inlineStr">
        <is>
          <t>Claude</t>
        </is>
      </c>
      <c r="BC127" s="67" t="n">
        <v>37.6</v>
      </c>
      <c r="BD127" s="67" t="n"/>
      <c r="BE127" s="65">
        <f>IFERROR(IF(AND(BC127&lt;&gt;"",BD127&lt;&gt;""),ABS(BC127-BD127)/ABS(BC127)*100,""),"")</f>
        <v/>
      </c>
      <c r="BF127" s="62" t="inlineStr">
        <is>
          <t>Claude</t>
        </is>
      </c>
      <c r="BG127" s="67" t="n">
        <v>366600</v>
      </c>
      <c r="BH127" s="67" t="n">
        <v>366600</v>
      </c>
      <c r="BI127" s="65">
        <f>IFERROR(IF(AND(BG127&lt;&gt;"",BH127&lt;&gt;""),ABS(BG127-BH127)/ABS(BG127)*100,""),"")</f>
        <v/>
      </c>
      <c r="BJ127" s="62" t="inlineStr">
        <is>
          <t>Claude</t>
        </is>
      </c>
      <c r="BK127" s="67" t="n">
        <v>6.09</v>
      </c>
      <c r="BL127" s="67" t="n">
        <v>6.09</v>
      </c>
      <c r="BM127" s="65">
        <f>IFERROR(IF(AND(BK127&lt;&gt;"",BL127&lt;&gt;""),ABS(BK127-BL127)/ABS(BK127)*100,""),"")</f>
        <v/>
      </c>
      <c r="BN127" s="62" t="inlineStr">
        <is>
          <t>Claude</t>
        </is>
      </c>
      <c r="BO127" s="67" t="n">
        <v>5</v>
      </c>
      <c r="BP127" s="67" t="n">
        <v>5</v>
      </c>
      <c r="BQ127" s="65">
        <f>IFERROR(IF(AND(BO127&lt;&gt;"",BP127&lt;&gt;""),ABS(BO127-BP127)/ABS(BO127)*100,""),"")</f>
        <v/>
      </c>
      <c r="BR127" s="62" t="inlineStr">
        <is>
          <t>Claude</t>
        </is>
      </c>
      <c r="BS127" s="67" t="n">
        <v>20</v>
      </c>
      <c r="BT127" s="67" t="n">
        <v>20</v>
      </c>
      <c r="BU127" s="65">
        <f>IFERROR(IF(AND(BS127&lt;&gt;"",BT127&lt;&gt;""),ABS(BS127-BT127)/ABS(BS127)*100,""),"")</f>
        <v/>
      </c>
      <c r="BV127" s="62" t="inlineStr">
        <is>
          <t>Claude</t>
        </is>
      </c>
      <c r="BW127" s="67" t="n"/>
      <c r="BX127" s="67" t="n">
        <v>100</v>
      </c>
      <c r="BY127" s="65">
        <f>IFERROR(IF(AND(BW127&lt;&gt;"",BX127&lt;&gt;""),ABS(BW127-BX127)/ABS(BW127)*100,""),"")</f>
        <v/>
      </c>
      <c r="BZ127" s="62" t="inlineStr">
        <is>
          <t>DeepSeek</t>
        </is>
      </c>
      <c r="CA127" s="67" t="n">
        <v>3.7</v>
      </c>
      <c r="CB127" s="67" t="n"/>
      <c r="CC127" s="65">
        <f>IFERROR(IF(AND(CA127&lt;&gt;"",CB127&lt;&gt;""),ABS(CA127-CB127)/ABS(CA127)*100,""),"")</f>
        <v/>
      </c>
      <c r="CD127" s="62" t="inlineStr">
        <is>
          <t>Claude</t>
        </is>
      </c>
      <c r="CE127" s="67" t="n">
        <v>1</v>
      </c>
      <c r="CF127" s="67" t="n"/>
      <c r="CG127" s="65">
        <f>IFERROR(IF(AND(CE127&lt;&gt;"",CF127&lt;&gt;""),ABS(CE127-CF127)/ABS(CE127)*100,""),"")</f>
        <v/>
      </c>
      <c r="CH127" s="62" t="inlineStr">
        <is>
          <t>Claude</t>
        </is>
      </c>
      <c r="CI127" s="67" t="n">
        <v>1.7</v>
      </c>
      <c r="CJ127" s="67" t="n"/>
      <c r="CK127" s="65">
        <f>IFERROR(IF(AND(CI127&lt;&gt;"",CJ127&lt;&gt;""),ABS(CI127-CJ127)/ABS(CI127)*100,""),"")</f>
        <v/>
      </c>
      <c r="CL127" s="62" t="inlineStr">
        <is>
          <t>Claude</t>
        </is>
      </c>
      <c r="CM127" s="67" t="n">
        <v>91.2</v>
      </c>
      <c r="CN127" s="67" t="n">
        <v>91.2</v>
      </c>
      <c r="CO127" s="65">
        <f>IFERROR(IF(AND(CM127&lt;&gt;"",CN127&lt;&gt;""),ABS(CM127-CN127)/ABS(CM127)*100,""),"")</f>
        <v/>
      </c>
      <c r="CP127" s="62" t="inlineStr">
        <is>
          <t>Claude</t>
        </is>
      </c>
      <c r="CQ127" s="67" t="n">
        <v>0.72</v>
      </c>
      <c r="CR127" s="67" t="n">
        <v>0.72</v>
      </c>
      <c r="CS127" s="65">
        <f>IFERROR(IF(AND(CQ127&lt;&gt;"",CR127&lt;&gt;""),ABS(CQ127-CR127)/ABS(CQ127)*100,""),"")</f>
        <v/>
      </c>
      <c r="CT127" s="62" t="inlineStr">
        <is>
          <t>Claude</t>
        </is>
      </c>
      <c r="CU127" s="67" t="n">
        <v>0</v>
      </c>
      <c r="CV127" s="67" t="n">
        <v>0</v>
      </c>
      <c r="CW127" s="65">
        <f>IFERROR(IF(AND(CU127&lt;&gt;"",CV127&lt;&gt;""),ABS(CU127-CV127)/ABS(CU127)*100,""),"")</f>
        <v/>
      </c>
      <c r="CX127" s="62" t="inlineStr">
        <is>
          <t>Claude</t>
        </is>
      </c>
      <c r="CY127" s="68" t="n"/>
      <c r="CZ127" s="68" t="n"/>
      <c r="DA127" s="65">
        <f>IFERROR(IF(AND(CY127&lt;&gt;"",CZ127&lt;&gt;""),ABS(CY127-CZ127)/ABS(CY127)*100,""),"")</f>
        <v/>
      </c>
      <c r="DB127" s="62" t="inlineStr">
        <is>
          <t>ND</t>
        </is>
      </c>
      <c r="DC127" s="68" t="n"/>
      <c r="DD127" s="68" t="n"/>
      <c r="DE127" s="65">
        <f>IFERROR(IF(AND(DC127&lt;&gt;"",DD127&lt;&gt;""),ABS(DC127-DD127)/ABS(DC127)*100,""),"")</f>
        <v/>
      </c>
      <c r="DF127" s="62" t="inlineStr">
        <is>
          <t>ND</t>
        </is>
      </c>
      <c r="DG127" s="68" t="n"/>
      <c r="DH127" s="68" t="n"/>
      <c r="DI127" s="65">
        <f>IFERROR(IF(AND(DG127&lt;&gt;"",DH127&lt;&gt;""),ABS(DG127-DH127)/ABS(DG127)*100,""),"")</f>
        <v/>
      </c>
      <c r="DJ127" s="62" t="inlineStr">
        <is>
          <t>ND</t>
        </is>
      </c>
      <c r="DK127" s="68" t="n"/>
      <c r="DL127" s="68" t="n"/>
      <c r="DM127" s="65">
        <f>IFERROR(IF(AND(DK127&lt;&gt;"",DL127&lt;&gt;""),ABS(DK127-DL127)/ABS(DK127)*100,""),"")</f>
        <v/>
      </c>
      <c r="DN127" s="62" t="inlineStr">
        <is>
          <t>ND</t>
        </is>
      </c>
      <c r="DO127" s="68" t="n"/>
      <c r="DP127" s="68" t="n"/>
      <c r="DQ127" s="65">
        <f>IFERROR(IF(AND(DO127&lt;&gt;"",DP127&lt;&gt;""),ABS(DO127-DP127)/ABS(DO127)*100,""),"")</f>
        <v/>
      </c>
      <c r="DR127" s="62" t="inlineStr">
        <is>
          <t>ND</t>
        </is>
      </c>
      <c r="DS127" s="68" t="n"/>
      <c r="DT127" s="68" t="n"/>
      <c r="DU127" s="65">
        <f>IFERROR(IF(AND(DS127&lt;&gt;"",DT127&lt;&gt;""),ABS(DS127-DT127)/ABS(DS127)*100,""),"")</f>
        <v/>
      </c>
      <c r="DV127" s="62" t="inlineStr">
        <is>
          <t>ND</t>
        </is>
      </c>
      <c r="DW127" s="63" t="inlineStr">
        <is>
          <t>Claude only (DeepSeek pending). Source=2023 report, only report covering 2021 (2025 report shows na for 2021 - zero data anywhere for this year per its own note). Ind.7/8=ND (disabled headcount=27, foreign headcount=1; no total workforce given). Ind.9=2.2, PROXY (company's own 'management' category broader than middle manager, includes executive track). Ind.10=0.0. Ind.18=ND: gendered breakdown only (M=90.9%/F=100%), no blended figure - recorded for reference. **NOTE: the 2025 report later retracts Ind.9/10 for this exact year to 'na' (see 2022 note) despite this 2023 report having confident values.** || DEEPSEEK RECONCILIATION - MANUAL FLAGS: Ind.4 (New Hire Rate): Claude=3, DeepSeek=1.74, Diff=42.0%</t>
        </is>
      </c>
    </row>
    <row r="128" ht="15.75" customHeight="1" s="43">
      <c r="A128" s="69" t="n"/>
      <c r="B128" s="69" t="n"/>
      <c r="C128" s="69" t="inlineStr">
        <is>
          <t>Industrials</t>
        </is>
      </c>
      <c r="D128" s="69" t="inlineStr">
        <is>
          <t>2022</t>
        </is>
      </c>
      <c r="E128" s="70" t="inlineStr">
        <is>
          <t>HD_HYUNDAI_ELECTRIC_2025.pdf (most recent covering 2022, footnote-only data)</t>
        </is>
      </c>
      <c r="F128" s="69" t="n"/>
      <c r="G128" s="67" t="n"/>
      <c r="H128" s="67" t="n">
        <v>6</v>
      </c>
      <c r="I128" s="71">
        <f>IFERROR(IF(AND(G128&lt;&gt;"",H128&lt;&gt;""),ABS(G128-H128)/ABS(G128)*100,""),"")</f>
        <v/>
      </c>
      <c r="J128" s="69" t="inlineStr">
        <is>
          <t>DeepSeek</t>
        </is>
      </c>
      <c r="K128" s="67" t="n"/>
      <c r="L128" s="67" t="n"/>
      <c r="M128" s="71">
        <f>IFERROR(IF(AND(K128&lt;&gt;"",L128&lt;&gt;""),ABS(K128-L128)/ABS(K128)*100,""),"")</f>
        <v/>
      </c>
      <c r="N128" s="69" t="inlineStr">
        <is>
          <t>ND</t>
        </is>
      </c>
      <c r="O128" s="67" t="n"/>
      <c r="P128" s="67" t="n"/>
      <c r="Q128" s="71">
        <f>IFERROR(IF(AND(O128&lt;&gt;"",P128&lt;&gt;""),ABS(O128-P128)/ABS(O128)*100,""),"")</f>
        <v/>
      </c>
      <c r="R128" s="69" t="inlineStr">
        <is>
          <t>ND</t>
        </is>
      </c>
      <c r="S128" s="67" t="n"/>
      <c r="T128" s="67" t="n">
        <v>1.01</v>
      </c>
      <c r="U128" s="71">
        <f>IFERROR(IF(AND(S128&lt;&gt;"",T128&lt;&gt;""),ABS(S128-T128)/ABS(S128)*100,""),"")</f>
        <v/>
      </c>
      <c r="V128" s="69" t="inlineStr">
        <is>
          <t>DeepSeek</t>
        </is>
      </c>
      <c r="W128" s="67" t="n"/>
      <c r="X128" s="67" t="n"/>
      <c r="Y128" s="71">
        <f>IFERROR(IF(AND(W128&lt;&gt;"",X128&lt;&gt;""),ABS(W128-X128)/ABS(W128)*100,""),"")</f>
        <v/>
      </c>
      <c r="Z128" s="69" t="inlineStr">
        <is>
          <t>ND</t>
        </is>
      </c>
      <c r="AA128" s="67" t="n"/>
      <c r="AB128" s="67" t="n"/>
      <c r="AC128" s="71">
        <f>IFERROR(IF(AND(AA128&lt;&gt;"",AB128&lt;&gt;""),ABS(AA128-AB128)/ABS(AA128)*100,""),"")</f>
        <v/>
      </c>
      <c r="AD128" s="69" t="inlineStr">
        <is>
          <t>ND</t>
        </is>
      </c>
      <c r="AE128" s="67" t="n"/>
      <c r="AF128" s="67" t="n"/>
      <c r="AG128" s="71">
        <f>IFERROR(IF(AND(AE128&lt;&gt;"",AF128&lt;&gt;""),ABS(AE128-AF128)/ABS(AE128)*100,""),"")</f>
        <v/>
      </c>
      <c r="AH128" s="69" t="inlineStr">
        <is>
          <t>ND</t>
        </is>
      </c>
      <c r="AI128" s="67" t="n"/>
      <c r="AJ128" s="67" t="n"/>
      <c r="AK128" s="71">
        <f>IFERROR(IF(AND(AI128&lt;&gt;"",AJ128&lt;&gt;""),ABS(AI128-AJ128)/ABS(AI128)*100,""),"")</f>
        <v/>
      </c>
      <c r="AL128" s="69" t="inlineStr">
        <is>
          <t>ND</t>
        </is>
      </c>
      <c r="AM128" s="67" t="n"/>
      <c r="AN128" s="67" t="n"/>
      <c r="AO128" s="71">
        <f>IFERROR(IF(AND(AM128&lt;&gt;"",AN128&lt;&gt;""),ABS(AM128-AN128)/ABS(AM128)*100,""),"")</f>
        <v/>
      </c>
      <c r="AP128" s="69" t="inlineStr">
        <is>
          <t>ND</t>
        </is>
      </c>
      <c r="AQ128" s="67" t="n"/>
      <c r="AR128" s="67" t="n"/>
      <c r="AS128" s="71">
        <f>IFERROR(IF(AND(AQ128&lt;&gt;"",AR128&lt;&gt;""),ABS(AQ128-AR128)/ABS(AQ128)*100,""),"")</f>
        <v/>
      </c>
      <c r="AT128" s="69" t="inlineStr">
        <is>
          <t>ND</t>
        </is>
      </c>
      <c r="AU128" s="67" t="n"/>
      <c r="AV128" s="67" t="n"/>
      <c r="AW128" s="71">
        <f>IFERROR(IF(AND(AU128&lt;&gt;"",AV128&lt;&gt;""),ABS(AU128-AV128)/ABS(AU128)*100,""),"")</f>
        <v/>
      </c>
      <c r="AX128" s="69" t="inlineStr">
        <is>
          <t>ND</t>
        </is>
      </c>
      <c r="AY128" s="67" t="n"/>
      <c r="AZ128" s="67" t="n"/>
      <c r="BA128" s="71">
        <f>IFERROR(IF(AND(AY128&lt;&gt;"",AZ128&lt;&gt;""),ABS(AY128-AZ128)/ABS(AY128)*100,""),"")</f>
        <v/>
      </c>
      <c r="BB128" s="69" t="inlineStr">
        <is>
          <t>ND</t>
        </is>
      </c>
      <c r="BC128" s="67" t="n"/>
      <c r="BD128" s="67" t="n"/>
      <c r="BE128" s="71">
        <f>IFERROR(IF(AND(BC128&lt;&gt;"",BD128&lt;&gt;""),ABS(BC128-BD128)/ABS(BC128)*100,""),"")</f>
        <v/>
      </c>
      <c r="BF128" s="69" t="inlineStr">
        <is>
          <t>ND</t>
        </is>
      </c>
      <c r="BG128" s="67" t="n"/>
      <c r="BH128" s="67" t="n">
        <v>280600</v>
      </c>
      <c r="BI128" s="71">
        <f>IFERROR(IF(AND(BG128&lt;&gt;"",BH128&lt;&gt;""),ABS(BG128-BH128)/ABS(BG128)*100,""),"")</f>
        <v/>
      </c>
      <c r="BJ128" s="69" t="inlineStr">
        <is>
          <t>DeepSeek</t>
        </is>
      </c>
      <c r="BK128" s="67" t="n"/>
      <c r="BL128" s="67" t="n">
        <v>8.300000000000001</v>
      </c>
      <c r="BM128" s="71">
        <f>IFERROR(IF(AND(BK128&lt;&gt;"",BL128&lt;&gt;""),ABS(BK128-BL128)/ABS(BK128)*100,""),"")</f>
        <v/>
      </c>
      <c r="BN128" s="69" t="inlineStr">
        <is>
          <t>DeepSeek</t>
        </is>
      </c>
      <c r="BO128" s="67" t="n"/>
      <c r="BP128" s="67" t="n">
        <v>2</v>
      </c>
      <c r="BQ128" s="71">
        <f>IFERROR(IF(AND(BO128&lt;&gt;"",BP128&lt;&gt;""),ABS(BO128-BP128)/ABS(BO128)*100,""),"")</f>
        <v/>
      </c>
      <c r="BR128" s="69" t="inlineStr">
        <is>
          <t>DeepSeek</t>
        </is>
      </c>
      <c r="BS128" s="67" t="n"/>
      <c r="BT128" s="67" t="n">
        <v>16</v>
      </c>
      <c r="BU128" s="71">
        <f>IFERROR(IF(AND(BS128&lt;&gt;"",BT128&lt;&gt;""),ABS(BS128-BT128)/ABS(BS128)*100,""),"")</f>
        <v/>
      </c>
      <c r="BV128" s="69" t="inlineStr">
        <is>
          <t>DeepSeek</t>
        </is>
      </c>
      <c r="BW128" s="67" t="n"/>
      <c r="BX128" s="67" t="n">
        <v>100</v>
      </c>
      <c r="BY128" s="71">
        <f>IFERROR(IF(AND(BW128&lt;&gt;"",BX128&lt;&gt;""),ABS(BW128-BX128)/ABS(BW128)*100,""),"")</f>
        <v/>
      </c>
      <c r="BZ128" s="69" t="inlineStr">
        <is>
          <t>DeepSeek</t>
        </is>
      </c>
      <c r="CA128" s="67" t="n"/>
      <c r="CB128" s="67" t="n"/>
      <c r="CC128" s="71">
        <f>IFERROR(IF(AND(CA128&lt;&gt;"",CB128&lt;&gt;""),ABS(CA128-CB128)/ABS(CA128)*100,""),"")</f>
        <v/>
      </c>
      <c r="CD128" s="69" t="inlineStr">
        <is>
          <t>ND</t>
        </is>
      </c>
      <c r="CE128" s="67" t="n">
        <v>1.07</v>
      </c>
      <c r="CF128" s="67" t="n"/>
      <c r="CG128" s="71">
        <f>IFERROR(IF(AND(CE128&lt;&gt;"",CF128&lt;&gt;""),ABS(CE128-CF128)/ABS(CE128)*100,""),"")</f>
        <v/>
      </c>
      <c r="CH128" s="69" t="inlineStr">
        <is>
          <t>Claude</t>
        </is>
      </c>
      <c r="CI128" s="67" t="n">
        <v>4.26</v>
      </c>
      <c r="CJ128" s="67" t="n"/>
      <c r="CK128" s="71">
        <f>IFERROR(IF(AND(CI128&lt;&gt;"",CJ128&lt;&gt;""),ABS(CI128-CJ128)/ABS(CI128)*100,""),"")</f>
        <v/>
      </c>
      <c r="CL128" s="69" t="inlineStr">
        <is>
          <t>Claude</t>
        </is>
      </c>
      <c r="CM128" s="67" t="n"/>
      <c r="CN128" s="67" t="n">
        <v>83.59999999999999</v>
      </c>
      <c r="CO128" s="71">
        <f>IFERROR(IF(AND(CM128&lt;&gt;"",CN128&lt;&gt;""),ABS(CM128-CN128)/ABS(CM128)*100,""),"")</f>
        <v/>
      </c>
      <c r="CP128" s="69" t="inlineStr">
        <is>
          <t>DeepSeek</t>
        </is>
      </c>
      <c r="CQ128" s="64" t="n">
        <v>1.977</v>
      </c>
      <c r="CR128" s="64" t="n">
        <v>0.66</v>
      </c>
      <c r="CS128" s="71">
        <f>IFERROR(IF(AND(CQ128&lt;&gt;"",CR128&lt;&gt;""),ABS(CQ128-CR128)/ABS(CQ128)*100,""),"")</f>
        <v/>
      </c>
      <c r="CT128" s="66" t="inlineStr">
        <is>
          <t>MANUAL FLAG</t>
        </is>
      </c>
      <c r="CU128" s="67" t="n">
        <v>0</v>
      </c>
      <c r="CV128" s="67" t="n">
        <v>0</v>
      </c>
      <c r="CW128" s="71">
        <f>IFERROR(IF(AND(CU128&lt;&gt;"",CV128&lt;&gt;""),ABS(CU128-CV128)/ABS(CU128)*100,""),"")</f>
        <v/>
      </c>
      <c r="CX128" s="69" t="inlineStr">
        <is>
          <t>Claude</t>
        </is>
      </c>
      <c r="CY128" s="68" t="n"/>
      <c r="CZ128" s="68" t="n"/>
      <c r="DA128" s="71">
        <f>IFERROR(IF(AND(CY128&lt;&gt;"",CZ128&lt;&gt;""),ABS(CY128-CZ128)/ABS(CY128)*100,""),"")</f>
        <v/>
      </c>
      <c r="DB128" s="69" t="inlineStr">
        <is>
          <t>ND</t>
        </is>
      </c>
      <c r="DC128" s="68" t="n"/>
      <c r="DD128" s="68" t="n"/>
      <c r="DE128" s="71">
        <f>IFERROR(IF(AND(DC128&lt;&gt;"",DD128&lt;&gt;""),ABS(DC128-DD128)/ABS(DC128)*100,""),"")</f>
        <v/>
      </c>
      <c r="DF128" s="69" t="inlineStr">
        <is>
          <t>ND</t>
        </is>
      </c>
      <c r="DG128" s="68" t="n"/>
      <c r="DH128" s="68" t="n"/>
      <c r="DI128" s="71">
        <f>IFERROR(IF(AND(DG128&lt;&gt;"",DH128&lt;&gt;""),ABS(DG128-DH128)/ABS(DG128)*100,""),"")</f>
        <v/>
      </c>
      <c r="DJ128" s="69" t="inlineStr">
        <is>
          <t>ND</t>
        </is>
      </c>
      <c r="DK128" s="68" t="n"/>
      <c r="DL128" s="68" t="n"/>
      <c r="DM128" s="71">
        <f>IFERROR(IF(AND(DK128&lt;&gt;"",DL128&lt;&gt;""),ABS(DK128-DL128)/ABS(DK128)*100,""),"")</f>
        <v/>
      </c>
      <c r="DN128" s="69" t="inlineStr">
        <is>
          <t>ND</t>
        </is>
      </c>
      <c r="DO128" s="68" t="n"/>
      <c r="DP128" s="68" t="n"/>
      <c r="DQ128" s="71">
        <f>IFERROR(IF(AND(DO128&lt;&gt;"",DP128&lt;&gt;""),ABS(DO128-DP128)/ABS(DO128)*100,""),"")</f>
        <v/>
      </c>
      <c r="DR128" s="69" t="inlineStr">
        <is>
          <t>ND</t>
        </is>
      </c>
      <c r="DS128" s="68" t="n"/>
      <c r="DT128" s="68" t="n"/>
      <c r="DU128" s="71">
        <f>IFERROR(IF(AND(DS128&lt;&gt;"",DT128&lt;&gt;""),ABS(DS128-DT128)/ABS(DS128)*100,""),"")</f>
        <v/>
      </c>
      <c r="DV128" s="69" t="inlineStr">
        <is>
          <t>ND</t>
        </is>
      </c>
      <c r="DW128" s="70" t="inlineStr">
        <is>
          <t>Claude only (DeepSeek pending). Source=2025 report (most recent; 2022 is largely a data desert in this edition except scattered footnotes for a handful of metrics - which is exactly what's populated here). **MAJOR CONFLICTS vs the 2023 report's 2022 values: Ind.20 (Voluntary Turnover)=1.07 vs 2023 report's 4.9 (~4.5x lower); Ind.21 (Involuntary Turnover, proxy)=4.26 vs 2023 report's 3.4; Ind.23 (LTIFR)=1.977 vs 2023 report's 0.66 (~3x HIGHER).** These are large enough discrepancies that I'd recommend a manual source-PDF check before trusting either report's 2022 figures. Ind.1/2/3/4/6/8/9/10/11/12/13/14/15/16/17/18/22/27 are all RETRACTED to 'na' this edition (2023 report had confident values for most of these) - the 2025 report simply doesn't address 2022 for these metrics at all, a genuine data gap rather than a contradiction. Ind.24=0, matches (confirmed). || DEEPSEEK RECONCILIATION - MANUAL FLAGS: Ind.23 (LTIFR): Claude=1.977, DeepSeek=0.66, Diff=66.6% || NOTE: Ind.23 (LTIFR) continues to be THE MOST UNRELIABLE indicator for this company across every extraction attempt - Claude's own two report editions disagreed by ~3x (0.66 vs 1.977 for 2022), and now DeepSeek adds a third independent value that agrees with the LOWER Claude figure. This indicator has effectively 3 different values across sources for overlapping years - strongly recommend manual source verification before using LTIFR for this company in any analysis.</t>
        </is>
      </c>
    </row>
    <row r="129" ht="15.75" customHeight="1" s="43">
      <c r="A129" s="62" t="n"/>
      <c r="B129" s="62" t="n"/>
      <c r="C129" s="62" t="inlineStr">
        <is>
          <t>Industrials</t>
        </is>
      </c>
      <c r="D129" s="62" t="inlineStr">
        <is>
          <t>2023</t>
        </is>
      </c>
      <c r="E129" s="63" t="inlineStr">
        <is>
          <t>HD_HYUNDAI_ELECTRIC_2025.pdf (most recent covering 2023)</t>
        </is>
      </c>
      <c r="F129" s="62" t="n"/>
      <c r="G129" s="64" t="n">
        <v>5.41</v>
      </c>
      <c r="H129" s="64" t="n">
        <v>6.12</v>
      </c>
      <c r="I129" s="65">
        <f>IFERROR(IF(AND(G129&lt;&gt;"",H129&lt;&gt;""),ABS(G129-H129)/ABS(G129)*100,""),"")</f>
        <v/>
      </c>
      <c r="J129" s="66" t="inlineStr">
        <is>
          <t>MANUAL FLAG</t>
        </is>
      </c>
      <c r="K129" s="64" t="n">
        <v>6.49</v>
      </c>
      <c r="L129" s="64" t="n">
        <v>7.57</v>
      </c>
      <c r="M129" s="65">
        <f>IFERROR(IF(AND(K129&lt;&gt;"",L129&lt;&gt;""),ABS(K129-L129)/ABS(K129)*100,""),"")</f>
        <v/>
      </c>
      <c r="N129" s="66" t="inlineStr">
        <is>
          <t>MANUAL FLAG</t>
        </is>
      </c>
      <c r="O129" s="67" t="n">
        <v>32.17</v>
      </c>
      <c r="P129" s="67" t="n"/>
      <c r="Q129" s="65">
        <f>IFERROR(IF(AND(O129&lt;&gt;"",P129&lt;&gt;""),ABS(O129-P129)/ABS(O129)*100,""),"")</f>
        <v/>
      </c>
      <c r="R129" s="62" t="inlineStr">
        <is>
          <t>Claude</t>
        </is>
      </c>
      <c r="S129" s="67" t="n">
        <v>4.09</v>
      </c>
      <c r="T129" s="67" t="n">
        <v>4.09</v>
      </c>
      <c r="U129" s="65">
        <f>IFERROR(IF(AND(S129&lt;&gt;"",T129&lt;&gt;""),ABS(S129-T129)/ABS(S129)*100,""),"")</f>
        <v/>
      </c>
      <c r="V129" s="62" t="inlineStr">
        <is>
          <t>Claude</t>
        </is>
      </c>
      <c r="W129" s="67" t="n"/>
      <c r="X129" s="67" t="n"/>
      <c r="Y129" s="65">
        <f>IFERROR(IF(AND(W129&lt;&gt;"",X129&lt;&gt;""),ABS(W129-X129)/ABS(W129)*100,""),"")</f>
        <v/>
      </c>
      <c r="Z129" s="62" t="inlineStr">
        <is>
          <t>ND</t>
        </is>
      </c>
      <c r="AA129" s="67" t="n">
        <v>10.98</v>
      </c>
      <c r="AB129" s="67" t="n">
        <v>10.98</v>
      </c>
      <c r="AC129" s="65">
        <f>IFERROR(IF(AND(AA129&lt;&gt;"",AB129&lt;&gt;""),ABS(AA129-AB129)/ABS(AA129)*100,""),"")</f>
        <v/>
      </c>
      <c r="AD129" s="62" t="inlineStr">
        <is>
          <t>Claude</t>
        </is>
      </c>
      <c r="AE129" s="67" t="n"/>
      <c r="AF129" s="67" t="n"/>
      <c r="AG129" s="65">
        <f>IFERROR(IF(AND(AE129&lt;&gt;"",AF129&lt;&gt;""),ABS(AE129-AF129)/ABS(AE129)*100,""),"")</f>
        <v/>
      </c>
      <c r="AH129" s="62" t="inlineStr">
        <is>
          <t>ND</t>
        </is>
      </c>
      <c r="AI129" s="67" t="n"/>
      <c r="AJ129" s="67" t="n">
        <v>0</v>
      </c>
      <c r="AK129" s="65">
        <f>IFERROR(IF(AND(AI129&lt;&gt;"",AJ129&lt;&gt;""),ABS(AI129-AJ129)/ABS(AI129)*100,""),"")</f>
        <v/>
      </c>
      <c r="AL129" s="62" t="inlineStr">
        <is>
          <t>DeepSeek</t>
        </is>
      </c>
      <c r="AM129" s="67" t="n">
        <v>1.22</v>
      </c>
      <c r="AN129" s="67" t="n"/>
      <c r="AO129" s="65">
        <f>IFERROR(IF(AND(AM129&lt;&gt;"",AN129&lt;&gt;""),ABS(AM129-AN129)/ABS(AM129)*100,""),"")</f>
        <v/>
      </c>
      <c r="AP129" s="62" t="inlineStr">
        <is>
          <t>Claude</t>
        </is>
      </c>
      <c r="AQ129" s="67" t="n">
        <v>0</v>
      </c>
      <c r="AR129" s="67" t="n"/>
      <c r="AS129" s="65">
        <f>IFERROR(IF(AND(AQ129&lt;&gt;"",AR129&lt;&gt;""),ABS(AQ129-AR129)/ABS(AQ129)*100,""),"")</f>
        <v/>
      </c>
      <c r="AT129" s="62" t="inlineStr">
        <is>
          <t>Claude</t>
        </is>
      </c>
      <c r="AU129" s="67" t="n">
        <v>20</v>
      </c>
      <c r="AV129" s="67" t="n">
        <v>20</v>
      </c>
      <c r="AW129" s="65">
        <f>IFERROR(IF(AND(AU129&lt;&gt;"",AV129&lt;&gt;""),ABS(AU129-AV129)/ABS(AU129)*100,""),"")</f>
        <v/>
      </c>
      <c r="AX129" s="62" t="inlineStr">
        <is>
          <t>Claude</t>
        </is>
      </c>
      <c r="AY129" s="67" t="n">
        <v>110000000</v>
      </c>
      <c r="AZ129" s="67" t="n">
        <v>110000000</v>
      </c>
      <c r="BA129" s="65">
        <f>IFERROR(IF(AND(AY129&lt;&gt;"",AZ129&lt;&gt;""),ABS(AY129-AZ129)/ABS(AY129)*100,""),"")</f>
        <v/>
      </c>
      <c r="BB129" s="62" t="inlineStr">
        <is>
          <t>Claude</t>
        </is>
      </c>
      <c r="BC129" s="64" t="n">
        <v>30.97</v>
      </c>
      <c r="BD129" s="64" t="n">
        <v>24.78</v>
      </c>
      <c r="BE129" s="65">
        <f>IFERROR(IF(AND(BC129&lt;&gt;"",BD129&lt;&gt;""),ABS(BC129-BD129)/ABS(BC129)*100,""),"")</f>
        <v/>
      </c>
      <c r="BF129" s="66" t="inlineStr">
        <is>
          <t>MANUAL FLAG</t>
        </is>
      </c>
      <c r="BG129" s="67" t="n">
        <v>232000</v>
      </c>
      <c r="BH129" s="67" t="n">
        <v>232000</v>
      </c>
      <c r="BI129" s="65">
        <f>IFERROR(IF(AND(BG129&lt;&gt;"",BH129&lt;&gt;""),ABS(BG129-BH129)/ABS(BG129)*100,""),"")</f>
        <v/>
      </c>
      <c r="BJ129" s="62" t="inlineStr">
        <is>
          <t>Claude</t>
        </is>
      </c>
      <c r="BK129" s="67" t="n">
        <v>11.35</v>
      </c>
      <c r="BL129" s="67" t="n">
        <v>11.35</v>
      </c>
      <c r="BM129" s="65">
        <f>IFERROR(IF(AND(BK129&lt;&gt;"",BL129&lt;&gt;""),ABS(BK129-BL129)/ABS(BK129)*100,""),"")</f>
        <v/>
      </c>
      <c r="BN129" s="62" t="inlineStr">
        <is>
          <t>Claude</t>
        </is>
      </c>
      <c r="BO129" s="67" t="n">
        <v>3</v>
      </c>
      <c r="BP129" s="67" t="n">
        <v>3</v>
      </c>
      <c r="BQ129" s="65">
        <f>IFERROR(IF(AND(BO129&lt;&gt;"",BP129&lt;&gt;""),ABS(BO129-BP129)/ABS(BO129)*100,""),"")</f>
        <v/>
      </c>
      <c r="BR129" s="62" t="inlineStr">
        <is>
          <t>Claude</t>
        </is>
      </c>
      <c r="BS129" s="67" t="n">
        <v>4</v>
      </c>
      <c r="BT129" s="67" t="n">
        <v>4</v>
      </c>
      <c r="BU129" s="65">
        <f>IFERROR(IF(AND(BS129&lt;&gt;"",BT129&lt;&gt;""),ABS(BS129-BT129)/ABS(BS129)*100,""),"")</f>
        <v/>
      </c>
      <c r="BV129" s="62" t="inlineStr">
        <is>
          <t>Claude</t>
        </is>
      </c>
      <c r="BW129" s="67" t="n"/>
      <c r="BX129" s="67" t="n"/>
      <c r="BY129" s="65">
        <f>IFERROR(IF(AND(BW129&lt;&gt;"",BX129&lt;&gt;""),ABS(BW129-BX129)/ABS(BW129)*100,""),"")</f>
        <v/>
      </c>
      <c r="BZ129" s="62" t="inlineStr">
        <is>
          <t>ND</t>
        </is>
      </c>
      <c r="CA129" s="67" t="n">
        <v>4.7</v>
      </c>
      <c r="CB129" s="67" t="n">
        <v>4.7</v>
      </c>
      <c r="CC129" s="65">
        <f>IFERROR(IF(AND(CA129&lt;&gt;"",CB129&lt;&gt;""),ABS(CA129-CB129)/ABS(CA129)*100,""),"")</f>
        <v/>
      </c>
      <c r="CD129" s="62" t="inlineStr">
        <is>
          <t>Claude</t>
        </is>
      </c>
      <c r="CE129" s="67" t="n">
        <v>0.74</v>
      </c>
      <c r="CF129" s="67" t="n">
        <v>0.74</v>
      </c>
      <c r="CG129" s="65">
        <f>IFERROR(IF(AND(CE129&lt;&gt;"",CF129&lt;&gt;""),ABS(CE129-CF129)/ABS(CE129)*100,""),"")</f>
        <v/>
      </c>
      <c r="CH129" s="62" t="inlineStr">
        <is>
          <t>Claude</t>
        </is>
      </c>
      <c r="CI129" s="67" t="n">
        <v>3.77</v>
      </c>
      <c r="CJ129" s="67" t="n">
        <v>3.77</v>
      </c>
      <c r="CK129" s="65">
        <f>IFERROR(IF(AND(CI129&lt;&gt;"",CJ129&lt;&gt;""),ABS(CI129-CJ129)/ABS(CI129)*100,""),"")</f>
        <v/>
      </c>
      <c r="CL129" s="62" t="inlineStr">
        <is>
          <t>Claude</t>
        </is>
      </c>
      <c r="CM129" s="67" t="n">
        <v>84.25</v>
      </c>
      <c r="CN129" s="67" t="n">
        <v>84.25</v>
      </c>
      <c r="CO129" s="65">
        <f>IFERROR(IF(AND(CM129&lt;&gt;"",CN129&lt;&gt;""),ABS(CM129-CN129)/ABS(CM129)*100,""),"")</f>
        <v/>
      </c>
      <c r="CP129" s="62" t="inlineStr">
        <is>
          <t>Claude</t>
        </is>
      </c>
      <c r="CQ129" s="64" t="n">
        <v>1.433</v>
      </c>
      <c r="CR129" s="64" t="n">
        <v>0.409</v>
      </c>
      <c r="CS129" s="65">
        <f>IFERROR(IF(AND(CQ129&lt;&gt;"",CR129&lt;&gt;""),ABS(CQ129-CR129)/ABS(CQ129)*100,""),"")</f>
        <v/>
      </c>
      <c r="CT129" s="66" t="inlineStr">
        <is>
          <t>MANUAL FLAG</t>
        </is>
      </c>
      <c r="CU129" s="67" t="n">
        <v>0</v>
      </c>
      <c r="CV129" s="67" t="n">
        <v>0</v>
      </c>
      <c r="CW129" s="65">
        <f>IFERROR(IF(AND(CU129&lt;&gt;"",CV129&lt;&gt;""),ABS(CU129-CV129)/ABS(CU129)*100,""),"")</f>
        <v/>
      </c>
      <c r="CX129" s="62" t="inlineStr">
        <is>
          <t>Claude</t>
        </is>
      </c>
      <c r="CY129" s="68" t="n"/>
      <c r="CZ129" s="68" t="n"/>
      <c r="DA129" s="65">
        <f>IFERROR(IF(AND(CY129&lt;&gt;"",CZ129&lt;&gt;""),ABS(CY129-CZ129)/ABS(CY129)*100,""),"")</f>
        <v/>
      </c>
      <c r="DB129" s="62" t="inlineStr">
        <is>
          <t>ND</t>
        </is>
      </c>
      <c r="DC129" s="68" t="n"/>
      <c r="DD129" s="68" t="n"/>
      <c r="DE129" s="65">
        <f>IFERROR(IF(AND(DC129&lt;&gt;"",DD129&lt;&gt;""),ABS(DC129-DD129)/ABS(DC129)*100,""),"")</f>
        <v/>
      </c>
      <c r="DF129" s="62" t="inlineStr">
        <is>
          <t>ND</t>
        </is>
      </c>
      <c r="DG129" s="68" t="n">
        <v>65.7</v>
      </c>
      <c r="DH129" s="68" t="n">
        <v>65.7</v>
      </c>
      <c r="DI129" s="65">
        <f>IFERROR(IF(AND(DG129&lt;&gt;"",DH129&lt;&gt;""),ABS(DG129-DH129)/ABS(DG129)*100,""),"")</f>
        <v/>
      </c>
      <c r="DJ129" s="62" t="inlineStr">
        <is>
          <t>Claude</t>
        </is>
      </c>
      <c r="DK129" s="68" t="n"/>
      <c r="DL129" s="68" t="n"/>
      <c r="DM129" s="65">
        <f>IFERROR(IF(AND(DK129&lt;&gt;"",DL129&lt;&gt;""),ABS(DK129-DL129)/ABS(DK129)*100,""),"")</f>
        <v/>
      </c>
      <c r="DN129" s="62" t="inlineStr">
        <is>
          <t>ND</t>
        </is>
      </c>
      <c r="DO129" s="68" t="n"/>
      <c r="DP129" s="68" t="n"/>
      <c r="DQ129" s="65">
        <f>IFERROR(IF(AND(DO129&lt;&gt;"",DP129&lt;&gt;""),ABS(DO129-DP129)/ABS(DO129)*100,""),"")</f>
        <v/>
      </c>
      <c r="DR129" s="62" t="inlineStr">
        <is>
          <t>ND</t>
        </is>
      </c>
      <c r="DS129" s="68" t="n"/>
      <c r="DT129" s="68" t="n"/>
      <c r="DU129" s="65">
        <f>IFERROR(IF(AND(DS129&lt;&gt;"",DT129&lt;&gt;""),ABS(DS129-DT129)/ABS(DS129)*100,""),"")</f>
        <v/>
      </c>
      <c r="DV129" s="62" t="inlineStr">
        <is>
          <t>ND</t>
        </is>
      </c>
      <c r="DW129" s="63" t="inlineStr">
        <is>
          <t>Claude only (DeepSeek pending). Source=2025 report (most recent). Ind.2/3 NOW COMPUTABLE for first time (were na in 2023 report). Ind.4=26 vs 2023 report's 27 - minor conflict. Ind.5=0, matches. Ind.9=1.22 vs 2023 report's 2.4 (proxy in both, but 2025 report notes it 'resolved a raw-text column-interleaving issue via structured pdfplumber re-extraction' - suggesting the 2023 report's figure may have had an extraction error; treat the 2025 figure as more likely correct, though not certain). Ind.12=110,000,000, MATCHES 2023 report exactly - good cross-validation. Ind.14=232,000 vs 2023 report's 321,410 - real conflict (~28% lower). **Ind.15 (Training Hours)=11.35 vs 2023 report's 4.34 - MAJOR CONFLICT (~2.6x), same year.** Ind.16=3, MATCHES 2023 report exactly. **Ind.17 (Parental Leave Male)=4 vs 2023 report's 12 - MAJOR CONFLICT (3x), same year.** Ind.18=na: RETRACTS the 2023 report's gendered Return-to-Work breakdown entirely (2025 report says the metric 'doesn't exist anywhere in the report'). Ind.19=4.7, MATCHES 2023 report exactly. Ind.20=0.74 vs 2023 report's 1.7 - conflict. Ind.22=84.25, close match to 2023 report's 84.3. **Ind.23 (LTIFR)=1.433 vs 2023 report's 0.41 - MAJOR CONFLICT (~3.5x), same year.** **Given the sheer number and size of same-year discrepancies between these two editions, recommend treating this company's whole 2022-2023 dataset as needing manual source verification before use.** || DEEPSEEK RECONCILIATION - MANUAL FLAGS: Ind.1 (Contract Workers%): Claude=5.41, DeepSeek=6.12, Diff=13.1%; Ind.2 (Female Permanent%): Claude=6.49, DeepSeek=7.57, Diff=16.6%; Ind.13 (Gender Pay Gap): Claude=30.97, DeepSeek=24.78, Diff=20.0%; Ind.23 (LTIFR): Claude=1.433, DeepSeek=0.409, Diff=71.5% || NOTE: Ind.23 (LTIFR) conflict continues (1.433 vs 0.409, ~3.5x) - same cross-source instability as 2022, see that year's note.</t>
        </is>
      </c>
    </row>
    <row r="130" ht="15.75" customHeight="1" s="43">
      <c r="A130" s="69" t="n"/>
      <c r="B130" s="69" t="n"/>
      <c r="C130" s="69" t="inlineStr">
        <is>
          <t>Industrials</t>
        </is>
      </c>
      <c r="D130" s="69" t="inlineStr">
        <is>
          <t>2024</t>
        </is>
      </c>
      <c r="E130" s="70" t="inlineStr">
        <is>
          <t>HD_HYUNDAI_ELECTRIC_2025.pdf</t>
        </is>
      </c>
      <c r="F130" s="69" t="n"/>
      <c r="G130" s="64" t="n">
        <v>7.31</v>
      </c>
      <c r="H130" s="64" t="n">
        <v>6.3</v>
      </c>
      <c r="I130" s="71">
        <f>IFERROR(IF(AND(G130&lt;&gt;"",H130&lt;&gt;""),ABS(G130-H130)/ABS(G130)*100,""),"")</f>
        <v/>
      </c>
      <c r="J130" s="66" t="inlineStr">
        <is>
          <t>MANUAL FLAG</t>
        </is>
      </c>
      <c r="K130" s="64" t="n">
        <v>6.82</v>
      </c>
      <c r="L130" s="64" t="n">
        <v>8.140000000000001</v>
      </c>
      <c r="M130" s="71">
        <f>IFERROR(IF(AND(K130&lt;&gt;"",L130&lt;&gt;""),ABS(K130-L130)/ABS(K130)*100,""),"")</f>
        <v/>
      </c>
      <c r="N130" s="66" t="inlineStr">
        <is>
          <t>MANUAL FLAG</t>
        </is>
      </c>
      <c r="O130" s="67" t="n">
        <v>27.5</v>
      </c>
      <c r="P130" s="67" t="n"/>
      <c r="Q130" s="71">
        <f>IFERROR(IF(AND(O130&lt;&gt;"",P130&lt;&gt;""),ABS(O130-P130)/ABS(O130)*100,""),"")</f>
        <v/>
      </c>
      <c r="R130" s="69" t="inlineStr">
        <is>
          <t>Claude</t>
        </is>
      </c>
      <c r="S130" s="67" t="n">
        <v>4.45</v>
      </c>
      <c r="T130" s="67" t="n">
        <v>4.45</v>
      </c>
      <c r="U130" s="71">
        <f>IFERROR(IF(AND(S130&lt;&gt;"",T130&lt;&gt;""),ABS(S130-T130)/ABS(S130)*100,""),"")</f>
        <v/>
      </c>
      <c r="V130" s="69" t="inlineStr">
        <is>
          <t>Claude</t>
        </is>
      </c>
      <c r="W130" s="67" t="n"/>
      <c r="X130" s="67" t="n"/>
      <c r="Y130" s="71">
        <f>IFERROR(IF(AND(W130&lt;&gt;"",X130&lt;&gt;""),ABS(W130-X130)/ABS(W130)*100,""),"")</f>
        <v/>
      </c>
      <c r="Z130" s="69" t="inlineStr">
        <is>
          <t>ND</t>
        </is>
      </c>
      <c r="AA130" s="67" t="n">
        <v>12.22</v>
      </c>
      <c r="AB130" s="67" t="n">
        <v>12.22</v>
      </c>
      <c r="AC130" s="71">
        <f>IFERROR(IF(AND(AA130&lt;&gt;"",AB130&lt;&gt;""),ABS(AA130-AB130)/ABS(AA130)*100,""),"")</f>
        <v/>
      </c>
      <c r="AD130" s="69" t="inlineStr">
        <is>
          <t>Claude</t>
        </is>
      </c>
      <c r="AE130" s="67" t="n"/>
      <c r="AF130" s="67" t="n"/>
      <c r="AG130" s="71">
        <f>IFERROR(IF(AND(AE130&lt;&gt;"",AF130&lt;&gt;""),ABS(AE130-AF130)/ABS(AE130)*100,""),"")</f>
        <v/>
      </c>
      <c r="AH130" s="69" t="inlineStr">
        <is>
          <t>ND</t>
        </is>
      </c>
      <c r="AI130" s="67" t="n"/>
      <c r="AJ130" s="67" t="n">
        <v>0</v>
      </c>
      <c r="AK130" s="71">
        <f>IFERROR(IF(AND(AI130&lt;&gt;"",AJ130&lt;&gt;""),ABS(AI130-AJ130)/ABS(AI130)*100,""),"")</f>
        <v/>
      </c>
      <c r="AL130" s="69" t="inlineStr">
        <is>
          <t>DeepSeek</t>
        </is>
      </c>
      <c r="AM130" s="67" t="n">
        <v>2.47</v>
      </c>
      <c r="AN130" s="67" t="n"/>
      <c r="AO130" s="71">
        <f>IFERROR(IF(AND(AM130&lt;&gt;"",AN130&lt;&gt;""),ABS(AM130-AN130)/ABS(AM130)*100,""),"")</f>
        <v/>
      </c>
      <c r="AP130" s="69" t="inlineStr">
        <is>
          <t>Claude</t>
        </is>
      </c>
      <c r="AQ130" s="67" t="n">
        <v>0</v>
      </c>
      <c r="AR130" s="67" t="n"/>
      <c r="AS130" s="71">
        <f>IFERROR(IF(AND(AQ130&lt;&gt;"",AR130&lt;&gt;""),ABS(AQ130-AR130)/ABS(AQ130)*100,""),"")</f>
        <v/>
      </c>
      <c r="AT130" s="69" t="inlineStr">
        <is>
          <t>Claude</t>
        </is>
      </c>
      <c r="AU130" s="67" t="n">
        <v>20</v>
      </c>
      <c r="AV130" s="67" t="n">
        <v>20</v>
      </c>
      <c r="AW130" s="71">
        <f>IFERROR(IF(AND(AU130&lt;&gt;"",AV130&lt;&gt;""),ABS(AU130-AV130)/ABS(AU130)*100,""),"")</f>
        <v/>
      </c>
      <c r="AX130" s="69" t="inlineStr">
        <is>
          <t>Claude</t>
        </is>
      </c>
      <c r="AY130" s="67" t="n">
        <v>127000000</v>
      </c>
      <c r="AZ130" s="67" t="n">
        <v>127000000</v>
      </c>
      <c r="BA130" s="71">
        <f>IFERROR(IF(AND(AY130&lt;&gt;"",AZ130&lt;&gt;""),ABS(AY130-AZ130)/ABS(AY130)*100,""),"")</f>
        <v/>
      </c>
      <c r="BB130" s="69" t="inlineStr">
        <is>
          <t>Claude</t>
        </is>
      </c>
      <c r="BC130" s="64" t="n">
        <v>29.23</v>
      </c>
      <c r="BD130" s="64" t="n">
        <v>19.23</v>
      </c>
      <c r="BE130" s="71">
        <f>IFERROR(IF(AND(BC130&lt;&gt;"",BD130&lt;&gt;""),ABS(BC130-BD130)/ABS(BC130)*100,""),"")</f>
        <v/>
      </c>
      <c r="BF130" s="66" t="inlineStr">
        <is>
          <t>MANUAL FLAG</t>
        </is>
      </c>
      <c r="BG130" s="67" t="n">
        <v>190000</v>
      </c>
      <c r="BH130" s="67" t="n">
        <v>190000</v>
      </c>
      <c r="BI130" s="71">
        <f>IFERROR(IF(AND(BG130&lt;&gt;"",BH130&lt;&gt;""),ABS(BG130-BH130)/ABS(BG130)*100,""),"")</f>
        <v/>
      </c>
      <c r="BJ130" s="69" t="inlineStr">
        <is>
          <t>Claude</t>
        </is>
      </c>
      <c r="BK130" s="67" t="n">
        <v>15.61</v>
      </c>
      <c r="BL130" s="67" t="n">
        <v>15.61</v>
      </c>
      <c r="BM130" s="71">
        <f>IFERROR(IF(AND(BK130&lt;&gt;"",BL130&lt;&gt;""),ABS(BK130-BL130)/ABS(BK130)*100,""),"")</f>
        <v/>
      </c>
      <c r="BN130" s="69" t="inlineStr">
        <is>
          <t>Claude</t>
        </is>
      </c>
      <c r="BO130" s="67" t="n">
        <v>2</v>
      </c>
      <c r="BP130" s="67" t="n">
        <v>2</v>
      </c>
      <c r="BQ130" s="71">
        <f>IFERROR(IF(AND(BO130&lt;&gt;"",BP130&lt;&gt;""),ABS(BO130-BP130)/ABS(BO130)*100,""),"")</f>
        <v/>
      </c>
      <c r="BR130" s="69" t="inlineStr">
        <is>
          <t>Claude</t>
        </is>
      </c>
      <c r="BS130" s="67" t="n">
        <v>4</v>
      </c>
      <c r="BT130" s="67" t="n">
        <v>4</v>
      </c>
      <c r="BU130" s="71">
        <f>IFERROR(IF(AND(BS130&lt;&gt;"",BT130&lt;&gt;""),ABS(BS130-BT130)/ABS(BS130)*100,""),"")</f>
        <v/>
      </c>
      <c r="BV130" s="69" t="inlineStr">
        <is>
          <t>Claude</t>
        </is>
      </c>
      <c r="BW130" s="67" t="n"/>
      <c r="BX130" s="67" t="n"/>
      <c r="BY130" s="71">
        <f>IFERROR(IF(AND(BW130&lt;&gt;"",BX130&lt;&gt;""),ABS(BW130-BX130)/ABS(BW130)*100,""),"")</f>
        <v/>
      </c>
      <c r="BZ130" s="69" t="inlineStr">
        <is>
          <t>ND</t>
        </is>
      </c>
      <c r="CA130" s="67" t="n">
        <v>5.4</v>
      </c>
      <c r="CB130" s="67" t="n">
        <v>5.4</v>
      </c>
      <c r="CC130" s="71">
        <f>IFERROR(IF(AND(CA130&lt;&gt;"",CB130&lt;&gt;""),ABS(CA130-CB130)/ABS(CA130)*100,""),"")</f>
        <v/>
      </c>
      <c r="CD130" s="69" t="inlineStr">
        <is>
          <t>Claude</t>
        </is>
      </c>
      <c r="CE130" s="67" t="n">
        <v>0.85</v>
      </c>
      <c r="CF130" s="67" t="n">
        <v>0.85</v>
      </c>
      <c r="CG130" s="71">
        <f>IFERROR(IF(AND(CE130&lt;&gt;"",CF130&lt;&gt;""),ABS(CE130-CF130)/ABS(CE130)*100,""),"")</f>
        <v/>
      </c>
      <c r="CH130" s="69" t="inlineStr">
        <is>
          <t>Claude</t>
        </is>
      </c>
      <c r="CI130" s="67" t="n">
        <v>3.39</v>
      </c>
      <c r="CJ130" s="67" t="n">
        <v>3.39</v>
      </c>
      <c r="CK130" s="71">
        <f>IFERROR(IF(AND(CI130&lt;&gt;"",CJ130&lt;&gt;""),ABS(CI130-CJ130)/ABS(CI130)*100,""),"")</f>
        <v/>
      </c>
      <c r="CL130" s="69" t="inlineStr">
        <is>
          <t>Claude</t>
        </is>
      </c>
      <c r="CM130" s="67" t="n">
        <v>78.26000000000001</v>
      </c>
      <c r="CN130" s="67" t="n">
        <v>78.26000000000001</v>
      </c>
      <c r="CO130" s="71">
        <f>IFERROR(IF(AND(CM130&lt;&gt;"",CN130&lt;&gt;""),ABS(CM130-CN130)/ABS(CM130)*100,""),"")</f>
        <v/>
      </c>
      <c r="CP130" s="69" t="inlineStr">
        <is>
          <t>Claude</t>
        </is>
      </c>
      <c r="CQ130" s="64" t="n">
        <v>1.552</v>
      </c>
      <c r="CR130" s="64" t="n">
        <v>0.222</v>
      </c>
      <c r="CS130" s="71">
        <f>IFERROR(IF(AND(CQ130&lt;&gt;"",CR130&lt;&gt;""),ABS(CQ130-CR130)/ABS(CQ130)*100,""),"")</f>
        <v/>
      </c>
      <c r="CT130" s="66" t="inlineStr">
        <is>
          <t>MANUAL FLAG</t>
        </is>
      </c>
      <c r="CU130" s="67" t="n">
        <v>0</v>
      </c>
      <c r="CV130" s="67" t="n">
        <v>0</v>
      </c>
      <c r="CW130" s="71">
        <f>IFERROR(IF(AND(CU130&lt;&gt;"",CV130&lt;&gt;""),ABS(CU130-CV130)/ABS(CU130)*100,""),"")</f>
        <v/>
      </c>
      <c r="CX130" s="69" t="inlineStr">
        <is>
          <t>Claude</t>
        </is>
      </c>
      <c r="CY130" s="68" t="n"/>
      <c r="CZ130" s="68" t="n"/>
      <c r="DA130" s="71">
        <f>IFERROR(IF(AND(CY130&lt;&gt;"",CZ130&lt;&gt;""),ABS(CY130-CZ130)/ABS(CY130)*100,""),"")</f>
        <v/>
      </c>
      <c r="DB130" s="69" t="inlineStr">
        <is>
          <t>ND</t>
        </is>
      </c>
      <c r="DC130" s="68" t="n"/>
      <c r="DD130" s="68" t="n"/>
      <c r="DE130" s="71">
        <f>IFERROR(IF(AND(DC130&lt;&gt;"",DD130&lt;&gt;""),ABS(DC130-DD130)/ABS(DC130)*100,""),"")</f>
        <v/>
      </c>
      <c r="DF130" s="69" t="inlineStr">
        <is>
          <t>ND</t>
        </is>
      </c>
      <c r="DG130" s="68" t="n">
        <v>72.3</v>
      </c>
      <c r="DH130" s="68" t="n">
        <v>72.3</v>
      </c>
      <c r="DI130" s="71">
        <f>IFERROR(IF(AND(DG130&lt;&gt;"",DH130&lt;&gt;""),ABS(DG130-DH130)/ABS(DG130)*100,""),"")</f>
        <v/>
      </c>
      <c r="DJ130" s="69" t="inlineStr">
        <is>
          <t>Claude</t>
        </is>
      </c>
      <c r="DK130" s="68" t="n"/>
      <c r="DL130" s="68" t="n"/>
      <c r="DM130" s="71">
        <f>IFERROR(IF(AND(DK130&lt;&gt;"",DL130&lt;&gt;""),ABS(DK130-DL130)/ABS(DK130)*100,""),"")</f>
        <v/>
      </c>
      <c r="DN130" s="69" t="inlineStr">
        <is>
          <t>ND</t>
        </is>
      </c>
      <c r="DO130" s="68" t="n"/>
      <c r="DP130" s="68" t="n"/>
      <c r="DQ130" s="71">
        <f>IFERROR(IF(AND(DO130&lt;&gt;"",DP130&lt;&gt;""),ABS(DO130-DP130)/ABS(DO130)*100,""),"")</f>
        <v/>
      </c>
      <c r="DR130" s="69" t="inlineStr">
        <is>
          <t>ND</t>
        </is>
      </c>
      <c r="DS130" s="68" t="n"/>
      <c r="DT130" s="68" t="n"/>
      <c r="DU130" s="71">
        <f>IFERROR(IF(AND(DS130&lt;&gt;"",DT130&lt;&gt;""),ABS(DS130-DT130)/ABS(DS130)*100,""),"")</f>
        <v/>
      </c>
      <c r="DV130" s="69" t="inlineStr">
        <is>
          <t>ND</t>
        </is>
      </c>
      <c r="DW130" s="70" t="inlineStr">
        <is>
          <t>Claude only (DeepSeek pending). Source=2025 report, only report covering 2024 (no earlier-edition comparison available). Ind.7/8=ND (disabled headcount=27, foreign headcount=0, no total workforce given). Ind.21=3.39, PROXY. || DEEPSEEK RECONCILIATION - MANUAL FLAGS: Ind.1 (Contract Workers%): Claude=7.31, DeepSeek=6.3, Diff=13.8%; Ind.2 (Female Permanent%): Claude=6.82, DeepSeek=8.14, Diff=19.4%; Ind.13 (Gender Pay Gap): Claude=29.23, DeepSeek=19.23, Diff=34.2%; Ind.23 (LTIFR): Claude=1.552, DeepSeek=0.222, Diff=85.7% || NOTE: Ind.23 (LTIFR) conflict continues (1.552 vs 0.222, ~7x) - the gap is even larger this year. This indicator is unreliable for HD Hyundai Electric across the entire panel; treat with extreme caution.</t>
        </is>
      </c>
    </row>
    <row r="131" ht="4.5" customHeight="1" s="43">
      <c r="A131" s="72" t="n"/>
      <c r="B131" s="72" t="n"/>
      <c r="C131" s="72" t="n"/>
      <c r="D131" s="72" t="n"/>
      <c r="E131" s="72" t="n"/>
      <c r="F131" s="72" t="n"/>
      <c r="G131" s="72" t="n"/>
      <c r="H131" s="72" t="n"/>
      <c r="I131" s="72" t="n"/>
      <c r="J131" s="72" t="n"/>
      <c r="K131" s="72" t="n"/>
      <c r="L131" s="72" t="n"/>
      <c r="M131" s="72" t="n"/>
      <c r="N131" s="72" t="n"/>
      <c r="O131" s="72" t="n"/>
      <c r="P131" s="72" t="n"/>
      <c r="Q131" s="72" t="n"/>
      <c r="R131" s="72" t="n"/>
      <c r="S131" s="72" t="n"/>
      <c r="T131" s="72" t="n"/>
      <c r="U131" s="72" t="n"/>
      <c r="V131" s="72" t="n"/>
      <c r="W131" s="72" t="n"/>
      <c r="X131" s="72" t="n"/>
      <c r="Y131" s="72" t="n"/>
      <c r="Z131" s="72" t="n"/>
      <c r="AA131" s="72" t="n"/>
      <c r="AB131" s="72" t="n"/>
      <c r="AC131" s="72" t="n"/>
      <c r="AD131" s="72" t="n"/>
      <c r="AE131" s="72" t="n"/>
      <c r="AF131" s="72" t="n"/>
      <c r="AG131" s="72" t="n"/>
      <c r="AH131" s="72" t="n"/>
      <c r="AI131" s="72" t="n"/>
      <c r="AJ131" s="72" t="n"/>
      <c r="AK131" s="72" t="n"/>
      <c r="AL131" s="72" t="n"/>
      <c r="AM131" s="72" t="n"/>
      <c r="AN131" s="72" t="n"/>
      <c r="AO131" s="72" t="n"/>
      <c r="AP131" s="72" t="n"/>
      <c r="AQ131" s="72" t="n"/>
      <c r="AR131" s="72" t="n"/>
      <c r="AS131" s="72" t="n"/>
      <c r="AT131" s="72" t="n"/>
      <c r="AU131" s="72" t="n"/>
      <c r="AV131" s="72" t="n"/>
      <c r="AW131" s="72" t="n"/>
      <c r="AX131" s="72" t="n"/>
      <c r="AY131" s="72" t="n"/>
      <c r="AZ131" s="72" t="n"/>
      <c r="BA131" s="72" t="n"/>
      <c r="BB131" s="72" t="n"/>
      <c r="BC131" s="72" t="n"/>
      <c r="BD131" s="72" t="n"/>
      <c r="BE131" s="72" t="n"/>
      <c r="BF131" s="72" t="n"/>
      <c r="BG131" s="72" t="n"/>
      <c r="BH131" s="72" t="n"/>
      <c r="BI131" s="72" t="n"/>
      <c r="BJ131" s="72" t="n"/>
      <c r="BK131" s="72" t="n"/>
      <c r="BL131" s="72" t="n"/>
      <c r="BM131" s="72" t="n"/>
      <c r="BN131" s="72" t="n"/>
      <c r="BO131" s="72" t="n"/>
      <c r="BP131" s="72" t="n"/>
      <c r="BQ131" s="72" t="n"/>
      <c r="BR131" s="72" t="n"/>
      <c r="BS131" s="72" t="n"/>
      <c r="BT131" s="72" t="n"/>
      <c r="BU131" s="72" t="n"/>
      <c r="BV131" s="72" t="n"/>
      <c r="BW131" s="72" t="n"/>
      <c r="BX131" s="72" t="n"/>
      <c r="BY131" s="72" t="n"/>
      <c r="BZ131" s="72" t="n"/>
      <c r="CA131" s="72" t="n"/>
      <c r="CB131" s="72" t="n"/>
      <c r="CC131" s="72" t="n"/>
      <c r="CD131" s="72" t="n"/>
      <c r="CE131" s="72" t="n"/>
      <c r="CF131" s="72" t="n"/>
      <c r="CG131" s="72" t="n"/>
      <c r="CH131" s="72" t="n"/>
      <c r="CI131" s="72" t="n"/>
      <c r="CJ131" s="72" t="n"/>
      <c r="CK131" s="72" t="n"/>
      <c r="CL131" s="72" t="n"/>
      <c r="CM131" s="72" t="n"/>
      <c r="CN131" s="72" t="n"/>
      <c r="CO131" s="72" t="n"/>
      <c r="CP131" s="72" t="n"/>
      <c r="CQ131" s="72" t="n"/>
      <c r="CR131" s="72" t="n"/>
      <c r="CS131" s="72" t="n"/>
      <c r="CT131" s="72" t="n"/>
      <c r="CU131" s="72" t="n"/>
      <c r="CV131" s="72" t="n"/>
      <c r="CW131" s="72" t="n"/>
      <c r="CX131" s="72" t="n"/>
      <c r="CY131" s="72" t="n"/>
      <c r="CZ131" s="72" t="n"/>
      <c r="DA131" s="72" t="n"/>
      <c r="DB131" s="72" t="n"/>
      <c r="DC131" s="72" t="n"/>
      <c r="DD131" s="72" t="n"/>
      <c r="DE131" s="72" t="n"/>
      <c r="DF131" s="72" t="n"/>
      <c r="DG131" s="72" t="n"/>
      <c r="DH131" s="72" t="n"/>
      <c r="DI131" s="72" t="n"/>
      <c r="DJ131" s="72" t="n"/>
      <c r="DK131" s="72" t="n"/>
      <c r="DL131" s="72" t="n"/>
      <c r="DM131" s="72" t="n"/>
      <c r="DN131" s="72" t="n"/>
      <c r="DO131" s="72" t="n"/>
      <c r="DP131" s="72" t="n"/>
      <c r="DQ131" s="72" t="n"/>
      <c r="DR131" s="72" t="n"/>
      <c r="DS131" s="72" t="n"/>
      <c r="DT131" s="72" t="n"/>
      <c r="DU131" s="72" t="n"/>
      <c r="DV131" s="72" t="n"/>
      <c r="DW131" s="72" t="n"/>
    </row>
    <row r="132" ht="15.75" customHeight="1" s="43">
      <c r="A132" s="61" t="inlineStr">
        <is>
          <t>HDHMS</t>
        </is>
      </c>
      <c r="B132" s="62" t="inlineStr">
        <is>
          <t>443060</t>
        </is>
      </c>
      <c r="C132" s="62" t="inlineStr">
        <is>
          <t>Industrials</t>
        </is>
      </c>
      <c r="D132" s="62" t="inlineStr">
        <is>
          <t>2018</t>
        </is>
      </c>
      <c r="E132" s="63" t="inlineStr">
        <is>
          <t>No data - first-ever report, window is 2022-2024</t>
        </is>
      </c>
      <c r="F132" s="62" t="n"/>
      <c r="G132" s="67" t="n"/>
      <c r="H132" s="67" t="n"/>
      <c r="I132" s="65">
        <f>IFERROR(IF(AND(G132&lt;&gt;"",H132&lt;&gt;""),ABS(G132-H132)/ABS(G132)*100,""),"")</f>
        <v/>
      </c>
      <c r="J132" s="62" t="inlineStr">
        <is>
          <t>ND</t>
        </is>
      </c>
      <c r="K132" s="67" t="n"/>
      <c r="L132" s="67" t="n"/>
      <c r="M132" s="65">
        <f>IFERROR(IF(AND(K132&lt;&gt;"",L132&lt;&gt;""),ABS(K132-L132)/ABS(K132)*100,""),"")</f>
        <v/>
      </c>
      <c r="N132" s="62" t="inlineStr">
        <is>
          <t>ND</t>
        </is>
      </c>
      <c r="O132" s="67" t="n"/>
      <c r="P132" s="67" t="n"/>
      <c r="Q132" s="65">
        <f>IFERROR(IF(AND(O132&lt;&gt;"",P132&lt;&gt;""),ABS(O132-P132)/ABS(O132)*100,""),"")</f>
        <v/>
      </c>
      <c r="R132" s="62" t="inlineStr">
        <is>
          <t>ND</t>
        </is>
      </c>
      <c r="S132" s="67" t="n"/>
      <c r="T132" s="67" t="n"/>
      <c r="U132" s="65">
        <f>IFERROR(IF(AND(S132&lt;&gt;"",T132&lt;&gt;""),ABS(S132-T132)/ABS(S132)*100,""),"")</f>
        <v/>
      </c>
      <c r="V132" s="62" t="inlineStr">
        <is>
          <t>ND</t>
        </is>
      </c>
      <c r="W132" s="67" t="n"/>
      <c r="X132" s="67" t="n"/>
      <c r="Y132" s="65">
        <f>IFERROR(IF(AND(W132&lt;&gt;"",X132&lt;&gt;""),ABS(W132-X132)/ABS(W132)*100,""),"")</f>
        <v/>
      </c>
      <c r="Z132" s="62" t="inlineStr">
        <is>
          <t>ND</t>
        </is>
      </c>
      <c r="AA132" s="67" t="n"/>
      <c r="AB132" s="67" t="n"/>
      <c r="AC132" s="65">
        <f>IFERROR(IF(AND(AA132&lt;&gt;"",AB132&lt;&gt;""),ABS(AA132-AB132)/ABS(AA132)*100,""),"")</f>
        <v/>
      </c>
      <c r="AD132" s="62" t="inlineStr">
        <is>
          <t>ND</t>
        </is>
      </c>
      <c r="AE132" s="67" t="n"/>
      <c r="AF132" s="67" t="n"/>
      <c r="AG132" s="65">
        <f>IFERROR(IF(AND(AE132&lt;&gt;"",AF132&lt;&gt;""),ABS(AE132-AF132)/ABS(AE132)*100,""),"")</f>
        <v/>
      </c>
      <c r="AH132" s="62" t="inlineStr">
        <is>
          <t>ND</t>
        </is>
      </c>
      <c r="AI132" s="67" t="n"/>
      <c r="AJ132" s="67" t="n"/>
      <c r="AK132" s="65">
        <f>IFERROR(IF(AND(AI132&lt;&gt;"",AJ132&lt;&gt;""),ABS(AI132-AJ132)/ABS(AI132)*100,""),"")</f>
        <v/>
      </c>
      <c r="AL132" s="62" t="inlineStr">
        <is>
          <t>ND</t>
        </is>
      </c>
      <c r="AM132" s="67" t="n"/>
      <c r="AN132" s="67" t="n"/>
      <c r="AO132" s="65">
        <f>IFERROR(IF(AND(AM132&lt;&gt;"",AN132&lt;&gt;""),ABS(AM132-AN132)/ABS(AM132)*100,""),"")</f>
        <v/>
      </c>
      <c r="AP132" s="62" t="inlineStr">
        <is>
          <t>ND</t>
        </is>
      </c>
      <c r="AQ132" s="67" t="n"/>
      <c r="AR132" s="67" t="n"/>
      <c r="AS132" s="65">
        <f>IFERROR(IF(AND(AQ132&lt;&gt;"",AR132&lt;&gt;""),ABS(AQ132-AR132)/ABS(AQ132)*100,""),"")</f>
        <v/>
      </c>
      <c r="AT132" s="62" t="inlineStr">
        <is>
          <t>ND</t>
        </is>
      </c>
      <c r="AU132" s="67" t="n"/>
      <c r="AV132" s="67" t="n"/>
      <c r="AW132" s="65">
        <f>IFERROR(IF(AND(AU132&lt;&gt;"",AV132&lt;&gt;""),ABS(AU132-AV132)/ABS(AU132)*100,""),"")</f>
        <v/>
      </c>
      <c r="AX132" s="62" t="inlineStr">
        <is>
          <t>ND</t>
        </is>
      </c>
      <c r="AY132" s="67" t="n"/>
      <c r="AZ132" s="67" t="n"/>
      <c r="BA132" s="65">
        <f>IFERROR(IF(AND(AY132&lt;&gt;"",AZ132&lt;&gt;""),ABS(AY132-AZ132)/ABS(AY132)*100,""),"")</f>
        <v/>
      </c>
      <c r="BB132" s="62" t="inlineStr">
        <is>
          <t>ND</t>
        </is>
      </c>
      <c r="BC132" s="67" t="n"/>
      <c r="BD132" s="67" t="n"/>
      <c r="BE132" s="65">
        <f>IFERROR(IF(AND(BC132&lt;&gt;"",BD132&lt;&gt;""),ABS(BC132-BD132)/ABS(BC132)*100,""),"")</f>
        <v/>
      </c>
      <c r="BF132" s="62" t="inlineStr">
        <is>
          <t>ND</t>
        </is>
      </c>
      <c r="BG132" s="67" t="n"/>
      <c r="BH132" s="67" t="n"/>
      <c r="BI132" s="65">
        <f>IFERROR(IF(AND(BG132&lt;&gt;"",BH132&lt;&gt;""),ABS(BG132-BH132)/ABS(BG132)*100,""),"")</f>
        <v/>
      </c>
      <c r="BJ132" s="62" t="inlineStr">
        <is>
          <t>ND</t>
        </is>
      </c>
      <c r="BK132" s="67" t="n"/>
      <c r="BL132" s="67" t="n"/>
      <c r="BM132" s="65">
        <f>IFERROR(IF(AND(BK132&lt;&gt;"",BL132&lt;&gt;""),ABS(BK132-BL132)/ABS(BK132)*100,""),"")</f>
        <v/>
      </c>
      <c r="BN132" s="62" t="inlineStr">
        <is>
          <t>ND</t>
        </is>
      </c>
      <c r="BO132" s="67" t="n"/>
      <c r="BP132" s="67" t="n"/>
      <c r="BQ132" s="65">
        <f>IFERROR(IF(AND(BO132&lt;&gt;"",BP132&lt;&gt;""),ABS(BO132-BP132)/ABS(BO132)*100,""),"")</f>
        <v/>
      </c>
      <c r="BR132" s="62" t="inlineStr">
        <is>
          <t>ND</t>
        </is>
      </c>
      <c r="BS132" s="67" t="n"/>
      <c r="BT132" s="67" t="n"/>
      <c r="BU132" s="65">
        <f>IFERROR(IF(AND(BS132&lt;&gt;"",BT132&lt;&gt;""),ABS(BS132-BT132)/ABS(BS132)*100,""),"")</f>
        <v/>
      </c>
      <c r="BV132" s="62" t="inlineStr">
        <is>
          <t>ND</t>
        </is>
      </c>
      <c r="BW132" s="67" t="n"/>
      <c r="BX132" s="67" t="n"/>
      <c r="BY132" s="65">
        <f>IFERROR(IF(AND(BW132&lt;&gt;"",BX132&lt;&gt;""),ABS(BW132-BX132)/ABS(BW132)*100,""),"")</f>
        <v/>
      </c>
      <c r="BZ132" s="62" t="inlineStr">
        <is>
          <t>ND</t>
        </is>
      </c>
      <c r="CA132" s="67" t="n"/>
      <c r="CB132" s="67" t="n"/>
      <c r="CC132" s="65">
        <f>IFERROR(IF(AND(CA132&lt;&gt;"",CB132&lt;&gt;""),ABS(CA132-CB132)/ABS(CA132)*100,""),"")</f>
        <v/>
      </c>
      <c r="CD132" s="62" t="inlineStr">
        <is>
          <t>ND</t>
        </is>
      </c>
      <c r="CE132" s="67" t="n"/>
      <c r="CF132" s="67" t="n"/>
      <c r="CG132" s="65">
        <f>IFERROR(IF(AND(CE132&lt;&gt;"",CF132&lt;&gt;""),ABS(CE132-CF132)/ABS(CE132)*100,""),"")</f>
        <v/>
      </c>
      <c r="CH132" s="62" t="inlineStr">
        <is>
          <t>ND</t>
        </is>
      </c>
      <c r="CI132" s="67" t="n"/>
      <c r="CJ132" s="67" t="n"/>
      <c r="CK132" s="65">
        <f>IFERROR(IF(AND(CI132&lt;&gt;"",CJ132&lt;&gt;""),ABS(CI132-CJ132)/ABS(CI132)*100,""),"")</f>
        <v/>
      </c>
      <c r="CL132" s="62" t="inlineStr">
        <is>
          <t>ND</t>
        </is>
      </c>
      <c r="CM132" s="67" t="n"/>
      <c r="CN132" s="67" t="n"/>
      <c r="CO132" s="65">
        <f>IFERROR(IF(AND(CM132&lt;&gt;"",CN132&lt;&gt;""),ABS(CM132-CN132)/ABS(CM132)*100,""),"")</f>
        <v/>
      </c>
      <c r="CP132" s="62" t="inlineStr">
        <is>
          <t>ND</t>
        </is>
      </c>
      <c r="CQ132" s="67" t="n"/>
      <c r="CR132" s="67" t="n"/>
      <c r="CS132" s="65">
        <f>IFERROR(IF(AND(CQ132&lt;&gt;"",CR132&lt;&gt;""),ABS(CQ132-CR132)/ABS(CQ132)*100,""),"")</f>
        <v/>
      </c>
      <c r="CT132" s="62" t="inlineStr">
        <is>
          <t>ND</t>
        </is>
      </c>
      <c r="CU132" s="67" t="n"/>
      <c r="CV132" s="67" t="n"/>
      <c r="CW132" s="65">
        <f>IFERROR(IF(AND(CU132&lt;&gt;"",CV132&lt;&gt;""),ABS(CU132-CV132)/ABS(CU132)*100,""),"")</f>
        <v/>
      </c>
      <c r="CX132" s="62" t="inlineStr">
        <is>
          <t>ND</t>
        </is>
      </c>
      <c r="CY132" s="68" t="n"/>
      <c r="CZ132" s="68" t="n"/>
      <c r="DA132" s="65">
        <f>IFERROR(IF(AND(CY132&lt;&gt;"",CZ132&lt;&gt;""),ABS(CY132-CZ132)/ABS(CY132)*100,""),"")</f>
        <v/>
      </c>
      <c r="DB132" s="62" t="inlineStr">
        <is>
          <t>ND</t>
        </is>
      </c>
      <c r="DC132" s="68" t="n"/>
      <c r="DD132" s="68" t="n"/>
      <c r="DE132" s="65">
        <f>IFERROR(IF(AND(DC132&lt;&gt;"",DD132&lt;&gt;""),ABS(DC132-DD132)/ABS(DC132)*100,""),"")</f>
        <v/>
      </c>
      <c r="DF132" s="62" t="inlineStr">
        <is>
          <t>ND</t>
        </is>
      </c>
      <c r="DG132" s="68" t="n"/>
      <c r="DH132" s="68" t="n"/>
      <c r="DI132" s="65">
        <f>IFERROR(IF(AND(DG132&lt;&gt;"",DH132&lt;&gt;""),ABS(DG132-DH132)/ABS(DG132)*100,""),"")</f>
        <v/>
      </c>
      <c r="DJ132" s="62" t="inlineStr">
        <is>
          <t>ND</t>
        </is>
      </c>
      <c r="DK132" s="68" t="n"/>
      <c r="DL132" s="68" t="n"/>
      <c r="DM132" s="65">
        <f>IFERROR(IF(AND(DK132&lt;&gt;"",DL132&lt;&gt;""),ABS(DK132-DL132)/ABS(DK132)*100,""),"")</f>
        <v/>
      </c>
      <c r="DN132" s="62" t="inlineStr">
        <is>
          <t>ND</t>
        </is>
      </c>
      <c r="DO132" s="68" t="n"/>
      <c r="DP132" s="68" t="n"/>
      <c r="DQ132" s="65">
        <f>IFERROR(IF(AND(DO132&lt;&gt;"",DP132&lt;&gt;""),ABS(DO132-DP132)/ABS(DO132)*100,""),"")</f>
        <v/>
      </c>
      <c r="DR132" s="62" t="inlineStr">
        <is>
          <t>ND</t>
        </is>
      </c>
      <c r="DS132" s="68" t="n"/>
      <c r="DT132" s="68" t="n"/>
      <c r="DU132" s="65">
        <f>IFERROR(IF(AND(DS132&lt;&gt;"",DT132&lt;&gt;""),ABS(DS132-DT132)/ABS(DS132)*100,""),"")</f>
        <v/>
      </c>
      <c r="DV132" s="62" t="inlineStr">
        <is>
          <t>ND</t>
        </is>
      </c>
      <c r="DW132" s="63" t="inlineStr">
        <is>
          <t>No data - HDHMS's first-ever sustainability report, disclosed window is 2022-2024. ND throughout.</t>
        </is>
      </c>
    </row>
    <row r="133" ht="15.75" customHeight="1" s="43">
      <c r="A133" s="69" t="n"/>
      <c r="B133" s="69" t="n"/>
      <c r="C133" s="69" t="inlineStr">
        <is>
          <t>Industrials</t>
        </is>
      </c>
      <c r="D133" s="69" t="inlineStr">
        <is>
          <t>2019</t>
        </is>
      </c>
      <c r="E133" s="70" t="inlineStr">
        <is>
          <t>No data - first-ever report, window is 2022-2024</t>
        </is>
      </c>
      <c r="F133" s="69" t="n"/>
      <c r="G133" s="67" t="n"/>
      <c r="H133" s="67" t="n"/>
      <c r="I133" s="71">
        <f>IFERROR(IF(AND(G133&lt;&gt;"",H133&lt;&gt;""),ABS(G133-H133)/ABS(G133)*100,""),"")</f>
        <v/>
      </c>
      <c r="J133" s="69" t="inlineStr">
        <is>
          <t>ND</t>
        </is>
      </c>
      <c r="K133" s="67" t="n"/>
      <c r="L133" s="67" t="n"/>
      <c r="M133" s="71">
        <f>IFERROR(IF(AND(K133&lt;&gt;"",L133&lt;&gt;""),ABS(K133-L133)/ABS(K133)*100,""),"")</f>
        <v/>
      </c>
      <c r="N133" s="69" t="inlineStr">
        <is>
          <t>ND</t>
        </is>
      </c>
      <c r="O133" s="67" t="n"/>
      <c r="P133" s="67" t="n"/>
      <c r="Q133" s="71">
        <f>IFERROR(IF(AND(O133&lt;&gt;"",P133&lt;&gt;""),ABS(O133-P133)/ABS(O133)*100,""),"")</f>
        <v/>
      </c>
      <c r="R133" s="69" t="inlineStr">
        <is>
          <t>ND</t>
        </is>
      </c>
      <c r="S133" s="67" t="n"/>
      <c r="T133" s="67" t="n"/>
      <c r="U133" s="71">
        <f>IFERROR(IF(AND(S133&lt;&gt;"",T133&lt;&gt;""),ABS(S133-T133)/ABS(S133)*100,""),"")</f>
        <v/>
      </c>
      <c r="V133" s="69" t="inlineStr">
        <is>
          <t>ND</t>
        </is>
      </c>
      <c r="W133" s="67" t="n"/>
      <c r="X133" s="67" t="n"/>
      <c r="Y133" s="71">
        <f>IFERROR(IF(AND(W133&lt;&gt;"",X133&lt;&gt;""),ABS(W133-X133)/ABS(W133)*100,""),"")</f>
        <v/>
      </c>
      <c r="Z133" s="69" t="inlineStr">
        <is>
          <t>ND</t>
        </is>
      </c>
      <c r="AA133" s="67" t="n"/>
      <c r="AB133" s="67" t="n"/>
      <c r="AC133" s="71">
        <f>IFERROR(IF(AND(AA133&lt;&gt;"",AB133&lt;&gt;""),ABS(AA133-AB133)/ABS(AA133)*100,""),"")</f>
        <v/>
      </c>
      <c r="AD133" s="69" t="inlineStr">
        <is>
          <t>ND</t>
        </is>
      </c>
      <c r="AE133" s="67" t="n"/>
      <c r="AF133" s="67" t="n"/>
      <c r="AG133" s="71">
        <f>IFERROR(IF(AND(AE133&lt;&gt;"",AF133&lt;&gt;""),ABS(AE133-AF133)/ABS(AE133)*100,""),"")</f>
        <v/>
      </c>
      <c r="AH133" s="69" t="inlineStr">
        <is>
          <t>ND</t>
        </is>
      </c>
      <c r="AI133" s="67" t="n"/>
      <c r="AJ133" s="67" t="n"/>
      <c r="AK133" s="71">
        <f>IFERROR(IF(AND(AI133&lt;&gt;"",AJ133&lt;&gt;""),ABS(AI133-AJ133)/ABS(AI133)*100,""),"")</f>
        <v/>
      </c>
      <c r="AL133" s="69" t="inlineStr">
        <is>
          <t>ND</t>
        </is>
      </c>
      <c r="AM133" s="67" t="n"/>
      <c r="AN133" s="67" t="n"/>
      <c r="AO133" s="71">
        <f>IFERROR(IF(AND(AM133&lt;&gt;"",AN133&lt;&gt;""),ABS(AM133-AN133)/ABS(AM133)*100,""),"")</f>
        <v/>
      </c>
      <c r="AP133" s="69" t="inlineStr">
        <is>
          <t>ND</t>
        </is>
      </c>
      <c r="AQ133" s="67" t="n"/>
      <c r="AR133" s="67" t="n"/>
      <c r="AS133" s="71">
        <f>IFERROR(IF(AND(AQ133&lt;&gt;"",AR133&lt;&gt;""),ABS(AQ133-AR133)/ABS(AQ133)*100,""),"")</f>
        <v/>
      </c>
      <c r="AT133" s="69" t="inlineStr">
        <is>
          <t>ND</t>
        </is>
      </c>
      <c r="AU133" s="67" t="n"/>
      <c r="AV133" s="67" t="n"/>
      <c r="AW133" s="71">
        <f>IFERROR(IF(AND(AU133&lt;&gt;"",AV133&lt;&gt;""),ABS(AU133-AV133)/ABS(AU133)*100,""),"")</f>
        <v/>
      </c>
      <c r="AX133" s="69" t="inlineStr">
        <is>
          <t>ND</t>
        </is>
      </c>
      <c r="AY133" s="67" t="n"/>
      <c r="AZ133" s="67" t="n"/>
      <c r="BA133" s="71">
        <f>IFERROR(IF(AND(AY133&lt;&gt;"",AZ133&lt;&gt;""),ABS(AY133-AZ133)/ABS(AY133)*100,""),"")</f>
        <v/>
      </c>
      <c r="BB133" s="69" t="inlineStr">
        <is>
          <t>ND</t>
        </is>
      </c>
      <c r="BC133" s="67" t="n"/>
      <c r="BD133" s="67" t="n"/>
      <c r="BE133" s="71">
        <f>IFERROR(IF(AND(BC133&lt;&gt;"",BD133&lt;&gt;""),ABS(BC133-BD133)/ABS(BC133)*100,""),"")</f>
        <v/>
      </c>
      <c r="BF133" s="69" t="inlineStr">
        <is>
          <t>ND</t>
        </is>
      </c>
      <c r="BG133" s="67" t="n"/>
      <c r="BH133" s="67" t="n"/>
      <c r="BI133" s="71">
        <f>IFERROR(IF(AND(BG133&lt;&gt;"",BH133&lt;&gt;""),ABS(BG133-BH133)/ABS(BG133)*100,""),"")</f>
        <v/>
      </c>
      <c r="BJ133" s="69" t="inlineStr">
        <is>
          <t>ND</t>
        </is>
      </c>
      <c r="BK133" s="67" t="n"/>
      <c r="BL133" s="67" t="n"/>
      <c r="BM133" s="71">
        <f>IFERROR(IF(AND(BK133&lt;&gt;"",BL133&lt;&gt;""),ABS(BK133-BL133)/ABS(BK133)*100,""),"")</f>
        <v/>
      </c>
      <c r="BN133" s="69" t="inlineStr">
        <is>
          <t>ND</t>
        </is>
      </c>
      <c r="BO133" s="67" t="n"/>
      <c r="BP133" s="67" t="n"/>
      <c r="BQ133" s="71">
        <f>IFERROR(IF(AND(BO133&lt;&gt;"",BP133&lt;&gt;""),ABS(BO133-BP133)/ABS(BO133)*100,""),"")</f>
        <v/>
      </c>
      <c r="BR133" s="69" t="inlineStr">
        <is>
          <t>ND</t>
        </is>
      </c>
      <c r="BS133" s="67" t="n"/>
      <c r="BT133" s="67" t="n"/>
      <c r="BU133" s="71">
        <f>IFERROR(IF(AND(BS133&lt;&gt;"",BT133&lt;&gt;""),ABS(BS133-BT133)/ABS(BS133)*100,""),"")</f>
        <v/>
      </c>
      <c r="BV133" s="69" t="inlineStr">
        <is>
          <t>ND</t>
        </is>
      </c>
      <c r="BW133" s="67" t="n"/>
      <c r="BX133" s="67" t="n"/>
      <c r="BY133" s="71">
        <f>IFERROR(IF(AND(BW133&lt;&gt;"",BX133&lt;&gt;""),ABS(BW133-BX133)/ABS(BW133)*100,""),"")</f>
        <v/>
      </c>
      <c r="BZ133" s="69" t="inlineStr">
        <is>
          <t>ND</t>
        </is>
      </c>
      <c r="CA133" s="67" t="n"/>
      <c r="CB133" s="67" t="n"/>
      <c r="CC133" s="71">
        <f>IFERROR(IF(AND(CA133&lt;&gt;"",CB133&lt;&gt;""),ABS(CA133-CB133)/ABS(CA133)*100,""),"")</f>
        <v/>
      </c>
      <c r="CD133" s="69" t="inlineStr">
        <is>
          <t>ND</t>
        </is>
      </c>
      <c r="CE133" s="67" t="n"/>
      <c r="CF133" s="67" t="n"/>
      <c r="CG133" s="71">
        <f>IFERROR(IF(AND(CE133&lt;&gt;"",CF133&lt;&gt;""),ABS(CE133-CF133)/ABS(CE133)*100,""),"")</f>
        <v/>
      </c>
      <c r="CH133" s="69" t="inlineStr">
        <is>
          <t>ND</t>
        </is>
      </c>
      <c r="CI133" s="67" t="n"/>
      <c r="CJ133" s="67" t="n"/>
      <c r="CK133" s="71">
        <f>IFERROR(IF(AND(CI133&lt;&gt;"",CJ133&lt;&gt;""),ABS(CI133-CJ133)/ABS(CI133)*100,""),"")</f>
        <v/>
      </c>
      <c r="CL133" s="69" t="inlineStr">
        <is>
          <t>ND</t>
        </is>
      </c>
      <c r="CM133" s="67" t="n"/>
      <c r="CN133" s="67" t="n"/>
      <c r="CO133" s="71">
        <f>IFERROR(IF(AND(CM133&lt;&gt;"",CN133&lt;&gt;""),ABS(CM133-CN133)/ABS(CM133)*100,""),"")</f>
        <v/>
      </c>
      <c r="CP133" s="69" t="inlineStr">
        <is>
          <t>ND</t>
        </is>
      </c>
      <c r="CQ133" s="67" t="n"/>
      <c r="CR133" s="67" t="n"/>
      <c r="CS133" s="71">
        <f>IFERROR(IF(AND(CQ133&lt;&gt;"",CR133&lt;&gt;""),ABS(CQ133-CR133)/ABS(CQ133)*100,""),"")</f>
        <v/>
      </c>
      <c r="CT133" s="69" t="inlineStr">
        <is>
          <t>ND</t>
        </is>
      </c>
      <c r="CU133" s="67" t="n"/>
      <c r="CV133" s="67" t="n"/>
      <c r="CW133" s="71">
        <f>IFERROR(IF(AND(CU133&lt;&gt;"",CV133&lt;&gt;""),ABS(CU133-CV133)/ABS(CU133)*100,""),"")</f>
        <v/>
      </c>
      <c r="CX133" s="69" t="inlineStr">
        <is>
          <t>ND</t>
        </is>
      </c>
      <c r="CY133" s="68" t="n"/>
      <c r="CZ133" s="68" t="n"/>
      <c r="DA133" s="71">
        <f>IFERROR(IF(AND(CY133&lt;&gt;"",CZ133&lt;&gt;""),ABS(CY133-CZ133)/ABS(CY133)*100,""),"")</f>
        <v/>
      </c>
      <c r="DB133" s="69" t="inlineStr">
        <is>
          <t>ND</t>
        </is>
      </c>
      <c r="DC133" s="68" t="n"/>
      <c r="DD133" s="68" t="n"/>
      <c r="DE133" s="71">
        <f>IFERROR(IF(AND(DC133&lt;&gt;"",DD133&lt;&gt;""),ABS(DC133-DD133)/ABS(DC133)*100,""),"")</f>
        <v/>
      </c>
      <c r="DF133" s="69" t="inlineStr">
        <is>
          <t>ND</t>
        </is>
      </c>
      <c r="DG133" s="68" t="n"/>
      <c r="DH133" s="68" t="n"/>
      <c r="DI133" s="71">
        <f>IFERROR(IF(AND(DG133&lt;&gt;"",DH133&lt;&gt;""),ABS(DG133-DH133)/ABS(DG133)*100,""),"")</f>
        <v/>
      </c>
      <c r="DJ133" s="69" t="inlineStr">
        <is>
          <t>ND</t>
        </is>
      </c>
      <c r="DK133" s="68" t="n"/>
      <c r="DL133" s="68" t="n"/>
      <c r="DM133" s="71">
        <f>IFERROR(IF(AND(DK133&lt;&gt;"",DL133&lt;&gt;""),ABS(DK133-DL133)/ABS(DK133)*100,""),"")</f>
        <v/>
      </c>
      <c r="DN133" s="69" t="inlineStr">
        <is>
          <t>ND</t>
        </is>
      </c>
      <c r="DO133" s="68" t="n"/>
      <c r="DP133" s="68" t="n"/>
      <c r="DQ133" s="71">
        <f>IFERROR(IF(AND(DO133&lt;&gt;"",DP133&lt;&gt;""),ABS(DO133-DP133)/ABS(DO133)*100,""),"")</f>
        <v/>
      </c>
      <c r="DR133" s="69" t="inlineStr">
        <is>
          <t>ND</t>
        </is>
      </c>
      <c r="DS133" s="68" t="n"/>
      <c r="DT133" s="68" t="n"/>
      <c r="DU133" s="71">
        <f>IFERROR(IF(AND(DS133&lt;&gt;"",DT133&lt;&gt;""),ABS(DS133-DT133)/ABS(DS133)*100,""),"")</f>
        <v/>
      </c>
      <c r="DV133" s="69" t="inlineStr">
        <is>
          <t>ND</t>
        </is>
      </c>
      <c r="DW133" s="70" t="inlineStr">
        <is>
          <t>No data - see 2018 note.</t>
        </is>
      </c>
    </row>
    <row r="134" ht="15.75" customHeight="1" s="43">
      <c r="A134" s="62" t="n"/>
      <c r="B134" s="62" t="n"/>
      <c r="C134" s="62" t="inlineStr">
        <is>
          <t>Industrials</t>
        </is>
      </c>
      <c r="D134" s="62" t="inlineStr">
        <is>
          <t>2020</t>
        </is>
      </c>
      <c r="E134" s="63" t="inlineStr">
        <is>
          <t>No data - first-ever report, window is 2022-2024</t>
        </is>
      </c>
      <c r="F134" s="62" t="n"/>
      <c r="G134" s="67" t="n"/>
      <c r="H134" s="67" t="n"/>
      <c r="I134" s="65">
        <f>IFERROR(IF(AND(G134&lt;&gt;"",H134&lt;&gt;""),ABS(G134-H134)/ABS(G134)*100,""),"")</f>
        <v/>
      </c>
      <c r="J134" s="62" t="inlineStr">
        <is>
          <t>ND</t>
        </is>
      </c>
      <c r="K134" s="67" t="n"/>
      <c r="L134" s="67" t="n"/>
      <c r="M134" s="65">
        <f>IFERROR(IF(AND(K134&lt;&gt;"",L134&lt;&gt;""),ABS(K134-L134)/ABS(K134)*100,""),"")</f>
        <v/>
      </c>
      <c r="N134" s="62" t="inlineStr">
        <is>
          <t>ND</t>
        </is>
      </c>
      <c r="O134" s="67" t="n"/>
      <c r="P134" s="67" t="n"/>
      <c r="Q134" s="65">
        <f>IFERROR(IF(AND(O134&lt;&gt;"",P134&lt;&gt;""),ABS(O134-P134)/ABS(O134)*100,""),"")</f>
        <v/>
      </c>
      <c r="R134" s="62" t="inlineStr">
        <is>
          <t>ND</t>
        </is>
      </c>
      <c r="S134" s="67" t="n"/>
      <c r="T134" s="67" t="n"/>
      <c r="U134" s="65">
        <f>IFERROR(IF(AND(S134&lt;&gt;"",T134&lt;&gt;""),ABS(S134-T134)/ABS(S134)*100,""),"")</f>
        <v/>
      </c>
      <c r="V134" s="62" t="inlineStr">
        <is>
          <t>ND</t>
        </is>
      </c>
      <c r="W134" s="67" t="n"/>
      <c r="X134" s="67" t="n"/>
      <c r="Y134" s="65">
        <f>IFERROR(IF(AND(W134&lt;&gt;"",X134&lt;&gt;""),ABS(W134-X134)/ABS(W134)*100,""),"")</f>
        <v/>
      </c>
      <c r="Z134" s="62" t="inlineStr">
        <is>
          <t>ND</t>
        </is>
      </c>
      <c r="AA134" s="67" t="n"/>
      <c r="AB134" s="67" t="n"/>
      <c r="AC134" s="65">
        <f>IFERROR(IF(AND(AA134&lt;&gt;"",AB134&lt;&gt;""),ABS(AA134-AB134)/ABS(AA134)*100,""),"")</f>
        <v/>
      </c>
      <c r="AD134" s="62" t="inlineStr">
        <is>
          <t>ND</t>
        </is>
      </c>
      <c r="AE134" s="67" t="n"/>
      <c r="AF134" s="67" t="n"/>
      <c r="AG134" s="65">
        <f>IFERROR(IF(AND(AE134&lt;&gt;"",AF134&lt;&gt;""),ABS(AE134-AF134)/ABS(AE134)*100,""),"")</f>
        <v/>
      </c>
      <c r="AH134" s="62" t="inlineStr">
        <is>
          <t>ND</t>
        </is>
      </c>
      <c r="AI134" s="67" t="n"/>
      <c r="AJ134" s="67" t="n"/>
      <c r="AK134" s="65">
        <f>IFERROR(IF(AND(AI134&lt;&gt;"",AJ134&lt;&gt;""),ABS(AI134-AJ134)/ABS(AI134)*100,""),"")</f>
        <v/>
      </c>
      <c r="AL134" s="62" t="inlineStr">
        <is>
          <t>ND</t>
        </is>
      </c>
      <c r="AM134" s="67" t="n"/>
      <c r="AN134" s="67" t="n"/>
      <c r="AO134" s="65">
        <f>IFERROR(IF(AND(AM134&lt;&gt;"",AN134&lt;&gt;""),ABS(AM134-AN134)/ABS(AM134)*100,""),"")</f>
        <v/>
      </c>
      <c r="AP134" s="62" t="inlineStr">
        <is>
          <t>ND</t>
        </is>
      </c>
      <c r="AQ134" s="67" t="n"/>
      <c r="AR134" s="67" t="n"/>
      <c r="AS134" s="65">
        <f>IFERROR(IF(AND(AQ134&lt;&gt;"",AR134&lt;&gt;""),ABS(AQ134-AR134)/ABS(AQ134)*100,""),"")</f>
        <v/>
      </c>
      <c r="AT134" s="62" t="inlineStr">
        <is>
          <t>ND</t>
        </is>
      </c>
      <c r="AU134" s="67" t="n"/>
      <c r="AV134" s="67" t="n"/>
      <c r="AW134" s="65">
        <f>IFERROR(IF(AND(AU134&lt;&gt;"",AV134&lt;&gt;""),ABS(AU134-AV134)/ABS(AU134)*100,""),"")</f>
        <v/>
      </c>
      <c r="AX134" s="62" t="inlineStr">
        <is>
          <t>ND</t>
        </is>
      </c>
      <c r="AY134" s="67" t="n"/>
      <c r="AZ134" s="67" t="n"/>
      <c r="BA134" s="65">
        <f>IFERROR(IF(AND(AY134&lt;&gt;"",AZ134&lt;&gt;""),ABS(AY134-AZ134)/ABS(AY134)*100,""),"")</f>
        <v/>
      </c>
      <c r="BB134" s="62" t="inlineStr">
        <is>
          <t>ND</t>
        </is>
      </c>
      <c r="BC134" s="67" t="n"/>
      <c r="BD134" s="67" t="n"/>
      <c r="BE134" s="65">
        <f>IFERROR(IF(AND(BC134&lt;&gt;"",BD134&lt;&gt;""),ABS(BC134-BD134)/ABS(BC134)*100,""),"")</f>
        <v/>
      </c>
      <c r="BF134" s="62" t="inlineStr">
        <is>
          <t>ND</t>
        </is>
      </c>
      <c r="BG134" s="67" t="n"/>
      <c r="BH134" s="67" t="n"/>
      <c r="BI134" s="65">
        <f>IFERROR(IF(AND(BG134&lt;&gt;"",BH134&lt;&gt;""),ABS(BG134-BH134)/ABS(BG134)*100,""),"")</f>
        <v/>
      </c>
      <c r="BJ134" s="62" t="inlineStr">
        <is>
          <t>ND</t>
        </is>
      </c>
      <c r="BK134" s="67" t="n"/>
      <c r="BL134" s="67" t="n"/>
      <c r="BM134" s="65">
        <f>IFERROR(IF(AND(BK134&lt;&gt;"",BL134&lt;&gt;""),ABS(BK134-BL134)/ABS(BK134)*100,""),"")</f>
        <v/>
      </c>
      <c r="BN134" s="62" t="inlineStr">
        <is>
          <t>ND</t>
        </is>
      </c>
      <c r="BO134" s="67" t="n"/>
      <c r="BP134" s="67" t="n"/>
      <c r="BQ134" s="65">
        <f>IFERROR(IF(AND(BO134&lt;&gt;"",BP134&lt;&gt;""),ABS(BO134-BP134)/ABS(BO134)*100,""),"")</f>
        <v/>
      </c>
      <c r="BR134" s="62" t="inlineStr">
        <is>
          <t>ND</t>
        </is>
      </c>
      <c r="BS134" s="67" t="n"/>
      <c r="BT134" s="67" t="n"/>
      <c r="BU134" s="65">
        <f>IFERROR(IF(AND(BS134&lt;&gt;"",BT134&lt;&gt;""),ABS(BS134-BT134)/ABS(BS134)*100,""),"")</f>
        <v/>
      </c>
      <c r="BV134" s="62" t="inlineStr">
        <is>
          <t>ND</t>
        </is>
      </c>
      <c r="BW134" s="67" t="n"/>
      <c r="BX134" s="67" t="n"/>
      <c r="BY134" s="65">
        <f>IFERROR(IF(AND(BW134&lt;&gt;"",BX134&lt;&gt;""),ABS(BW134-BX134)/ABS(BW134)*100,""),"")</f>
        <v/>
      </c>
      <c r="BZ134" s="62" t="inlineStr">
        <is>
          <t>ND</t>
        </is>
      </c>
      <c r="CA134" s="67" t="n"/>
      <c r="CB134" s="67" t="n"/>
      <c r="CC134" s="65">
        <f>IFERROR(IF(AND(CA134&lt;&gt;"",CB134&lt;&gt;""),ABS(CA134-CB134)/ABS(CA134)*100,""),"")</f>
        <v/>
      </c>
      <c r="CD134" s="62" t="inlineStr">
        <is>
          <t>ND</t>
        </is>
      </c>
      <c r="CE134" s="67" t="n"/>
      <c r="CF134" s="67" t="n"/>
      <c r="CG134" s="65">
        <f>IFERROR(IF(AND(CE134&lt;&gt;"",CF134&lt;&gt;""),ABS(CE134-CF134)/ABS(CE134)*100,""),"")</f>
        <v/>
      </c>
      <c r="CH134" s="62" t="inlineStr">
        <is>
          <t>ND</t>
        </is>
      </c>
      <c r="CI134" s="67" t="n"/>
      <c r="CJ134" s="67" t="n"/>
      <c r="CK134" s="65">
        <f>IFERROR(IF(AND(CI134&lt;&gt;"",CJ134&lt;&gt;""),ABS(CI134-CJ134)/ABS(CI134)*100,""),"")</f>
        <v/>
      </c>
      <c r="CL134" s="62" t="inlineStr">
        <is>
          <t>ND</t>
        </is>
      </c>
      <c r="CM134" s="67" t="n"/>
      <c r="CN134" s="67" t="n"/>
      <c r="CO134" s="65">
        <f>IFERROR(IF(AND(CM134&lt;&gt;"",CN134&lt;&gt;""),ABS(CM134-CN134)/ABS(CM134)*100,""),"")</f>
        <v/>
      </c>
      <c r="CP134" s="62" t="inlineStr">
        <is>
          <t>ND</t>
        </is>
      </c>
      <c r="CQ134" s="67" t="n"/>
      <c r="CR134" s="67" t="n"/>
      <c r="CS134" s="65">
        <f>IFERROR(IF(AND(CQ134&lt;&gt;"",CR134&lt;&gt;""),ABS(CQ134-CR134)/ABS(CQ134)*100,""),"")</f>
        <v/>
      </c>
      <c r="CT134" s="62" t="inlineStr">
        <is>
          <t>ND</t>
        </is>
      </c>
      <c r="CU134" s="67" t="n"/>
      <c r="CV134" s="67" t="n"/>
      <c r="CW134" s="65">
        <f>IFERROR(IF(AND(CU134&lt;&gt;"",CV134&lt;&gt;""),ABS(CU134-CV134)/ABS(CU134)*100,""),"")</f>
        <v/>
      </c>
      <c r="CX134" s="62" t="inlineStr">
        <is>
          <t>ND</t>
        </is>
      </c>
      <c r="CY134" s="68" t="n"/>
      <c r="CZ134" s="68" t="n"/>
      <c r="DA134" s="65">
        <f>IFERROR(IF(AND(CY134&lt;&gt;"",CZ134&lt;&gt;""),ABS(CY134-CZ134)/ABS(CY134)*100,""),"")</f>
        <v/>
      </c>
      <c r="DB134" s="62" t="inlineStr">
        <is>
          <t>ND</t>
        </is>
      </c>
      <c r="DC134" s="68" t="n"/>
      <c r="DD134" s="68" t="n"/>
      <c r="DE134" s="65">
        <f>IFERROR(IF(AND(DC134&lt;&gt;"",DD134&lt;&gt;""),ABS(DC134-DD134)/ABS(DC134)*100,""),"")</f>
        <v/>
      </c>
      <c r="DF134" s="62" t="inlineStr">
        <is>
          <t>ND</t>
        </is>
      </c>
      <c r="DG134" s="68" t="n"/>
      <c r="DH134" s="68" t="n"/>
      <c r="DI134" s="65">
        <f>IFERROR(IF(AND(DG134&lt;&gt;"",DH134&lt;&gt;""),ABS(DG134-DH134)/ABS(DG134)*100,""),"")</f>
        <v/>
      </c>
      <c r="DJ134" s="62" t="inlineStr">
        <is>
          <t>ND</t>
        </is>
      </c>
      <c r="DK134" s="68" t="n"/>
      <c r="DL134" s="68" t="n"/>
      <c r="DM134" s="65">
        <f>IFERROR(IF(AND(DK134&lt;&gt;"",DL134&lt;&gt;""),ABS(DK134-DL134)/ABS(DK134)*100,""),"")</f>
        <v/>
      </c>
      <c r="DN134" s="62" t="inlineStr">
        <is>
          <t>ND</t>
        </is>
      </c>
      <c r="DO134" s="68" t="n"/>
      <c r="DP134" s="68" t="n"/>
      <c r="DQ134" s="65">
        <f>IFERROR(IF(AND(DO134&lt;&gt;"",DP134&lt;&gt;""),ABS(DO134-DP134)/ABS(DO134)*100,""),"")</f>
        <v/>
      </c>
      <c r="DR134" s="62" t="inlineStr">
        <is>
          <t>ND</t>
        </is>
      </c>
      <c r="DS134" s="68" t="n"/>
      <c r="DT134" s="68" t="n"/>
      <c r="DU134" s="65">
        <f>IFERROR(IF(AND(DS134&lt;&gt;"",DT134&lt;&gt;""),ABS(DS134-DT134)/ABS(DS134)*100,""),"")</f>
        <v/>
      </c>
      <c r="DV134" s="62" t="inlineStr">
        <is>
          <t>ND</t>
        </is>
      </c>
      <c r="DW134" s="63" t="inlineStr">
        <is>
          <t>No data - see 2018 note.</t>
        </is>
      </c>
    </row>
    <row r="135" ht="15.75" customHeight="1" s="43">
      <c r="A135" s="69" t="n"/>
      <c r="B135" s="69" t="n"/>
      <c r="C135" s="69" t="inlineStr">
        <is>
          <t>Industrials</t>
        </is>
      </c>
      <c r="D135" s="69" t="inlineStr">
        <is>
          <t>2021</t>
        </is>
      </c>
      <c r="E135" s="70" t="inlineStr">
        <is>
          <t>No data - first-ever report, window is 2022-2024</t>
        </is>
      </c>
      <c r="F135" s="69" t="n"/>
      <c r="G135" s="67" t="n"/>
      <c r="H135" s="67" t="n"/>
      <c r="I135" s="71">
        <f>IFERROR(IF(AND(G135&lt;&gt;"",H135&lt;&gt;""),ABS(G135-H135)/ABS(G135)*100,""),"")</f>
        <v/>
      </c>
      <c r="J135" s="69" t="inlineStr">
        <is>
          <t>ND</t>
        </is>
      </c>
      <c r="K135" s="67" t="n"/>
      <c r="L135" s="67" t="n"/>
      <c r="M135" s="71">
        <f>IFERROR(IF(AND(K135&lt;&gt;"",L135&lt;&gt;""),ABS(K135-L135)/ABS(K135)*100,""),"")</f>
        <v/>
      </c>
      <c r="N135" s="69" t="inlineStr">
        <is>
          <t>ND</t>
        </is>
      </c>
      <c r="O135" s="67" t="n"/>
      <c r="P135" s="67" t="n"/>
      <c r="Q135" s="71">
        <f>IFERROR(IF(AND(O135&lt;&gt;"",P135&lt;&gt;""),ABS(O135-P135)/ABS(O135)*100,""),"")</f>
        <v/>
      </c>
      <c r="R135" s="69" t="inlineStr">
        <is>
          <t>ND</t>
        </is>
      </c>
      <c r="S135" s="67" t="n"/>
      <c r="T135" s="67" t="n"/>
      <c r="U135" s="71">
        <f>IFERROR(IF(AND(S135&lt;&gt;"",T135&lt;&gt;""),ABS(S135-T135)/ABS(S135)*100,""),"")</f>
        <v/>
      </c>
      <c r="V135" s="69" t="inlineStr">
        <is>
          <t>ND</t>
        </is>
      </c>
      <c r="W135" s="67" t="n"/>
      <c r="X135" s="67" t="n"/>
      <c r="Y135" s="71">
        <f>IFERROR(IF(AND(W135&lt;&gt;"",X135&lt;&gt;""),ABS(W135-X135)/ABS(W135)*100,""),"")</f>
        <v/>
      </c>
      <c r="Z135" s="69" t="inlineStr">
        <is>
          <t>ND</t>
        </is>
      </c>
      <c r="AA135" s="67" t="n"/>
      <c r="AB135" s="67" t="n"/>
      <c r="AC135" s="71">
        <f>IFERROR(IF(AND(AA135&lt;&gt;"",AB135&lt;&gt;""),ABS(AA135-AB135)/ABS(AA135)*100,""),"")</f>
        <v/>
      </c>
      <c r="AD135" s="69" t="inlineStr">
        <is>
          <t>ND</t>
        </is>
      </c>
      <c r="AE135" s="67" t="n"/>
      <c r="AF135" s="67" t="n"/>
      <c r="AG135" s="71">
        <f>IFERROR(IF(AND(AE135&lt;&gt;"",AF135&lt;&gt;""),ABS(AE135-AF135)/ABS(AE135)*100,""),"")</f>
        <v/>
      </c>
      <c r="AH135" s="69" t="inlineStr">
        <is>
          <t>ND</t>
        </is>
      </c>
      <c r="AI135" s="67" t="n"/>
      <c r="AJ135" s="67" t="n"/>
      <c r="AK135" s="71">
        <f>IFERROR(IF(AND(AI135&lt;&gt;"",AJ135&lt;&gt;""),ABS(AI135-AJ135)/ABS(AI135)*100,""),"")</f>
        <v/>
      </c>
      <c r="AL135" s="69" t="inlineStr">
        <is>
          <t>ND</t>
        </is>
      </c>
      <c r="AM135" s="67" t="n"/>
      <c r="AN135" s="67" t="n"/>
      <c r="AO135" s="71">
        <f>IFERROR(IF(AND(AM135&lt;&gt;"",AN135&lt;&gt;""),ABS(AM135-AN135)/ABS(AM135)*100,""),"")</f>
        <v/>
      </c>
      <c r="AP135" s="69" t="inlineStr">
        <is>
          <t>ND</t>
        </is>
      </c>
      <c r="AQ135" s="67" t="n"/>
      <c r="AR135" s="67" t="n"/>
      <c r="AS135" s="71">
        <f>IFERROR(IF(AND(AQ135&lt;&gt;"",AR135&lt;&gt;""),ABS(AQ135-AR135)/ABS(AQ135)*100,""),"")</f>
        <v/>
      </c>
      <c r="AT135" s="69" t="inlineStr">
        <is>
          <t>ND</t>
        </is>
      </c>
      <c r="AU135" s="67" t="n"/>
      <c r="AV135" s="67" t="n"/>
      <c r="AW135" s="71">
        <f>IFERROR(IF(AND(AU135&lt;&gt;"",AV135&lt;&gt;""),ABS(AU135-AV135)/ABS(AU135)*100,""),"")</f>
        <v/>
      </c>
      <c r="AX135" s="69" t="inlineStr">
        <is>
          <t>ND</t>
        </is>
      </c>
      <c r="AY135" s="67" t="n"/>
      <c r="AZ135" s="67" t="n"/>
      <c r="BA135" s="71">
        <f>IFERROR(IF(AND(AY135&lt;&gt;"",AZ135&lt;&gt;""),ABS(AY135-AZ135)/ABS(AY135)*100,""),"")</f>
        <v/>
      </c>
      <c r="BB135" s="69" t="inlineStr">
        <is>
          <t>ND</t>
        </is>
      </c>
      <c r="BC135" s="67" t="n"/>
      <c r="BD135" s="67" t="n"/>
      <c r="BE135" s="71">
        <f>IFERROR(IF(AND(BC135&lt;&gt;"",BD135&lt;&gt;""),ABS(BC135-BD135)/ABS(BC135)*100,""),"")</f>
        <v/>
      </c>
      <c r="BF135" s="69" t="inlineStr">
        <is>
          <t>ND</t>
        </is>
      </c>
      <c r="BG135" s="67" t="n"/>
      <c r="BH135" s="67" t="n"/>
      <c r="BI135" s="71">
        <f>IFERROR(IF(AND(BG135&lt;&gt;"",BH135&lt;&gt;""),ABS(BG135-BH135)/ABS(BG135)*100,""),"")</f>
        <v/>
      </c>
      <c r="BJ135" s="69" t="inlineStr">
        <is>
          <t>ND</t>
        </is>
      </c>
      <c r="BK135" s="67" t="n"/>
      <c r="BL135" s="67" t="n"/>
      <c r="BM135" s="71">
        <f>IFERROR(IF(AND(BK135&lt;&gt;"",BL135&lt;&gt;""),ABS(BK135-BL135)/ABS(BK135)*100,""),"")</f>
        <v/>
      </c>
      <c r="BN135" s="69" t="inlineStr">
        <is>
          <t>ND</t>
        </is>
      </c>
      <c r="BO135" s="67" t="n"/>
      <c r="BP135" s="67" t="n"/>
      <c r="BQ135" s="71">
        <f>IFERROR(IF(AND(BO135&lt;&gt;"",BP135&lt;&gt;""),ABS(BO135-BP135)/ABS(BO135)*100,""),"")</f>
        <v/>
      </c>
      <c r="BR135" s="69" t="inlineStr">
        <is>
          <t>ND</t>
        </is>
      </c>
      <c r="BS135" s="67" t="n"/>
      <c r="BT135" s="67" t="n"/>
      <c r="BU135" s="71">
        <f>IFERROR(IF(AND(BS135&lt;&gt;"",BT135&lt;&gt;""),ABS(BS135-BT135)/ABS(BS135)*100,""),"")</f>
        <v/>
      </c>
      <c r="BV135" s="69" t="inlineStr">
        <is>
          <t>ND</t>
        </is>
      </c>
      <c r="BW135" s="67" t="n"/>
      <c r="BX135" s="67" t="n"/>
      <c r="BY135" s="71">
        <f>IFERROR(IF(AND(BW135&lt;&gt;"",BX135&lt;&gt;""),ABS(BW135-BX135)/ABS(BW135)*100,""),"")</f>
        <v/>
      </c>
      <c r="BZ135" s="69" t="inlineStr">
        <is>
          <t>ND</t>
        </is>
      </c>
      <c r="CA135" s="67" t="n"/>
      <c r="CB135" s="67" t="n"/>
      <c r="CC135" s="71">
        <f>IFERROR(IF(AND(CA135&lt;&gt;"",CB135&lt;&gt;""),ABS(CA135-CB135)/ABS(CA135)*100,""),"")</f>
        <v/>
      </c>
      <c r="CD135" s="69" t="inlineStr">
        <is>
          <t>ND</t>
        </is>
      </c>
      <c r="CE135" s="67" t="n"/>
      <c r="CF135" s="67" t="n"/>
      <c r="CG135" s="71">
        <f>IFERROR(IF(AND(CE135&lt;&gt;"",CF135&lt;&gt;""),ABS(CE135-CF135)/ABS(CE135)*100,""),"")</f>
        <v/>
      </c>
      <c r="CH135" s="69" t="inlineStr">
        <is>
          <t>ND</t>
        </is>
      </c>
      <c r="CI135" s="67" t="n"/>
      <c r="CJ135" s="67" t="n"/>
      <c r="CK135" s="71">
        <f>IFERROR(IF(AND(CI135&lt;&gt;"",CJ135&lt;&gt;""),ABS(CI135-CJ135)/ABS(CI135)*100,""),"")</f>
        <v/>
      </c>
      <c r="CL135" s="69" t="inlineStr">
        <is>
          <t>ND</t>
        </is>
      </c>
      <c r="CM135" s="67" t="n"/>
      <c r="CN135" s="67" t="n"/>
      <c r="CO135" s="71">
        <f>IFERROR(IF(AND(CM135&lt;&gt;"",CN135&lt;&gt;""),ABS(CM135-CN135)/ABS(CM135)*100,""),"")</f>
        <v/>
      </c>
      <c r="CP135" s="69" t="inlineStr">
        <is>
          <t>ND</t>
        </is>
      </c>
      <c r="CQ135" s="67" t="n"/>
      <c r="CR135" s="67" t="n"/>
      <c r="CS135" s="71">
        <f>IFERROR(IF(AND(CQ135&lt;&gt;"",CR135&lt;&gt;""),ABS(CQ135-CR135)/ABS(CQ135)*100,""),"")</f>
        <v/>
      </c>
      <c r="CT135" s="69" t="inlineStr">
        <is>
          <t>ND</t>
        </is>
      </c>
      <c r="CU135" s="67" t="n"/>
      <c r="CV135" s="67" t="n"/>
      <c r="CW135" s="71">
        <f>IFERROR(IF(AND(CU135&lt;&gt;"",CV135&lt;&gt;""),ABS(CU135-CV135)/ABS(CU135)*100,""),"")</f>
        <v/>
      </c>
      <c r="CX135" s="69" t="inlineStr">
        <is>
          <t>ND</t>
        </is>
      </c>
      <c r="CY135" s="68" t="n"/>
      <c r="CZ135" s="68" t="n"/>
      <c r="DA135" s="71">
        <f>IFERROR(IF(AND(CY135&lt;&gt;"",CZ135&lt;&gt;""),ABS(CY135-CZ135)/ABS(CY135)*100,""),"")</f>
        <v/>
      </c>
      <c r="DB135" s="69" t="inlineStr">
        <is>
          <t>ND</t>
        </is>
      </c>
      <c r="DC135" s="68" t="n"/>
      <c r="DD135" s="68" t="n"/>
      <c r="DE135" s="71">
        <f>IFERROR(IF(AND(DC135&lt;&gt;"",DD135&lt;&gt;""),ABS(DC135-DD135)/ABS(DC135)*100,""),"")</f>
        <v/>
      </c>
      <c r="DF135" s="69" t="inlineStr">
        <is>
          <t>ND</t>
        </is>
      </c>
      <c r="DG135" s="68" t="n"/>
      <c r="DH135" s="68" t="n"/>
      <c r="DI135" s="71">
        <f>IFERROR(IF(AND(DG135&lt;&gt;"",DH135&lt;&gt;""),ABS(DG135-DH135)/ABS(DG135)*100,""),"")</f>
        <v/>
      </c>
      <c r="DJ135" s="69" t="inlineStr">
        <is>
          <t>ND</t>
        </is>
      </c>
      <c r="DK135" s="68" t="n"/>
      <c r="DL135" s="68" t="n"/>
      <c r="DM135" s="71">
        <f>IFERROR(IF(AND(DK135&lt;&gt;"",DL135&lt;&gt;""),ABS(DK135-DL135)/ABS(DK135)*100,""),"")</f>
        <v/>
      </c>
      <c r="DN135" s="69" t="inlineStr">
        <is>
          <t>ND</t>
        </is>
      </c>
      <c r="DO135" s="68" t="n"/>
      <c r="DP135" s="68" t="n"/>
      <c r="DQ135" s="71">
        <f>IFERROR(IF(AND(DO135&lt;&gt;"",DP135&lt;&gt;""),ABS(DO135-DP135)/ABS(DO135)*100,""),"")</f>
        <v/>
      </c>
      <c r="DR135" s="69" t="inlineStr">
        <is>
          <t>ND</t>
        </is>
      </c>
      <c r="DS135" s="68" t="n"/>
      <c r="DT135" s="68" t="n"/>
      <c r="DU135" s="71">
        <f>IFERROR(IF(AND(DS135&lt;&gt;"",DT135&lt;&gt;""),ABS(DS135-DT135)/ABS(DS135)*100,""),"")</f>
        <v/>
      </c>
      <c r="DV135" s="69" t="inlineStr">
        <is>
          <t>ND</t>
        </is>
      </c>
      <c r="DW135" s="70" t="inlineStr">
        <is>
          <t>No data - genuine pre-report gap (company's first sustainability report), not a dropped rolling-window year. ND throughout.</t>
        </is>
      </c>
    </row>
    <row r="136" ht="15.75" customHeight="1" s="43">
      <c r="A136" s="62" t="n"/>
      <c r="B136" s="62" t="n"/>
      <c r="C136" s="62" t="inlineStr">
        <is>
          <t>Industrials</t>
        </is>
      </c>
      <c r="D136" s="62" t="inlineStr">
        <is>
          <t>2022</t>
        </is>
      </c>
      <c r="E136" s="63" t="inlineStr">
        <is>
          <t>HDHMS_2024.pdf (only report covering 2022)</t>
        </is>
      </c>
      <c r="F136" s="62" t="n"/>
      <c r="G136" s="67" t="n">
        <v>10.59</v>
      </c>
      <c r="H136" s="67" t="n">
        <v>10.59</v>
      </c>
      <c r="I136" s="65">
        <f>IFERROR(IF(AND(G136&lt;&gt;"",H136&lt;&gt;""),ABS(G136-H136)/ABS(G136)*100,""),"")</f>
        <v/>
      </c>
      <c r="J136" s="62" t="inlineStr">
        <is>
          <t>Claude</t>
        </is>
      </c>
      <c r="K136" s="67" t="n">
        <v>23.36</v>
      </c>
      <c r="L136" s="67" t="n">
        <v>23.36</v>
      </c>
      <c r="M136" s="65">
        <f>IFERROR(IF(AND(K136&lt;&gt;"",L136&lt;&gt;""),ABS(K136-L136)/ABS(K136)*100,""),"")</f>
        <v/>
      </c>
      <c r="N136" s="62" t="inlineStr">
        <is>
          <t>Claude</t>
        </is>
      </c>
      <c r="O136" s="67" t="n">
        <v>68.06</v>
      </c>
      <c r="P136" s="67" t="n">
        <v>68.06</v>
      </c>
      <c r="Q136" s="65">
        <f>IFERROR(IF(AND(O136&lt;&gt;"",P136&lt;&gt;""),ABS(O136-P136)/ABS(O136)*100,""),"")</f>
        <v/>
      </c>
      <c r="R136" s="62" t="inlineStr">
        <is>
          <t>Claude</t>
        </is>
      </c>
      <c r="S136" s="67" t="n">
        <v>28.82</v>
      </c>
      <c r="T136" s="67" t="n"/>
      <c r="U136" s="65">
        <f>IFERROR(IF(AND(S136&lt;&gt;"",T136&lt;&gt;""),ABS(S136-T136)/ABS(S136)*100,""),"")</f>
        <v/>
      </c>
      <c r="V136" s="62" t="inlineStr">
        <is>
          <t>Claude</t>
        </is>
      </c>
      <c r="W136" s="67" t="n"/>
      <c r="X136" s="67" t="n"/>
      <c r="Y136" s="65">
        <f>IFERROR(IF(AND(W136&lt;&gt;"",X136&lt;&gt;""),ABS(W136-X136)/ABS(W136)*100,""),"")</f>
        <v/>
      </c>
      <c r="Z136" s="62" t="inlineStr">
        <is>
          <t>ND</t>
        </is>
      </c>
      <c r="AA136" s="67" t="n">
        <v>39.8</v>
      </c>
      <c r="AB136" s="67" t="n">
        <v>39.8</v>
      </c>
      <c r="AC136" s="65">
        <f>IFERROR(IF(AND(AA136&lt;&gt;"",AB136&lt;&gt;""),ABS(AA136-AB136)/ABS(AA136)*100,""),"")</f>
        <v/>
      </c>
      <c r="AD136" s="62" t="inlineStr">
        <is>
          <t>Claude</t>
        </is>
      </c>
      <c r="AE136" s="67" t="n"/>
      <c r="AF136" s="67" t="n"/>
      <c r="AG136" s="65">
        <f>IFERROR(IF(AND(AE136&lt;&gt;"",AF136&lt;&gt;""),ABS(AE136-AF136)/ABS(AE136)*100,""),"")</f>
        <v/>
      </c>
      <c r="AH136" s="62" t="inlineStr">
        <is>
          <t>ND</t>
        </is>
      </c>
      <c r="AI136" s="67" t="n"/>
      <c r="AJ136" s="67" t="n"/>
      <c r="AK136" s="65">
        <f>IFERROR(IF(AND(AI136&lt;&gt;"",AJ136&lt;&gt;""),ABS(AI136-AJ136)/ABS(AI136)*100,""),"")</f>
        <v/>
      </c>
      <c r="AL136" s="62" t="inlineStr">
        <is>
          <t>ND</t>
        </is>
      </c>
      <c r="AM136" s="67" t="n">
        <v>0</v>
      </c>
      <c r="AN136" s="67" t="n">
        <v>0</v>
      </c>
      <c r="AO136" s="65">
        <f>IFERROR(IF(AND(AM136&lt;&gt;"",AN136&lt;&gt;""),ABS(AM136-AN136)/ABS(AM136)*100,""),"")</f>
        <v/>
      </c>
      <c r="AP136" s="62" t="inlineStr">
        <is>
          <t>Claude</t>
        </is>
      </c>
      <c r="AQ136" s="67" t="n">
        <v>0</v>
      </c>
      <c r="AR136" s="67" t="n">
        <v>0</v>
      </c>
      <c r="AS136" s="65">
        <f>IFERROR(IF(AND(AQ136&lt;&gt;"",AR136&lt;&gt;""),ABS(AQ136-AR136)/ABS(AQ136)*100,""),"")</f>
        <v/>
      </c>
      <c r="AT136" s="62" t="inlineStr">
        <is>
          <t>Claude</t>
        </is>
      </c>
      <c r="AU136" s="67" t="n"/>
      <c r="AV136" s="67" t="n"/>
      <c r="AW136" s="65">
        <f>IFERROR(IF(AND(AU136&lt;&gt;"",AV136&lt;&gt;""),ABS(AU136-AV136)/ABS(AU136)*100,""),"")</f>
        <v/>
      </c>
      <c r="AX136" s="62" t="inlineStr">
        <is>
          <t>ND</t>
        </is>
      </c>
      <c r="AY136" s="67" t="n">
        <v>81000000</v>
      </c>
      <c r="AZ136" s="67" t="n">
        <v>81000000</v>
      </c>
      <c r="BA136" s="65">
        <f>IFERROR(IF(AND(AY136&lt;&gt;"",AZ136&lt;&gt;""),ABS(AY136-AZ136)/ABS(AY136)*100,""),"")</f>
        <v/>
      </c>
      <c r="BB136" s="62" t="inlineStr">
        <is>
          <t>Claude</t>
        </is>
      </c>
      <c r="BC136" s="67" t="n">
        <v>46.67</v>
      </c>
      <c r="BD136" s="67" t="n">
        <v>46.67</v>
      </c>
      <c r="BE136" s="65">
        <f>IFERROR(IF(AND(BC136&lt;&gt;"",BD136&lt;&gt;""),ABS(BC136-BD136)/ABS(BC136)*100,""),"")</f>
        <v/>
      </c>
      <c r="BF136" s="62" t="inlineStr">
        <is>
          <t>Claude</t>
        </is>
      </c>
      <c r="BG136" s="67" t="n">
        <v>490000</v>
      </c>
      <c r="BH136" s="67" t="n">
        <v>490000</v>
      </c>
      <c r="BI136" s="65">
        <f>IFERROR(IF(AND(BG136&lt;&gt;"",BH136&lt;&gt;""),ABS(BG136-BH136)/ABS(BG136)*100,""),"")</f>
        <v/>
      </c>
      <c r="BJ136" s="62" t="inlineStr">
        <is>
          <t>Claude</t>
        </is>
      </c>
      <c r="BK136" s="67" t="n">
        <v>42.91</v>
      </c>
      <c r="BL136" s="67" t="n">
        <v>42.91</v>
      </c>
      <c r="BM136" s="65">
        <f>IFERROR(IF(AND(BK136&lt;&gt;"",BL136&lt;&gt;""),ABS(BK136-BL136)/ABS(BK136)*100,""),"")</f>
        <v/>
      </c>
      <c r="BN136" s="62" t="inlineStr">
        <is>
          <t>Claude</t>
        </is>
      </c>
      <c r="BO136" s="67" t="n">
        <v>2</v>
      </c>
      <c r="BP136" s="67" t="n">
        <v>2</v>
      </c>
      <c r="BQ136" s="65">
        <f>IFERROR(IF(AND(BO136&lt;&gt;"",BP136&lt;&gt;""),ABS(BO136-BP136)/ABS(BO136)*100,""),"")</f>
        <v/>
      </c>
      <c r="BR136" s="62" t="inlineStr">
        <is>
          <t>Claude</t>
        </is>
      </c>
      <c r="BS136" s="67" t="n">
        <v>1</v>
      </c>
      <c r="BT136" s="67" t="n">
        <v>1</v>
      </c>
      <c r="BU136" s="65">
        <f>IFERROR(IF(AND(BS136&lt;&gt;"",BT136&lt;&gt;""),ABS(BS136-BT136)/ABS(BS136)*100,""),"")</f>
        <v/>
      </c>
      <c r="BV136" s="62" t="inlineStr">
        <is>
          <t>Claude</t>
        </is>
      </c>
      <c r="BW136" s="67" t="n"/>
      <c r="BX136" s="67" t="n"/>
      <c r="BY136" s="65">
        <f>IFERROR(IF(AND(BW136&lt;&gt;"",BX136&lt;&gt;""),ABS(BW136-BX136)/ABS(BW136)*100,""),"")</f>
        <v/>
      </c>
      <c r="BZ136" s="62" t="inlineStr">
        <is>
          <t>ND</t>
        </is>
      </c>
      <c r="CA136" s="67" t="n">
        <v>8.6</v>
      </c>
      <c r="CB136" s="67" t="n"/>
      <c r="CC136" s="65">
        <f>IFERROR(IF(AND(CA136&lt;&gt;"",CB136&lt;&gt;""),ABS(CA136-CB136)/ABS(CA136)*100,""),"")</f>
        <v/>
      </c>
      <c r="CD136" s="62" t="inlineStr">
        <is>
          <t>Claude</t>
        </is>
      </c>
      <c r="CE136" s="64" t="n">
        <v>9.859999999999999</v>
      </c>
      <c r="CF136" s="64" t="n">
        <v>8.92</v>
      </c>
      <c r="CG136" s="65">
        <f>IFERROR(IF(AND(CE136&lt;&gt;"",CF136&lt;&gt;""),ABS(CE136-CF136)/ABS(CE136)*100,""),"")</f>
        <v/>
      </c>
      <c r="CH136" s="66" t="inlineStr">
        <is>
          <t>MANUAL FLAG</t>
        </is>
      </c>
      <c r="CI136" s="64" t="n">
        <v>0.21</v>
      </c>
      <c r="CJ136" s="64" t="n">
        <v>1.15</v>
      </c>
      <c r="CK136" s="65">
        <f>IFERROR(IF(AND(CI136&lt;&gt;"",CJ136&lt;&gt;""),ABS(CI136-CJ136)/ABS(CI136)*100,""),"")</f>
        <v/>
      </c>
      <c r="CL136" s="66" t="inlineStr">
        <is>
          <t>MANUAL FLAG</t>
        </is>
      </c>
      <c r="CM136" s="67" t="n"/>
      <c r="CN136" s="67" t="n"/>
      <c r="CO136" s="65">
        <f>IFERROR(IF(AND(CM136&lt;&gt;"",CN136&lt;&gt;""),ABS(CM136-CN136)/ABS(CM136)*100,""),"")</f>
        <v/>
      </c>
      <c r="CP136" s="62" t="inlineStr">
        <is>
          <t>ND</t>
        </is>
      </c>
      <c r="CQ136" s="67" t="n">
        <v>0</v>
      </c>
      <c r="CR136" s="67" t="n">
        <v>0</v>
      </c>
      <c r="CS136" s="65">
        <f>IFERROR(IF(AND(CQ136&lt;&gt;"",CR136&lt;&gt;""),ABS(CQ136-CR136)/ABS(CQ136)*100,""),"")</f>
        <v/>
      </c>
      <c r="CT136" s="62" t="inlineStr">
        <is>
          <t>Claude</t>
        </is>
      </c>
      <c r="CU136" s="67" t="n">
        <v>0</v>
      </c>
      <c r="CV136" s="67" t="n">
        <v>0</v>
      </c>
      <c r="CW136" s="65">
        <f>IFERROR(IF(AND(CU136&lt;&gt;"",CV136&lt;&gt;""),ABS(CU136-CV136)/ABS(CU136)*100,""),"")</f>
        <v/>
      </c>
      <c r="CX136" s="62" t="inlineStr">
        <is>
          <t>Claude</t>
        </is>
      </c>
      <c r="CY136" s="68" t="n"/>
      <c r="CZ136" s="68" t="n"/>
      <c r="DA136" s="65">
        <f>IFERROR(IF(AND(CY136&lt;&gt;"",CZ136&lt;&gt;""),ABS(CY136-CZ136)/ABS(CY136)*100,""),"")</f>
        <v/>
      </c>
      <c r="DB136" s="62" t="inlineStr">
        <is>
          <t>ND</t>
        </is>
      </c>
      <c r="DC136" s="68" t="n"/>
      <c r="DD136" s="68" t="n"/>
      <c r="DE136" s="65">
        <f>IFERROR(IF(AND(DC136&lt;&gt;"",DD136&lt;&gt;""),ABS(DC136-DD136)/ABS(DC136)*100,""),"")</f>
        <v/>
      </c>
      <c r="DF136" s="62" t="inlineStr">
        <is>
          <t>ND</t>
        </is>
      </c>
      <c r="DG136" s="68" t="n"/>
      <c r="DH136" s="68" t="n"/>
      <c r="DI136" s="65">
        <f>IFERROR(IF(AND(DG136&lt;&gt;"",DH136&lt;&gt;""),ABS(DG136-DH136)/ABS(DG136)*100,""),"")</f>
        <v/>
      </c>
      <c r="DJ136" s="62" t="inlineStr">
        <is>
          <t>ND</t>
        </is>
      </c>
      <c r="DK136" s="68" t="n"/>
      <c r="DL136" s="68" t="n"/>
      <c r="DM136" s="65">
        <f>IFERROR(IF(AND(DK136&lt;&gt;"",DL136&lt;&gt;""),ABS(DK136-DL136)/ABS(DK136)*100,""),"")</f>
        <v/>
      </c>
      <c r="DN136" s="62" t="inlineStr">
        <is>
          <t>ND</t>
        </is>
      </c>
      <c r="DO136" s="68" t="n"/>
      <c r="DP136" s="68" t="n"/>
      <c r="DQ136" s="65">
        <f>IFERROR(IF(AND(DO136&lt;&gt;"",DP136&lt;&gt;""),ABS(DO136-DP136)/ABS(DO136)*100,""),"")</f>
        <v/>
      </c>
      <c r="DR136" s="62" t="inlineStr">
        <is>
          <t>ND</t>
        </is>
      </c>
      <c r="DS136" s="68" t="n"/>
      <c r="DT136" s="68" t="n"/>
      <c r="DU136" s="65">
        <f>IFERROR(IF(AND(DS136&lt;&gt;"",DT136&lt;&gt;""),ABS(DS136-DT136)/ABS(DS136)*100,""),"")</f>
        <v/>
      </c>
      <c r="DV136" s="62" t="inlineStr">
        <is>
          <t>ND</t>
        </is>
      </c>
      <c r="DW136" s="63" t="inlineStr">
        <is>
          <t>Claude only (DeepSeek pending). Source=HDHMS_2024.pdf, only report covering 2022 (first-ever report, no cross-edition conflicts possible). Ind.7/8=ND (%Disabled/%Foreign): disability headcount=1, foreign headcount=65 - no total workforce disclosed to compute %. Ind.9 (Female Middle Managers)=0.00%, a REAL finding (zero female mid-tier managers using the report's 'Managers' mid-tier definition), not missing data. Ind.10 (Female Executives)=0.00%, HMS DOMESTIC SCOPE ONLY (no Global figure exists for this indicator) - note scope difference vs Ind.1-3/6/8 which are Global scope. Ind.12-17/19-21/23-24 all HMS-domestic scope only. Ind.21=0.21, PROXY (derived as Total minus Voluntary turnover, methodology not confirmed by report). Ind.22=na (no union exists at all; correctly not substituted with the 'Labor-management council'). Ind.23=0, source notes an internal report inconsistency here too (0 Lost Time Incidents shown for 2023/2024 despite non-zero LTIFR those years, though 2022 itself is consistent at 0). || DEEPSEEK RECONCILIATION (year-shift applied to Ind.1-5,9-11 per user confirmation) - MANUAL FLAGS: Ind.20 (Voluntary Turnover): Claude=9.86, DeepSeek=8.92, Diff=9.5%; Ind.21 (Involuntary Turnover): Claude=0.21, DeepSeek=1.15, Diff=447.6%</t>
        </is>
      </c>
    </row>
    <row r="137" ht="15.75" customHeight="1" s="43">
      <c r="A137" s="69" t="n"/>
      <c r="B137" s="69" t="n"/>
      <c r="C137" s="69" t="inlineStr">
        <is>
          <t>Industrials</t>
        </is>
      </c>
      <c r="D137" s="69" t="inlineStr">
        <is>
          <t>2023</t>
        </is>
      </c>
      <c r="E137" s="70" t="inlineStr">
        <is>
          <t>HDHMS_2024.pdf (only report covering 2023)</t>
        </is>
      </c>
      <c r="F137" s="69" t="n"/>
      <c r="G137" s="67" t="n">
        <v>9.550000000000001</v>
      </c>
      <c r="H137" s="67" t="n">
        <v>9.550000000000001</v>
      </c>
      <c r="I137" s="71">
        <f>IFERROR(IF(AND(G137&lt;&gt;"",H137&lt;&gt;""),ABS(G137-H137)/ABS(G137)*100,""),"")</f>
        <v/>
      </c>
      <c r="J137" s="69" t="inlineStr">
        <is>
          <t>Claude</t>
        </is>
      </c>
      <c r="K137" s="67" t="n">
        <v>25.21</v>
      </c>
      <c r="L137" s="67" t="n">
        <v>25.21</v>
      </c>
      <c r="M137" s="71">
        <f>IFERROR(IF(AND(K137&lt;&gt;"",L137&lt;&gt;""),ABS(K137-L137)/ABS(K137)*100,""),"")</f>
        <v/>
      </c>
      <c r="N137" s="69" t="inlineStr">
        <is>
          <t>Claude</t>
        </is>
      </c>
      <c r="O137" s="67" t="n">
        <v>68</v>
      </c>
      <c r="P137" s="67" t="n">
        <v>68</v>
      </c>
      <c r="Q137" s="71">
        <f>IFERROR(IF(AND(O137&lt;&gt;"",P137&lt;&gt;""),ABS(O137-P137)/ABS(O137)*100,""),"")</f>
        <v/>
      </c>
      <c r="R137" s="69" t="inlineStr">
        <is>
          <t>Claude</t>
        </is>
      </c>
      <c r="S137" s="67" t="n">
        <v>25.86</v>
      </c>
      <c r="T137" s="67" t="n">
        <v>24.97</v>
      </c>
      <c r="U137" s="71">
        <f>IFERROR(IF(AND(S137&lt;&gt;"",T137&lt;&gt;""),ABS(S137-T137)/ABS(S137)*100,""),"")</f>
        <v/>
      </c>
      <c r="V137" s="69" t="inlineStr">
        <is>
          <t>Claude</t>
        </is>
      </c>
      <c r="W137" s="67" t="n"/>
      <c r="X137" s="67" t="n"/>
      <c r="Y137" s="71">
        <f>IFERROR(IF(AND(W137&lt;&gt;"",X137&lt;&gt;""),ABS(W137-X137)/ABS(W137)*100,""),"")</f>
        <v/>
      </c>
      <c r="Z137" s="69" t="inlineStr">
        <is>
          <t>ND</t>
        </is>
      </c>
      <c r="AA137" s="67" t="n">
        <v>36.45</v>
      </c>
      <c r="AB137" s="67" t="n">
        <v>36.45</v>
      </c>
      <c r="AC137" s="71">
        <f>IFERROR(IF(AND(AA137&lt;&gt;"",AB137&lt;&gt;""),ABS(AA137-AB137)/ABS(AA137)*100,""),"")</f>
        <v/>
      </c>
      <c r="AD137" s="69" t="inlineStr">
        <is>
          <t>Claude</t>
        </is>
      </c>
      <c r="AE137" s="67" t="n"/>
      <c r="AF137" s="67" t="n"/>
      <c r="AG137" s="71">
        <f>IFERROR(IF(AND(AE137&lt;&gt;"",AF137&lt;&gt;""),ABS(AE137-AF137)/ABS(AE137)*100,""),"")</f>
        <v/>
      </c>
      <c r="AH137" s="69" t="inlineStr">
        <is>
          <t>ND</t>
        </is>
      </c>
      <c r="AI137" s="67" t="n"/>
      <c r="AJ137" s="67" t="n"/>
      <c r="AK137" s="71">
        <f>IFERROR(IF(AND(AI137&lt;&gt;"",AJ137&lt;&gt;""),ABS(AI137-AJ137)/ABS(AI137)*100,""),"")</f>
        <v/>
      </c>
      <c r="AL137" s="69" t="inlineStr">
        <is>
          <t>ND</t>
        </is>
      </c>
      <c r="AM137" s="67" t="n">
        <v>0</v>
      </c>
      <c r="AN137" s="67" t="n">
        <v>0</v>
      </c>
      <c r="AO137" s="71">
        <f>IFERROR(IF(AND(AM137&lt;&gt;"",AN137&lt;&gt;""),ABS(AM137-AN137)/ABS(AM137)*100,""),"")</f>
        <v/>
      </c>
      <c r="AP137" s="69" t="inlineStr">
        <is>
          <t>Claude</t>
        </is>
      </c>
      <c r="AQ137" s="67" t="n">
        <v>14.29</v>
      </c>
      <c r="AR137" s="67" t="n">
        <v>14.29</v>
      </c>
      <c r="AS137" s="71">
        <f>IFERROR(IF(AND(AQ137&lt;&gt;"",AR137&lt;&gt;""),ABS(AQ137-AR137)/ABS(AQ137)*100,""),"")</f>
        <v/>
      </c>
      <c r="AT137" s="69" t="inlineStr">
        <is>
          <t>Claude</t>
        </is>
      </c>
      <c r="AU137" s="67" t="n"/>
      <c r="AV137" s="67" t="n">
        <v>0</v>
      </c>
      <c r="AW137" s="71">
        <f>IFERROR(IF(AND(AU137&lt;&gt;"",AV137&lt;&gt;""),ABS(AU137-AV137)/ABS(AU137)*100,""),"")</f>
        <v/>
      </c>
      <c r="AX137" s="69" t="inlineStr">
        <is>
          <t>DeepSeek</t>
        </is>
      </c>
      <c r="AY137" s="67" t="n">
        <v>94000000</v>
      </c>
      <c r="AZ137" s="67" t="n">
        <v>94000000</v>
      </c>
      <c r="BA137" s="71">
        <f>IFERROR(IF(AND(AY137&lt;&gt;"",AZ137&lt;&gt;""),ABS(AY137-AZ137)/ABS(AY137)*100,""),"")</f>
        <v/>
      </c>
      <c r="BB137" s="69" t="inlineStr">
        <is>
          <t>Claude</t>
        </is>
      </c>
      <c r="BC137" s="67" t="n">
        <v>41.75</v>
      </c>
      <c r="BD137" s="67" t="n">
        <v>41.75</v>
      </c>
      <c r="BE137" s="71">
        <f>IFERROR(IF(AND(BC137&lt;&gt;"",BD137&lt;&gt;""),ABS(BC137-BD137)/ABS(BC137)*100,""),"")</f>
        <v/>
      </c>
      <c r="BF137" s="69" t="inlineStr">
        <is>
          <t>Claude</t>
        </is>
      </c>
      <c r="BG137" s="67" t="n">
        <v>770000</v>
      </c>
      <c r="BH137" s="67" t="n">
        <v>770000</v>
      </c>
      <c r="BI137" s="71">
        <f>IFERROR(IF(AND(BG137&lt;&gt;"",BH137&lt;&gt;""),ABS(BG137-BH137)/ABS(BG137)*100,""),"")</f>
        <v/>
      </c>
      <c r="BJ137" s="69" t="inlineStr">
        <is>
          <t>Claude</t>
        </is>
      </c>
      <c r="BK137" s="67" t="n">
        <v>25.88</v>
      </c>
      <c r="BL137" s="67" t="n">
        <v>25.88</v>
      </c>
      <c r="BM137" s="71">
        <f>IFERROR(IF(AND(BK137&lt;&gt;"",BL137&lt;&gt;""),ABS(BK137-BL137)/ABS(BK137)*100,""),"")</f>
        <v/>
      </c>
      <c r="BN137" s="69" t="inlineStr">
        <is>
          <t>Claude</t>
        </is>
      </c>
      <c r="BO137" s="67" t="n">
        <v>4</v>
      </c>
      <c r="BP137" s="67" t="n">
        <v>4</v>
      </c>
      <c r="BQ137" s="71">
        <f>IFERROR(IF(AND(BO137&lt;&gt;"",BP137&lt;&gt;""),ABS(BO137-BP137)/ABS(BO137)*100,""),"")</f>
        <v/>
      </c>
      <c r="BR137" s="69" t="inlineStr">
        <is>
          <t>Claude</t>
        </is>
      </c>
      <c r="BS137" s="67" t="n">
        <v>1</v>
      </c>
      <c r="BT137" s="67" t="n">
        <v>1</v>
      </c>
      <c r="BU137" s="71">
        <f>IFERROR(IF(AND(BS137&lt;&gt;"",BT137&lt;&gt;""),ABS(BS137-BT137)/ABS(BS137)*100,""),"")</f>
        <v/>
      </c>
      <c r="BV137" s="69" t="inlineStr">
        <is>
          <t>Claude</t>
        </is>
      </c>
      <c r="BW137" s="67" t="n"/>
      <c r="BX137" s="67" t="n"/>
      <c r="BY137" s="71">
        <f>IFERROR(IF(AND(BW137&lt;&gt;"",BX137&lt;&gt;""),ABS(BW137-BX137)/ABS(BW137)*100,""),"")</f>
        <v/>
      </c>
      <c r="BZ137" s="69" t="inlineStr">
        <is>
          <t>ND</t>
        </is>
      </c>
      <c r="CA137" s="67" t="n">
        <v>8.5</v>
      </c>
      <c r="CB137" s="67" t="n"/>
      <c r="CC137" s="71">
        <f>IFERROR(IF(AND(CA137&lt;&gt;"",CB137&lt;&gt;""),ABS(CA137-CB137)/ABS(CA137)*100,""),"")</f>
        <v/>
      </c>
      <c r="CD137" s="69" t="inlineStr">
        <is>
          <t>Claude</t>
        </is>
      </c>
      <c r="CE137" s="64" t="n">
        <v>9.640000000000001</v>
      </c>
      <c r="CF137" s="64" t="n">
        <v>8.69</v>
      </c>
      <c r="CG137" s="71">
        <f>IFERROR(IF(AND(CE137&lt;&gt;"",CF137&lt;&gt;""),ABS(CE137-CF137)/ABS(CE137)*100,""),"")</f>
        <v/>
      </c>
      <c r="CH137" s="66" t="inlineStr">
        <is>
          <t>MANUAL FLAG</t>
        </is>
      </c>
      <c r="CI137" s="64" t="n">
        <v>0</v>
      </c>
      <c r="CJ137" s="64" t="n">
        <v>1.43</v>
      </c>
      <c r="CK137" s="71">
        <f>IFERROR(IF(AND(CI137&lt;&gt;"",CJ137&lt;&gt;""),ABS(CI137-CJ137)/ABS(CI137)*100,""),"")</f>
        <v/>
      </c>
      <c r="CL137" s="66" t="inlineStr">
        <is>
          <t>MANUAL FLAG</t>
        </is>
      </c>
      <c r="CM137" s="67" t="n"/>
      <c r="CN137" s="67" t="n"/>
      <c r="CO137" s="71">
        <f>IFERROR(IF(AND(CM137&lt;&gt;"",CN137&lt;&gt;""),ABS(CM137-CN137)/ABS(CM137)*100,""),"")</f>
        <v/>
      </c>
      <c r="CP137" s="69" t="inlineStr">
        <is>
          <t>ND</t>
        </is>
      </c>
      <c r="CQ137" s="67" t="n">
        <v>2.93</v>
      </c>
      <c r="CR137" s="67" t="n">
        <v>2.93</v>
      </c>
      <c r="CS137" s="71">
        <f>IFERROR(IF(AND(CQ137&lt;&gt;"",CR137&lt;&gt;""),ABS(CQ137-CR137)/ABS(CQ137)*100,""),"")</f>
        <v/>
      </c>
      <c r="CT137" s="69" t="inlineStr">
        <is>
          <t>Claude</t>
        </is>
      </c>
      <c r="CU137" s="67" t="n">
        <v>0</v>
      </c>
      <c r="CV137" s="67" t="n">
        <v>0</v>
      </c>
      <c r="CW137" s="71">
        <f>IFERROR(IF(AND(CU137&lt;&gt;"",CV137&lt;&gt;""),ABS(CU137-CV137)/ABS(CU137)*100,""),"")</f>
        <v/>
      </c>
      <c r="CX137" s="69" t="inlineStr">
        <is>
          <t>Claude</t>
        </is>
      </c>
      <c r="CY137" s="68" t="n"/>
      <c r="CZ137" s="68" t="n"/>
      <c r="DA137" s="71">
        <f>IFERROR(IF(AND(CY137&lt;&gt;"",CZ137&lt;&gt;""),ABS(CY137-CZ137)/ABS(CY137)*100,""),"")</f>
        <v/>
      </c>
      <c r="DB137" s="69" t="inlineStr">
        <is>
          <t>ND</t>
        </is>
      </c>
      <c r="DC137" s="68" t="n"/>
      <c r="DD137" s="68" t="n"/>
      <c r="DE137" s="71">
        <f>IFERROR(IF(AND(DC137&lt;&gt;"",DD137&lt;&gt;""),ABS(DC137-DD137)/ABS(DC137)*100,""),"")</f>
        <v/>
      </c>
      <c r="DF137" s="69" t="inlineStr">
        <is>
          <t>ND</t>
        </is>
      </c>
      <c r="DG137" s="68" t="n">
        <v>52.23</v>
      </c>
      <c r="DH137" s="68" t="n"/>
      <c r="DI137" s="71">
        <f>IFERROR(IF(AND(DG137&lt;&gt;"",DH137&lt;&gt;""),ABS(DG137-DH137)/ABS(DG137)*100,""),"")</f>
        <v/>
      </c>
      <c r="DJ137" s="69" t="inlineStr">
        <is>
          <t>Claude</t>
        </is>
      </c>
      <c r="DK137" s="68" t="n"/>
      <c r="DL137" s="68" t="n"/>
      <c r="DM137" s="71">
        <f>IFERROR(IF(AND(DK137&lt;&gt;"",DL137&lt;&gt;""),ABS(DK137-DL137)/ABS(DK137)*100,""),"")</f>
        <v/>
      </c>
      <c r="DN137" s="69" t="inlineStr">
        <is>
          <t>ND</t>
        </is>
      </c>
      <c r="DO137" s="68" t="n"/>
      <c r="DP137" s="68" t="n"/>
      <c r="DQ137" s="71">
        <f>IFERROR(IF(AND(DO137&lt;&gt;"",DP137&lt;&gt;""),ABS(DO137-DP137)/ABS(DO137)*100,""),"")</f>
        <v/>
      </c>
      <c r="DR137" s="69" t="inlineStr">
        <is>
          <t>ND</t>
        </is>
      </c>
      <c r="DS137" s="68" t="n"/>
      <c r="DT137" s="68" t="n"/>
      <c r="DU137" s="71">
        <f>IFERROR(IF(AND(DS137&lt;&gt;"",DT137&lt;&gt;""),ABS(DS137-DT137)/ABS(DS137)*100,""),"")</f>
        <v/>
      </c>
      <c r="DV137" s="69" t="inlineStr">
        <is>
          <t>ND</t>
        </is>
      </c>
      <c r="DW137" s="70" t="inlineStr">
        <is>
          <t>Claude only (DeepSeek pending). Ind.7/8=ND (disability=1, foreign=92). Ind.9=0.00% (still zero). Ind.10=14.29% (real change from 2022's 0%). Ind.21=0.00, proxy. Ind.23=2.93 - source flags this specific year as internally inconsistent (0 Lost Time Incidents shown in the same table despite this non-zero rate) - preserved as printed, not reconciled. Ind.27=52.23, first year with engagement data (2022 explicitly shown as '-'/not measured in the report, distinct from a genuine gap). || DEEPSEEK RECONCILIATION (year-shift applied to Ind.1-5,9-11 per user confirmation) - MANUAL FLAGS: Ind.20 (Voluntary Turnover): Claude=9.64, DeepSeek=8.69, Diff=9.9%; Ind.21 (Involuntary Turnover): Claude=0, DeepSeek=1.43, Diff=999999.0%</t>
        </is>
      </c>
    </row>
    <row r="138" ht="15.75" customHeight="1" s="43">
      <c r="A138" s="62" t="n"/>
      <c r="B138" s="62" t="n"/>
      <c r="C138" s="62" t="inlineStr">
        <is>
          <t>Industrials</t>
        </is>
      </c>
      <c r="D138" s="62" t="inlineStr">
        <is>
          <t>2024</t>
        </is>
      </c>
      <c r="E138" s="63" t="inlineStr">
        <is>
          <t>HDHMS_2024.pdf</t>
        </is>
      </c>
      <c r="F138" s="62" t="n"/>
      <c r="G138" s="67" t="n">
        <v>10.83</v>
      </c>
      <c r="H138" s="67" t="n">
        <v>10.83</v>
      </c>
      <c r="I138" s="65">
        <f>IFERROR(IF(AND(G138&lt;&gt;"",H138&lt;&gt;""),ABS(G138-H138)/ABS(G138)*100,""),"")</f>
        <v/>
      </c>
      <c r="J138" s="62" t="inlineStr">
        <is>
          <t>Claude</t>
        </is>
      </c>
      <c r="K138" s="67" t="n">
        <v>25.23</v>
      </c>
      <c r="L138" s="67" t="n">
        <v>25.23</v>
      </c>
      <c r="M138" s="65">
        <f>IFERROR(IF(AND(K138&lt;&gt;"",L138&lt;&gt;""),ABS(K138-L138)/ABS(K138)*100,""),"")</f>
        <v/>
      </c>
      <c r="N138" s="62" t="inlineStr">
        <is>
          <t>Claude</t>
        </is>
      </c>
      <c r="O138" s="67" t="n">
        <v>61.54</v>
      </c>
      <c r="P138" s="67" t="n">
        <v>61.54</v>
      </c>
      <c r="Q138" s="65">
        <f>IFERROR(IF(AND(O138&lt;&gt;"",P138&lt;&gt;""),ABS(O138-P138)/ABS(O138)*100,""),"")</f>
        <v/>
      </c>
      <c r="R138" s="62" t="inlineStr">
        <is>
          <t>Claude</t>
        </is>
      </c>
      <c r="S138" s="64" t="n">
        <v>19.88</v>
      </c>
      <c r="T138" s="64" t="n">
        <v>24.17</v>
      </c>
      <c r="U138" s="65">
        <f>IFERROR(IF(AND(S138&lt;&gt;"",T138&lt;&gt;""),ABS(S138-T138)/ABS(S138)*100,""),"")</f>
        <v/>
      </c>
      <c r="V138" s="66" t="inlineStr">
        <is>
          <t>MANUAL FLAG</t>
        </is>
      </c>
      <c r="W138" s="67" t="n"/>
      <c r="X138" s="67" t="n"/>
      <c r="Y138" s="65">
        <f>IFERROR(IF(AND(W138&lt;&gt;"",X138&lt;&gt;""),ABS(W138-X138)/ABS(W138)*100,""),"")</f>
        <v/>
      </c>
      <c r="Z138" s="62" t="inlineStr">
        <is>
          <t>ND</t>
        </is>
      </c>
      <c r="AA138" s="67" t="n">
        <v>42.51</v>
      </c>
      <c r="AB138" s="67" t="n">
        <v>42.51</v>
      </c>
      <c r="AC138" s="65">
        <f>IFERROR(IF(AND(AA138&lt;&gt;"",AB138&lt;&gt;""),ABS(AA138-AB138)/ABS(AA138)*100,""),"")</f>
        <v/>
      </c>
      <c r="AD138" s="62" t="inlineStr">
        <is>
          <t>Claude</t>
        </is>
      </c>
      <c r="AE138" s="67" t="n"/>
      <c r="AF138" s="67" t="n"/>
      <c r="AG138" s="65">
        <f>IFERROR(IF(AND(AE138&lt;&gt;"",AF138&lt;&gt;""),ABS(AE138-AF138)/ABS(AE138)*100,""),"")</f>
        <v/>
      </c>
      <c r="AH138" s="62" t="inlineStr">
        <is>
          <t>ND</t>
        </is>
      </c>
      <c r="AI138" s="67" t="n"/>
      <c r="AJ138" s="67" t="n"/>
      <c r="AK138" s="65">
        <f>IFERROR(IF(AND(AI138&lt;&gt;"",AJ138&lt;&gt;""),ABS(AI138-AJ138)/ABS(AI138)*100,""),"")</f>
        <v/>
      </c>
      <c r="AL138" s="62" t="inlineStr">
        <is>
          <t>ND</t>
        </is>
      </c>
      <c r="AM138" s="67" t="n">
        <v>0</v>
      </c>
      <c r="AN138" s="67" t="n">
        <v>0</v>
      </c>
      <c r="AO138" s="65">
        <f>IFERROR(IF(AND(AM138&lt;&gt;"",AN138&lt;&gt;""),ABS(AM138-AN138)/ABS(AM138)*100,""),"")</f>
        <v/>
      </c>
      <c r="AP138" s="62" t="inlineStr">
        <is>
          <t>Claude</t>
        </is>
      </c>
      <c r="AQ138" s="67" t="n">
        <v>14.29</v>
      </c>
      <c r="AR138" s="67" t="n">
        <v>14.29</v>
      </c>
      <c r="AS138" s="65">
        <f>IFERROR(IF(AND(AQ138&lt;&gt;"",AR138&lt;&gt;""),ABS(AQ138-AR138)/ABS(AQ138)*100,""),"")</f>
        <v/>
      </c>
      <c r="AT138" s="62" t="inlineStr">
        <is>
          <t>Claude</t>
        </is>
      </c>
      <c r="AU138" s="64" t="n">
        <v>16.67</v>
      </c>
      <c r="AV138" s="64" t="n">
        <v>14.29</v>
      </c>
      <c r="AW138" s="65">
        <f>IFERROR(IF(AND(AU138&lt;&gt;"",AV138&lt;&gt;""),ABS(AU138-AV138)/ABS(AU138)*100,""),"")</f>
        <v/>
      </c>
      <c r="AX138" s="66" t="inlineStr">
        <is>
          <t>MANUAL FLAG</t>
        </is>
      </c>
      <c r="AY138" s="67" t="n">
        <v>133000000</v>
      </c>
      <c r="AZ138" s="67" t="n">
        <v>133000000</v>
      </c>
      <c r="BA138" s="65">
        <f>IFERROR(IF(AND(AY138&lt;&gt;"",AZ138&lt;&gt;""),ABS(AY138-AZ138)/ABS(AY138)*100,""),"")</f>
        <v/>
      </c>
      <c r="BB138" s="62" t="inlineStr">
        <is>
          <t>Claude</t>
        </is>
      </c>
      <c r="BC138" s="67" t="n">
        <v>37.93</v>
      </c>
      <c r="BD138" s="67" t="n">
        <v>37.93</v>
      </c>
      <c r="BE138" s="65">
        <f>IFERROR(IF(AND(BC138&lt;&gt;"",BD138&lt;&gt;""),ABS(BC138-BD138)/ABS(BC138)*100,""),"")</f>
        <v/>
      </c>
      <c r="BF138" s="62" t="inlineStr">
        <is>
          <t>Claude</t>
        </is>
      </c>
      <c r="BG138" s="67" t="n">
        <v>780000</v>
      </c>
      <c r="BH138" s="67" t="n">
        <v>780000</v>
      </c>
      <c r="BI138" s="65">
        <f>IFERROR(IF(AND(BG138&lt;&gt;"",BH138&lt;&gt;""),ABS(BG138-BH138)/ABS(BG138)*100,""),"")</f>
        <v/>
      </c>
      <c r="BJ138" s="62" t="inlineStr">
        <is>
          <t>Claude</t>
        </is>
      </c>
      <c r="BK138" s="67" t="n">
        <v>50.15</v>
      </c>
      <c r="BL138" s="67" t="n">
        <v>50.15</v>
      </c>
      <c r="BM138" s="65">
        <f>IFERROR(IF(AND(BK138&lt;&gt;"",BL138&lt;&gt;""),ABS(BK138-BL138)/ABS(BK138)*100,""),"")</f>
        <v/>
      </c>
      <c r="BN138" s="62" t="inlineStr">
        <is>
          <t>Claude</t>
        </is>
      </c>
      <c r="BO138" s="67" t="n">
        <v>0</v>
      </c>
      <c r="BP138" s="67" t="n">
        <v>0</v>
      </c>
      <c r="BQ138" s="65">
        <f>IFERROR(IF(AND(BO138&lt;&gt;"",BP138&lt;&gt;""),ABS(BO138-BP138)/ABS(BO138)*100,""),"")</f>
        <v/>
      </c>
      <c r="BR138" s="62" t="inlineStr">
        <is>
          <t>Claude</t>
        </is>
      </c>
      <c r="BS138" s="67" t="n">
        <v>1</v>
      </c>
      <c r="BT138" s="67" t="n">
        <v>1</v>
      </c>
      <c r="BU138" s="65">
        <f>IFERROR(IF(AND(BS138&lt;&gt;"",BT138&lt;&gt;""),ABS(BS138-BT138)/ABS(BS138)*100,""),"")</f>
        <v/>
      </c>
      <c r="BV138" s="62" t="inlineStr">
        <is>
          <t>Claude</t>
        </is>
      </c>
      <c r="BW138" s="67" t="n"/>
      <c r="BX138" s="67" t="n"/>
      <c r="BY138" s="65">
        <f>IFERROR(IF(AND(BW138&lt;&gt;"",BX138&lt;&gt;""),ABS(BW138-BX138)/ABS(BW138)*100,""),"")</f>
        <v/>
      </c>
      <c r="BZ138" s="62" t="inlineStr">
        <is>
          <t>ND</t>
        </is>
      </c>
      <c r="CA138" s="67" t="n">
        <v>8.800000000000001</v>
      </c>
      <c r="CB138" s="67" t="n"/>
      <c r="CC138" s="65">
        <f>IFERROR(IF(AND(CA138&lt;&gt;"",CB138&lt;&gt;""),ABS(CA138-CB138)/ABS(CA138)*100,""),"")</f>
        <v/>
      </c>
      <c r="CD138" s="62" t="inlineStr">
        <is>
          <t>Claude</t>
        </is>
      </c>
      <c r="CE138" s="67" t="n">
        <v>6.52</v>
      </c>
      <c r="CF138" s="67" t="n"/>
      <c r="CG138" s="65">
        <f>IFERROR(IF(AND(CE138&lt;&gt;"",CF138&lt;&gt;""),ABS(CE138-CF138)/ABS(CE138)*100,""),"")</f>
        <v/>
      </c>
      <c r="CH138" s="62" t="inlineStr">
        <is>
          <t>Claude</t>
        </is>
      </c>
      <c r="CI138" s="67" t="n">
        <v>0.18</v>
      </c>
      <c r="CJ138" s="67" t="n"/>
      <c r="CK138" s="65">
        <f>IFERROR(IF(AND(CI138&lt;&gt;"",CJ138&lt;&gt;""),ABS(CI138-CJ138)/ABS(CI138)*100,""),"")</f>
        <v/>
      </c>
      <c r="CL138" s="62" t="inlineStr">
        <is>
          <t>Claude</t>
        </is>
      </c>
      <c r="CM138" s="67" t="n"/>
      <c r="CN138" s="67" t="n"/>
      <c r="CO138" s="65">
        <f>IFERROR(IF(AND(CM138&lt;&gt;"",CN138&lt;&gt;""),ABS(CM138-CN138)/ABS(CM138)*100,""),"")</f>
        <v/>
      </c>
      <c r="CP138" s="62" t="inlineStr">
        <is>
          <t>ND</t>
        </is>
      </c>
      <c r="CQ138" s="67" t="n">
        <v>1.82</v>
      </c>
      <c r="CR138" s="67" t="n">
        <v>1.82</v>
      </c>
      <c r="CS138" s="65">
        <f>IFERROR(IF(AND(CQ138&lt;&gt;"",CR138&lt;&gt;""),ABS(CQ138-CR138)/ABS(CQ138)*100,""),"")</f>
        <v/>
      </c>
      <c r="CT138" s="62" t="inlineStr">
        <is>
          <t>Claude</t>
        </is>
      </c>
      <c r="CU138" s="67" t="n">
        <v>0</v>
      </c>
      <c r="CV138" s="67" t="n">
        <v>0</v>
      </c>
      <c r="CW138" s="65">
        <f>IFERROR(IF(AND(CU138&lt;&gt;"",CV138&lt;&gt;""),ABS(CU138-CV138)/ABS(CU138)*100,""),"")</f>
        <v/>
      </c>
      <c r="CX138" s="62" t="inlineStr">
        <is>
          <t>Claude</t>
        </is>
      </c>
      <c r="CY138" s="68" t="n"/>
      <c r="CZ138" s="68" t="n"/>
      <c r="DA138" s="65">
        <f>IFERROR(IF(AND(CY138&lt;&gt;"",CZ138&lt;&gt;""),ABS(CY138-CZ138)/ABS(CY138)*100,""),"")</f>
        <v/>
      </c>
      <c r="DB138" s="62" t="inlineStr">
        <is>
          <t>ND</t>
        </is>
      </c>
      <c r="DC138" s="68" t="n"/>
      <c r="DD138" s="68" t="n"/>
      <c r="DE138" s="65">
        <f>IFERROR(IF(AND(DC138&lt;&gt;"",DD138&lt;&gt;""),ABS(DC138-DD138)/ABS(DC138)*100,""),"")</f>
        <v/>
      </c>
      <c r="DF138" s="62" t="inlineStr">
        <is>
          <t>ND</t>
        </is>
      </c>
      <c r="DG138" s="68" t="n">
        <v>56.89</v>
      </c>
      <c r="DH138" s="68" t="n">
        <v>56.89</v>
      </c>
      <c r="DI138" s="65">
        <f>IFERROR(IF(AND(DG138&lt;&gt;"",DH138&lt;&gt;""),ABS(DG138-DH138)/ABS(DG138)*100,""),"")</f>
        <v/>
      </c>
      <c r="DJ138" s="62" t="inlineStr">
        <is>
          <t>Claude</t>
        </is>
      </c>
      <c r="DK138" s="68" t="n"/>
      <c r="DL138" s="68" t="n"/>
      <c r="DM138" s="65">
        <f>IFERROR(IF(AND(DK138&lt;&gt;"",DL138&lt;&gt;""),ABS(DK138-DL138)/ABS(DK138)*100,""),"")</f>
        <v/>
      </c>
      <c r="DN138" s="62" t="inlineStr">
        <is>
          <t>ND</t>
        </is>
      </c>
      <c r="DO138" s="68" t="n"/>
      <c r="DP138" s="68" t="n"/>
      <c r="DQ138" s="65">
        <f>IFERROR(IF(AND(DO138&lt;&gt;"",DP138&lt;&gt;""),ABS(DO138-DP138)/ABS(DO138)*100,""),"")</f>
        <v/>
      </c>
      <c r="DR138" s="62" t="inlineStr">
        <is>
          <t>ND</t>
        </is>
      </c>
      <c r="DS138" s="68" t="n"/>
      <c r="DT138" s="68" t="n"/>
      <c r="DU138" s="65">
        <f>IFERROR(IF(AND(DS138&lt;&gt;"",DT138&lt;&gt;""),ABS(DS138-DT138)/ABS(DS138)*100,""),"")</f>
        <v/>
      </c>
      <c r="DV138" s="62" t="inlineStr">
        <is>
          <t>ND</t>
        </is>
      </c>
      <c r="DW138" s="63" t="inlineStr">
        <is>
          <t>Claude only (DeepSeek pending). Ind.7/8=ND (disability=1, foreign=100). Ind.10=14.29% (matches 2023). Ind.11=16.67%, PROXY: derived from a June 2025 board-composition snapshot (1 of 6 members female) that POSTDATES FY2024 year-end - not a confirmed same-year figure. Ind.21=0.18, proxy. Ind.23=1.82, same internal-inconsistency caveat as 2023 (0 Lost Time Incidents shown despite non-zero rate). || DEEPSEEK RECONCILIATION (year-shift applied to Ind.1-5,9-11 per user confirmation) - MANUAL FLAGS: Ind.4 (New Hire Rate): Claude=19.88, DeepSeek=24.17, Diff=21.6%; Ind.11 (Female Board Directors): Claude=16.67, DeepSeek=14.29, Diff=14.3%</t>
        </is>
      </c>
    </row>
    <row r="139" ht="4.5" customHeight="1" s="43">
      <c r="A139" s="72" t="n"/>
      <c r="B139" s="72" t="n"/>
      <c r="C139" s="72" t="n"/>
      <c r="D139" s="72" t="n"/>
      <c r="E139" s="72" t="n"/>
      <c r="F139" s="72" t="n"/>
      <c r="G139" s="72" t="n"/>
      <c r="H139" s="72" t="n"/>
      <c r="I139" s="72" t="n"/>
      <c r="J139" s="72" t="n"/>
      <c r="K139" s="72" t="n"/>
      <c r="L139" s="72" t="n"/>
      <c r="M139" s="72" t="n"/>
      <c r="N139" s="72" t="n"/>
      <c r="O139" s="72" t="n"/>
      <c r="P139" s="72" t="n"/>
      <c r="Q139" s="72" t="n"/>
      <c r="R139" s="72" t="n"/>
      <c r="S139" s="72" t="n"/>
      <c r="T139" s="72" t="n"/>
      <c r="U139" s="72" t="n"/>
      <c r="V139" s="72" t="n"/>
      <c r="W139" s="72" t="n"/>
      <c r="X139" s="72" t="n"/>
      <c r="Y139" s="72" t="n"/>
      <c r="Z139" s="72" t="n"/>
      <c r="AA139" s="72" t="n"/>
      <c r="AB139" s="72" t="n"/>
      <c r="AC139" s="72" t="n"/>
      <c r="AD139" s="72" t="n"/>
      <c r="AE139" s="72" t="n"/>
      <c r="AF139" s="72" t="n"/>
      <c r="AG139" s="72" t="n"/>
      <c r="AH139" s="72" t="n"/>
      <c r="AI139" s="72" t="n"/>
      <c r="AJ139" s="72" t="n"/>
      <c r="AK139" s="72" t="n"/>
      <c r="AL139" s="72" t="n"/>
      <c r="AM139" s="72" t="n"/>
      <c r="AN139" s="72" t="n"/>
      <c r="AO139" s="72" t="n"/>
      <c r="AP139" s="72" t="n"/>
      <c r="AQ139" s="72" t="n"/>
      <c r="AR139" s="72" t="n"/>
      <c r="AS139" s="72" t="n"/>
      <c r="AT139" s="72" t="n"/>
      <c r="AU139" s="72" t="n"/>
      <c r="AV139" s="72" t="n"/>
      <c r="AW139" s="72" t="n"/>
      <c r="AX139" s="72" t="n"/>
      <c r="AY139" s="72" t="n"/>
      <c r="AZ139" s="72" t="n"/>
      <c r="BA139" s="72" t="n"/>
      <c r="BB139" s="72" t="n"/>
      <c r="BC139" s="72" t="n"/>
      <c r="BD139" s="72" t="n"/>
      <c r="BE139" s="72" t="n"/>
      <c r="BF139" s="72" t="n"/>
      <c r="BG139" s="72" t="n"/>
      <c r="BH139" s="72" t="n"/>
      <c r="BI139" s="72" t="n"/>
      <c r="BJ139" s="72" t="n"/>
      <c r="BK139" s="72" t="n"/>
      <c r="BL139" s="72" t="n"/>
      <c r="BM139" s="72" t="n"/>
      <c r="BN139" s="72" t="n"/>
      <c r="BO139" s="72" t="n"/>
      <c r="BP139" s="72" t="n"/>
      <c r="BQ139" s="72" t="n"/>
      <c r="BR139" s="72" t="n"/>
      <c r="BS139" s="72" t="n"/>
      <c r="BT139" s="72" t="n"/>
      <c r="BU139" s="72" t="n"/>
      <c r="BV139" s="72" t="n"/>
      <c r="BW139" s="72" t="n"/>
      <c r="BX139" s="72" t="n"/>
      <c r="BY139" s="72" t="n"/>
      <c r="BZ139" s="72" t="n"/>
      <c r="CA139" s="72" t="n"/>
      <c r="CB139" s="72" t="n"/>
      <c r="CC139" s="72" t="n"/>
      <c r="CD139" s="72" t="n"/>
      <c r="CE139" s="72" t="n"/>
      <c r="CF139" s="72" t="n"/>
      <c r="CG139" s="72" t="n"/>
      <c r="CH139" s="72" t="n"/>
      <c r="CI139" s="72" t="n"/>
      <c r="CJ139" s="72" t="n"/>
      <c r="CK139" s="72" t="n"/>
      <c r="CL139" s="72" t="n"/>
      <c r="CM139" s="72" t="n"/>
      <c r="CN139" s="72" t="n"/>
      <c r="CO139" s="72" t="n"/>
      <c r="CP139" s="72" t="n"/>
      <c r="CQ139" s="72" t="n"/>
      <c r="CR139" s="72" t="n"/>
      <c r="CS139" s="72" t="n"/>
      <c r="CT139" s="72" t="n"/>
      <c r="CU139" s="72" t="n"/>
      <c r="CV139" s="72" t="n"/>
      <c r="CW139" s="72" t="n"/>
      <c r="CX139" s="72" t="n"/>
      <c r="CY139" s="72" t="n"/>
      <c r="CZ139" s="72" t="n"/>
      <c r="DA139" s="72" t="n"/>
      <c r="DB139" s="72" t="n"/>
      <c r="DC139" s="72" t="n"/>
      <c r="DD139" s="72" t="n"/>
      <c r="DE139" s="72" t="n"/>
      <c r="DF139" s="72" t="n"/>
      <c r="DG139" s="72" t="n"/>
      <c r="DH139" s="72" t="n"/>
      <c r="DI139" s="72" t="n"/>
      <c r="DJ139" s="72" t="n"/>
      <c r="DK139" s="72" t="n"/>
      <c r="DL139" s="72" t="n"/>
      <c r="DM139" s="72" t="n"/>
      <c r="DN139" s="72" t="n"/>
      <c r="DO139" s="72" t="n"/>
      <c r="DP139" s="72" t="n"/>
      <c r="DQ139" s="72" t="n"/>
      <c r="DR139" s="72" t="n"/>
      <c r="DS139" s="72" t="n"/>
      <c r="DT139" s="72" t="n"/>
      <c r="DU139" s="72" t="n"/>
      <c r="DV139" s="72" t="n"/>
      <c r="DW139" s="72" t="n"/>
    </row>
    <row r="140" ht="15.75" customHeight="1" s="43">
      <c r="A140" s="73" t="inlineStr">
        <is>
          <t>HYOSUNG HEAVY</t>
        </is>
      </c>
      <c r="B140" s="69" t="inlineStr">
        <is>
          <t>298040</t>
        </is>
      </c>
      <c r="C140" s="69" t="inlineStr">
        <is>
          <t>Industrials</t>
        </is>
      </c>
      <c r="D140" s="69" t="inlineStr">
        <is>
          <t>2018</t>
        </is>
      </c>
      <c r="E140" s="70" t="inlineStr">
        <is>
          <t>Hyosung Heavy 2020 report (only report covering 2018)</t>
        </is>
      </c>
      <c r="F140" s="69" t="n"/>
      <c r="G140" s="67" t="n">
        <v>1.6346</v>
      </c>
      <c r="H140" s="67" t="n">
        <v>1.63</v>
      </c>
      <c r="I140" s="71">
        <f>IFERROR(IF(AND(G140&lt;&gt;"",H140&lt;&gt;""),ABS(G140-H140)/ABS(G140)*100,""),"")</f>
        <v/>
      </c>
      <c r="J140" s="69" t="inlineStr">
        <is>
          <t>Claude</t>
        </is>
      </c>
      <c r="K140" s="67" t="n">
        <v>7.0554</v>
      </c>
      <c r="L140" s="67" t="n">
        <v>7.06</v>
      </c>
      <c r="M140" s="71">
        <f>IFERROR(IF(AND(K140&lt;&gt;"",L140&lt;&gt;""),ABS(K140-L140)/ABS(K140)*100,""),"")</f>
        <v/>
      </c>
      <c r="N140" s="69" t="inlineStr">
        <is>
          <t>Claude</t>
        </is>
      </c>
      <c r="O140" s="67" t="n">
        <v>7.0175</v>
      </c>
      <c r="P140" s="67" t="n">
        <v>7.02</v>
      </c>
      <c r="Q140" s="71">
        <f>IFERROR(IF(AND(O140&lt;&gt;"",P140&lt;&gt;""),ABS(O140-P140)/ABS(O140)*100,""),"")</f>
        <v/>
      </c>
      <c r="R140" s="69" t="inlineStr">
        <is>
          <t>Claude</t>
        </is>
      </c>
      <c r="S140" s="64" t="n">
        <v>1.2332</v>
      </c>
      <c r="T140" s="64" t="n">
        <v>4.27</v>
      </c>
      <c r="U140" s="71">
        <f>IFERROR(IF(AND(S140&lt;&gt;"",T140&lt;&gt;""),ABS(S140-T140)/ABS(S140)*100,""),"")</f>
        <v/>
      </c>
      <c r="V140" s="66" t="inlineStr">
        <is>
          <t>MANUAL FLAG</t>
        </is>
      </c>
      <c r="W140" s="67" t="n"/>
      <c r="X140" s="67" t="n"/>
      <c r="Y140" s="71">
        <f>IFERROR(IF(AND(W140&lt;&gt;"",X140&lt;&gt;""),ABS(W140-X140)/ABS(W140)*100,""),"")</f>
        <v/>
      </c>
      <c r="Z140" s="69" t="inlineStr">
        <is>
          <t>ND</t>
        </is>
      </c>
      <c r="AA140" s="64" t="n">
        <v>30.2326</v>
      </c>
      <c r="AB140" s="64" t="n">
        <v>8.720000000000001</v>
      </c>
      <c r="AC140" s="71">
        <f>IFERROR(IF(AND(AA140&lt;&gt;"",AB140&lt;&gt;""),ABS(AA140-AB140)/ABS(AA140)*100,""),"")</f>
        <v/>
      </c>
      <c r="AD140" s="66" t="inlineStr">
        <is>
          <t>MANUAL FLAG</t>
        </is>
      </c>
      <c r="AE140" s="67" t="n"/>
      <c r="AF140" s="67" t="n"/>
      <c r="AG140" s="71">
        <f>IFERROR(IF(AND(AE140&lt;&gt;"",AF140&lt;&gt;""),ABS(AE140-AF140)/ABS(AE140)*100,""),"")</f>
        <v/>
      </c>
      <c r="AH140" s="69" t="inlineStr">
        <is>
          <t>ND</t>
        </is>
      </c>
      <c r="AI140" s="67" t="n"/>
      <c r="AJ140" s="67" t="n"/>
      <c r="AK140" s="71">
        <f>IFERROR(IF(AND(AI140&lt;&gt;"",AJ140&lt;&gt;""),ABS(AI140-AJ140)/ABS(AI140)*100,""),"")</f>
        <v/>
      </c>
      <c r="AL140" s="69" t="inlineStr">
        <is>
          <t>ND</t>
        </is>
      </c>
      <c r="AM140" s="67" t="n">
        <v>4.3</v>
      </c>
      <c r="AN140" s="67" t="n"/>
      <c r="AO140" s="71">
        <f>IFERROR(IF(AND(AM140&lt;&gt;"",AN140&lt;&gt;""),ABS(AM140-AN140)/ABS(AM140)*100,""),"")</f>
        <v/>
      </c>
      <c r="AP140" s="69" t="inlineStr">
        <is>
          <t>Claude</t>
        </is>
      </c>
      <c r="AQ140" s="67" t="n"/>
      <c r="AR140" s="67" t="n"/>
      <c r="AS140" s="71">
        <f>IFERROR(IF(AND(AQ140&lt;&gt;"",AR140&lt;&gt;""),ABS(AQ140-AR140)/ABS(AQ140)*100,""),"")</f>
        <v/>
      </c>
      <c r="AT140" s="69" t="inlineStr">
        <is>
          <t>ND</t>
        </is>
      </c>
      <c r="AU140" s="67" t="n"/>
      <c r="AV140" s="67" t="n"/>
      <c r="AW140" s="71">
        <f>IFERROR(IF(AND(AU140&lt;&gt;"",AV140&lt;&gt;""),ABS(AU140-AV140)/ABS(AU140)*100,""),"")</f>
        <v/>
      </c>
      <c r="AX140" s="69" t="inlineStr">
        <is>
          <t>ND</t>
        </is>
      </c>
      <c r="AY140" s="67" t="n"/>
      <c r="AZ140" s="67" t="n"/>
      <c r="BA140" s="71">
        <f>IFERROR(IF(AND(AY140&lt;&gt;"",AZ140&lt;&gt;""),ABS(AY140-AZ140)/ABS(AY140)*100,""),"")</f>
        <v/>
      </c>
      <c r="BB140" s="69" t="inlineStr">
        <is>
          <t>ND</t>
        </is>
      </c>
      <c r="BC140" s="67" t="n"/>
      <c r="BD140" s="67" t="n"/>
      <c r="BE140" s="71">
        <f>IFERROR(IF(AND(BC140&lt;&gt;"",BD140&lt;&gt;""),ABS(BC140-BD140)/ABS(BC140)*100,""),"")</f>
        <v/>
      </c>
      <c r="BF140" s="69" t="inlineStr">
        <is>
          <t>ND</t>
        </is>
      </c>
      <c r="BG140" s="67" t="n">
        <v>213767</v>
      </c>
      <c r="BH140" s="67" t="n">
        <v>213767</v>
      </c>
      <c r="BI140" s="71">
        <f>IFERROR(IF(AND(BG140&lt;&gt;"",BH140&lt;&gt;""),ABS(BG140-BH140)/ABS(BG140)*100,""),"")</f>
        <v/>
      </c>
      <c r="BJ140" s="69" t="inlineStr">
        <is>
          <t>Claude</t>
        </is>
      </c>
      <c r="BK140" s="67" t="n">
        <v>52.4</v>
      </c>
      <c r="BL140" s="67" t="n">
        <v>52.4</v>
      </c>
      <c r="BM140" s="71">
        <f>IFERROR(IF(AND(BK140&lt;&gt;"",BL140&lt;&gt;""),ABS(BK140-BL140)/ABS(BK140)*100,""),"")</f>
        <v/>
      </c>
      <c r="BN140" s="69" t="inlineStr">
        <is>
          <t>Claude</t>
        </is>
      </c>
      <c r="BO140" s="64" t="n">
        <v>31</v>
      </c>
      <c r="BP140" s="64" t="n">
        <v>46</v>
      </c>
      <c r="BQ140" s="71">
        <f>IFERROR(IF(AND(BO140&lt;&gt;"",BP140&lt;&gt;""),ABS(BO140-BP140)/ABS(BO140)*100,""),"")</f>
        <v/>
      </c>
      <c r="BR140" s="66" t="inlineStr">
        <is>
          <t>MANUAL FLAG</t>
        </is>
      </c>
      <c r="BS140" s="64" t="n">
        <v>54</v>
      </c>
      <c r="BT140" s="64" t="n">
        <v>78</v>
      </c>
      <c r="BU140" s="71">
        <f>IFERROR(IF(AND(BS140&lt;&gt;"",BT140&lt;&gt;""),ABS(BS140-BT140)/ABS(BS140)*100,""),"")</f>
        <v/>
      </c>
      <c r="BV140" s="66" t="inlineStr">
        <is>
          <t>MANUAL FLAG</t>
        </is>
      </c>
      <c r="BW140" s="67" t="n"/>
      <c r="BX140" s="67" t="n">
        <v>93</v>
      </c>
      <c r="BY140" s="71">
        <f>IFERROR(IF(AND(BW140&lt;&gt;"",BX140&lt;&gt;""),ABS(BW140-BX140)/ABS(BW140)*100,""),"")</f>
        <v/>
      </c>
      <c r="BZ140" s="69" t="inlineStr">
        <is>
          <t>DeepSeek</t>
        </is>
      </c>
      <c r="CA140" s="67" t="n"/>
      <c r="CB140" s="67" t="n"/>
      <c r="CC140" s="71">
        <f>IFERROR(IF(AND(CA140&lt;&gt;"",CB140&lt;&gt;""),ABS(CA140-CB140)/ABS(CA140)*100,""),"")</f>
        <v/>
      </c>
      <c r="CD140" s="69" t="inlineStr">
        <is>
          <t>ND</t>
        </is>
      </c>
      <c r="CE140" s="64" t="n">
        <v>1.2</v>
      </c>
      <c r="CF140" s="64" t="n">
        <v>12.59</v>
      </c>
      <c r="CG140" s="71">
        <f>IFERROR(IF(AND(CE140&lt;&gt;"",CF140&lt;&gt;""),ABS(CE140-CF140)/ABS(CE140)*100,""),"")</f>
        <v/>
      </c>
      <c r="CH140" s="66" t="inlineStr">
        <is>
          <t>MANUAL FLAG</t>
        </is>
      </c>
      <c r="CI140" s="67" t="n"/>
      <c r="CJ140" s="67" t="n"/>
      <c r="CK140" s="71">
        <f>IFERROR(IF(AND(CI140&lt;&gt;"",CJ140&lt;&gt;""),ABS(CI140-CJ140)/ABS(CI140)*100,""),"")</f>
        <v/>
      </c>
      <c r="CL140" s="69" t="inlineStr">
        <is>
          <t>ND</t>
        </is>
      </c>
      <c r="CM140" s="67" t="n">
        <v>92.90000000000001</v>
      </c>
      <c r="CN140" s="67" t="n">
        <v>92.90000000000001</v>
      </c>
      <c r="CO140" s="71">
        <f>IFERROR(IF(AND(CM140&lt;&gt;"",CN140&lt;&gt;""),ABS(CM140-CN140)/ABS(CM140)*100,""),"")</f>
        <v/>
      </c>
      <c r="CP140" s="69" t="inlineStr">
        <is>
          <t>Claude</t>
        </is>
      </c>
      <c r="CQ140" s="67" t="n"/>
      <c r="CR140" s="67" t="n"/>
      <c r="CS140" s="71">
        <f>IFERROR(IF(AND(CQ140&lt;&gt;"",CR140&lt;&gt;""),ABS(CQ140-CR140)/ABS(CQ140)*100,""),"")</f>
        <v/>
      </c>
      <c r="CT140" s="69" t="inlineStr">
        <is>
          <t>ND</t>
        </is>
      </c>
      <c r="CU140" s="67" t="n">
        <v>0</v>
      </c>
      <c r="CV140" s="67" t="n">
        <v>0</v>
      </c>
      <c r="CW140" s="71">
        <f>IFERROR(IF(AND(CU140&lt;&gt;"",CV140&lt;&gt;""),ABS(CU140-CV140)/ABS(CU140)*100,""),"")</f>
        <v/>
      </c>
      <c r="CX140" s="69" t="inlineStr">
        <is>
          <t>Claude</t>
        </is>
      </c>
      <c r="CY140" s="68" t="n">
        <v>0</v>
      </c>
      <c r="CZ140" s="68" t="n"/>
      <c r="DA140" s="71">
        <f>IFERROR(IF(AND(CY140&lt;&gt;"",CZ140&lt;&gt;""),ABS(CY140-CZ140)/ABS(CY140)*100,""),"")</f>
        <v/>
      </c>
      <c r="DB140" s="69" t="inlineStr">
        <is>
          <t>Claude</t>
        </is>
      </c>
      <c r="DC140" s="68" t="n"/>
      <c r="DD140" s="68" t="n"/>
      <c r="DE140" s="71">
        <f>IFERROR(IF(AND(DC140&lt;&gt;"",DD140&lt;&gt;""),ABS(DC140-DD140)/ABS(DC140)*100,""),"")</f>
        <v/>
      </c>
      <c r="DF140" s="69" t="inlineStr">
        <is>
          <t>ND</t>
        </is>
      </c>
      <c r="DG140" s="68" t="n"/>
      <c r="DH140" s="68" t="n"/>
      <c r="DI140" s="71">
        <f>IFERROR(IF(AND(DG140&lt;&gt;"",DH140&lt;&gt;""),ABS(DG140-DH140)/ABS(DG140)*100,""),"")</f>
        <v/>
      </c>
      <c r="DJ140" s="69" t="inlineStr">
        <is>
          <t>ND</t>
        </is>
      </c>
      <c r="DK140" s="68" t="n"/>
      <c r="DL140" s="68" t="n"/>
      <c r="DM140" s="71">
        <f>IFERROR(IF(AND(DK140&lt;&gt;"",DL140&lt;&gt;""),ABS(DK140-DL140)/ABS(DK140)*100,""),"")</f>
        <v/>
      </c>
      <c r="DN140" s="69" t="inlineStr">
        <is>
          <t>ND</t>
        </is>
      </c>
      <c r="DO140" s="68" t="n"/>
      <c r="DP140" s="68" t="n"/>
      <c r="DQ140" s="71">
        <f>IFERROR(IF(AND(DO140&lt;&gt;"",DP140&lt;&gt;""),ABS(DO140-DP140)/ABS(DO140)*100,""),"")</f>
        <v/>
      </c>
      <c r="DR140" s="69" t="inlineStr">
        <is>
          <t>ND</t>
        </is>
      </c>
      <c r="DS140" s="68" t="n"/>
      <c r="DT140" s="68" t="n"/>
      <c r="DU140" s="71">
        <f>IFERROR(IF(AND(DS140&lt;&gt;"",DT140&lt;&gt;""),ABS(DS140-DT140)/ABS(DS140)*100,""),"")</f>
        <v/>
      </c>
      <c r="DV140" s="69" t="inlineStr">
        <is>
          <t>ND</t>
        </is>
      </c>
      <c r="DW140" s="70" t="inlineStr">
        <is>
          <t>Claude only (DeepSeek pending). Source=2020 report (only report covering 2018). Ind.7/8=ND (%Disabled/%Foreign): disability headcount=59, foreign headcount=13, no total workforce disclosed to compute %. Ind.9=4.3, PROXY ('manager-level or higher', broader than middle managers). Ind.22=92.9 - **LATER FOUND TO BE MISLEADING: the 2024 report reveals this 'Unionization rate' is denominated against a small CBA-eligible subgroup (~600-660 production workers), not the total workforce - the correct company-wide equivalent (per 2022/2023/2024 recalculation) would be roughly 17-20%, not 87-93%. Treat 2018/2019's ~90%+ figures with the same caution even though no later report covers these specific years to recalculate them.** || DEEPSEEK RECONCILIATION - MANUAL FLAGS: Ind.4 (New Hire Rate): Claude=1.2332, DeepSeek=4.27, Diff=246.3%; Ind.6 (New Hires Female%): Claude=30.2326, DeepSeek=8.72, Diff=71.2%; Ind.16 (Parental Leave F): Claude=31, DeepSeek=46, Diff=48.4%; Ind.17 (Parental Leave M): Claude=54, DeepSeek=78, Diff=44.4%; Ind.20 (Voluntary Turnover): Claude=1.2, DeepSeek=12.59, Diff=949.2%</t>
        </is>
      </c>
    </row>
    <row r="141" ht="15.75" customHeight="1" s="43">
      <c r="A141" s="62" t="n"/>
      <c r="B141" s="62" t="n"/>
      <c r="C141" s="62" t="inlineStr">
        <is>
          <t>Industrials</t>
        </is>
      </c>
      <c r="D141" s="62" t="inlineStr">
        <is>
          <t>2019</t>
        </is>
      </c>
      <c r="E141" s="63" t="inlineStr">
        <is>
          <t>Hyosung Heavy 2020 report (only report covering 2019)</t>
        </is>
      </c>
      <c r="F141" s="62" t="n"/>
      <c r="G141" s="67" t="n">
        <v>3.1295</v>
      </c>
      <c r="H141" s="67" t="n">
        <v>3.13</v>
      </c>
      <c r="I141" s="65">
        <f>IFERROR(IF(AND(G141&lt;&gt;"",H141&lt;&gt;""),ABS(G141-H141)/ABS(G141)*100,""),"")</f>
        <v/>
      </c>
      <c r="J141" s="62" t="inlineStr">
        <is>
          <t>Claude</t>
        </is>
      </c>
      <c r="K141" s="67" t="n">
        <v>7.4096</v>
      </c>
      <c r="L141" s="67" t="n">
        <v>7.41</v>
      </c>
      <c r="M141" s="65">
        <f>IFERROR(IF(AND(K141&lt;&gt;"",L141&lt;&gt;""),ABS(K141-L141)/ABS(K141)*100,""),"")</f>
        <v/>
      </c>
      <c r="N141" s="62" t="inlineStr">
        <is>
          <t>Claude</t>
        </is>
      </c>
      <c r="O141" s="64" t="n">
        <v>82.5688</v>
      </c>
      <c r="P141" s="64" t="n">
        <v>11.01</v>
      </c>
      <c r="Q141" s="65">
        <f>IFERROR(IF(AND(O141&lt;&gt;"",P141&lt;&gt;""),ABS(O141-P141)/ABS(O141)*100,""),"")</f>
        <v/>
      </c>
      <c r="R141" s="66" t="inlineStr">
        <is>
          <t>MANUAL FLAG</t>
        </is>
      </c>
      <c r="S141" s="64" t="n">
        <v>6.9767</v>
      </c>
      <c r="T141" s="64" t="n">
        <v>5.14</v>
      </c>
      <c r="U141" s="65">
        <f>IFERROR(IF(AND(S141&lt;&gt;"",T141&lt;&gt;""),ABS(S141-T141)/ABS(S141)*100,""),"")</f>
        <v/>
      </c>
      <c r="V141" s="66" t="inlineStr">
        <is>
          <t>MANUAL FLAG</t>
        </is>
      </c>
      <c r="W141" s="67" t="n"/>
      <c r="X141" s="67" t="n"/>
      <c r="Y141" s="65">
        <f>IFERROR(IF(AND(W141&lt;&gt;"",X141&lt;&gt;""),ABS(W141-X141)/ABS(W141)*100,""),"")</f>
        <v/>
      </c>
      <c r="Z141" s="62" t="inlineStr">
        <is>
          <t>ND</t>
        </is>
      </c>
      <c r="AA141" s="64" t="n">
        <v>36.6255</v>
      </c>
      <c r="AB141" s="64" t="n">
        <v>49.72</v>
      </c>
      <c r="AC141" s="65">
        <f>IFERROR(IF(AND(AA141&lt;&gt;"",AB141&lt;&gt;""),ABS(AA141-AB141)/ABS(AA141)*100,""),"")</f>
        <v/>
      </c>
      <c r="AD141" s="66" t="inlineStr">
        <is>
          <t>MANUAL FLAG</t>
        </is>
      </c>
      <c r="AE141" s="67" t="n"/>
      <c r="AF141" s="67" t="n"/>
      <c r="AG141" s="65">
        <f>IFERROR(IF(AND(AE141&lt;&gt;"",AF141&lt;&gt;""),ABS(AE141-AF141)/ABS(AE141)*100,""),"")</f>
        <v/>
      </c>
      <c r="AH141" s="62" t="inlineStr">
        <is>
          <t>ND</t>
        </is>
      </c>
      <c r="AI141" s="67" t="n"/>
      <c r="AJ141" s="67" t="n"/>
      <c r="AK141" s="65">
        <f>IFERROR(IF(AND(AI141&lt;&gt;"",AJ141&lt;&gt;""),ABS(AI141-AJ141)/ABS(AI141)*100,""),"")</f>
        <v/>
      </c>
      <c r="AL141" s="62" t="inlineStr">
        <is>
          <t>ND</t>
        </is>
      </c>
      <c r="AM141" s="67" t="n">
        <v>10.3</v>
      </c>
      <c r="AN141" s="67" t="n"/>
      <c r="AO141" s="65">
        <f>IFERROR(IF(AND(AM141&lt;&gt;"",AN141&lt;&gt;""),ABS(AM141-AN141)/ABS(AM141)*100,""),"")</f>
        <v/>
      </c>
      <c r="AP141" s="62" t="inlineStr">
        <is>
          <t>Claude</t>
        </is>
      </c>
      <c r="AQ141" s="67" t="n"/>
      <c r="AR141" s="67" t="n"/>
      <c r="AS141" s="65">
        <f>IFERROR(IF(AND(AQ141&lt;&gt;"",AR141&lt;&gt;""),ABS(AQ141-AR141)/ABS(AQ141)*100,""),"")</f>
        <v/>
      </c>
      <c r="AT141" s="62" t="inlineStr">
        <is>
          <t>ND</t>
        </is>
      </c>
      <c r="AU141" s="67" t="n"/>
      <c r="AV141" s="67" t="n"/>
      <c r="AW141" s="65">
        <f>IFERROR(IF(AND(AU141&lt;&gt;"",AV141&lt;&gt;""),ABS(AU141-AV141)/ABS(AU141)*100,""),"")</f>
        <v/>
      </c>
      <c r="AX141" s="62" t="inlineStr">
        <is>
          <t>ND</t>
        </is>
      </c>
      <c r="AY141" s="67" t="n"/>
      <c r="AZ141" s="67" t="n"/>
      <c r="BA141" s="65">
        <f>IFERROR(IF(AND(AY141&lt;&gt;"",AZ141&lt;&gt;""),ABS(AY141-AZ141)/ABS(AY141)*100,""),"")</f>
        <v/>
      </c>
      <c r="BB141" s="62" t="inlineStr">
        <is>
          <t>ND</t>
        </is>
      </c>
      <c r="BC141" s="67" t="n"/>
      <c r="BD141" s="67" t="n"/>
      <c r="BE141" s="65">
        <f>IFERROR(IF(AND(BC141&lt;&gt;"",BD141&lt;&gt;""),ABS(BC141-BD141)/ABS(BC141)*100,""),"")</f>
        <v/>
      </c>
      <c r="BF141" s="62" t="inlineStr">
        <is>
          <t>ND</t>
        </is>
      </c>
      <c r="BG141" s="67" t="n">
        <v>655964</v>
      </c>
      <c r="BH141" s="67" t="n">
        <v>655964</v>
      </c>
      <c r="BI141" s="65">
        <f>IFERROR(IF(AND(BG141&lt;&gt;"",BH141&lt;&gt;""),ABS(BG141-BH141)/ABS(BG141)*100,""),"")</f>
        <v/>
      </c>
      <c r="BJ141" s="62" t="inlineStr">
        <is>
          <t>Claude</t>
        </is>
      </c>
      <c r="BK141" s="67" t="n">
        <v>68.18000000000001</v>
      </c>
      <c r="BL141" s="67" t="n">
        <v>68.18000000000001</v>
      </c>
      <c r="BM141" s="65">
        <f>IFERROR(IF(AND(BK141&lt;&gt;"",BL141&lt;&gt;""),ABS(BK141-BL141)/ABS(BK141)*100,""),"")</f>
        <v/>
      </c>
      <c r="BN141" s="62" t="inlineStr">
        <is>
          <t>Claude</t>
        </is>
      </c>
      <c r="BO141" s="64" t="n">
        <v>14</v>
      </c>
      <c r="BP141" s="64" t="n">
        <v>38</v>
      </c>
      <c r="BQ141" s="65">
        <f>IFERROR(IF(AND(BO141&lt;&gt;"",BP141&lt;&gt;""),ABS(BO141-BP141)/ABS(BO141)*100,""),"")</f>
        <v/>
      </c>
      <c r="BR141" s="66" t="inlineStr">
        <is>
          <t>MANUAL FLAG</t>
        </is>
      </c>
      <c r="BS141" s="64" t="n">
        <v>132</v>
      </c>
      <c r="BT141" s="64" t="n">
        <v>110</v>
      </c>
      <c r="BU141" s="65">
        <f>IFERROR(IF(AND(BS141&lt;&gt;"",BT141&lt;&gt;""),ABS(BS141-BT141)/ABS(BS141)*100,""),"")</f>
        <v/>
      </c>
      <c r="BV141" s="66" t="inlineStr">
        <is>
          <t>MANUAL FLAG</t>
        </is>
      </c>
      <c r="BW141" s="67" t="n"/>
      <c r="BX141" s="67" t="n">
        <v>96</v>
      </c>
      <c r="BY141" s="65">
        <f>IFERROR(IF(AND(BW141&lt;&gt;"",BX141&lt;&gt;""),ABS(BW141-BX141)/ABS(BW141)*100,""),"")</f>
        <v/>
      </c>
      <c r="BZ141" s="62" t="inlineStr">
        <is>
          <t>DeepSeek</t>
        </is>
      </c>
      <c r="CA141" s="67" t="n"/>
      <c r="CB141" s="67" t="n"/>
      <c r="CC141" s="65">
        <f>IFERROR(IF(AND(CA141&lt;&gt;"",CB141&lt;&gt;""),ABS(CA141-CB141)/ABS(CA141)*100,""),"")</f>
        <v/>
      </c>
      <c r="CD141" s="62" t="inlineStr">
        <is>
          <t>ND</t>
        </is>
      </c>
      <c r="CE141" s="64" t="n">
        <v>2.76</v>
      </c>
      <c r="CF141" s="64" t="n">
        <v>12.8</v>
      </c>
      <c r="CG141" s="65">
        <f>IFERROR(IF(AND(CE141&lt;&gt;"",CF141&lt;&gt;""),ABS(CE141-CF141)/ABS(CE141)*100,""),"")</f>
        <v/>
      </c>
      <c r="CH141" s="66" t="inlineStr">
        <is>
          <t>MANUAL FLAG</t>
        </is>
      </c>
      <c r="CI141" s="67" t="n"/>
      <c r="CJ141" s="67" t="n"/>
      <c r="CK141" s="65">
        <f>IFERROR(IF(AND(CI141&lt;&gt;"",CJ141&lt;&gt;""),ABS(CI141-CJ141)/ABS(CI141)*100,""),"")</f>
        <v/>
      </c>
      <c r="CL141" s="62" t="inlineStr">
        <is>
          <t>ND</t>
        </is>
      </c>
      <c r="CM141" s="67" t="n">
        <v>89.90000000000001</v>
      </c>
      <c r="CN141" s="67" t="n">
        <v>89.90000000000001</v>
      </c>
      <c r="CO141" s="65">
        <f>IFERROR(IF(AND(CM141&lt;&gt;"",CN141&lt;&gt;""),ABS(CM141-CN141)/ABS(CM141)*100,""),"")</f>
        <v/>
      </c>
      <c r="CP141" s="62" t="inlineStr">
        <is>
          <t>Claude</t>
        </is>
      </c>
      <c r="CQ141" s="67" t="n"/>
      <c r="CR141" s="67" t="n"/>
      <c r="CS141" s="65">
        <f>IFERROR(IF(AND(CQ141&lt;&gt;"",CR141&lt;&gt;""),ABS(CQ141-CR141)/ABS(CQ141)*100,""),"")</f>
        <v/>
      </c>
      <c r="CT141" s="62" t="inlineStr">
        <is>
          <t>ND</t>
        </is>
      </c>
      <c r="CU141" s="67" t="n">
        <v>0</v>
      </c>
      <c r="CV141" s="67" t="n">
        <v>0</v>
      </c>
      <c r="CW141" s="65">
        <f>IFERROR(IF(AND(CU141&lt;&gt;"",CV141&lt;&gt;""),ABS(CU141-CV141)/ABS(CU141)*100,""),"")</f>
        <v/>
      </c>
      <c r="CX141" s="62" t="inlineStr">
        <is>
          <t>Claude</t>
        </is>
      </c>
      <c r="CY141" s="68" t="n">
        <v>0</v>
      </c>
      <c r="CZ141" s="68" t="n"/>
      <c r="DA141" s="65">
        <f>IFERROR(IF(AND(CY141&lt;&gt;"",CZ141&lt;&gt;""),ABS(CY141-CZ141)/ABS(CY141)*100,""),"")</f>
        <v/>
      </c>
      <c r="DB141" s="62" t="inlineStr">
        <is>
          <t>Claude</t>
        </is>
      </c>
      <c r="DC141" s="68" t="n"/>
      <c r="DD141" s="68" t="n"/>
      <c r="DE141" s="65">
        <f>IFERROR(IF(AND(DC141&lt;&gt;"",DD141&lt;&gt;""),ABS(DC141-DD141)/ABS(DC141)*100,""),"")</f>
        <v/>
      </c>
      <c r="DF141" s="62" t="inlineStr">
        <is>
          <t>ND</t>
        </is>
      </c>
      <c r="DG141" s="68" t="n"/>
      <c r="DH141" s="68" t="n"/>
      <c r="DI141" s="65">
        <f>IFERROR(IF(AND(DG141&lt;&gt;"",DH141&lt;&gt;""),ABS(DG141-DH141)/ABS(DG141)*100,""),"")</f>
        <v/>
      </c>
      <c r="DJ141" s="62" t="inlineStr">
        <is>
          <t>ND</t>
        </is>
      </c>
      <c r="DK141" s="68" t="n"/>
      <c r="DL141" s="68" t="n"/>
      <c r="DM141" s="65">
        <f>IFERROR(IF(AND(DK141&lt;&gt;"",DL141&lt;&gt;""),ABS(DK141-DL141)/ABS(DK141)*100,""),"")</f>
        <v/>
      </c>
      <c r="DN141" s="62" t="inlineStr">
        <is>
          <t>ND</t>
        </is>
      </c>
      <c r="DO141" s="68" t="n"/>
      <c r="DP141" s="68" t="n"/>
      <c r="DQ141" s="65">
        <f>IFERROR(IF(AND(DO141&lt;&gt;"",DP141&lt;&gt;""),ABS(DO141-DP141)/ABS(DO141)*100,""),"")</f>
        <v/>
      </c>
      <c r="DR141" s="62" t="inlineStr">
        <is>
          <t>ND</t>
        </is>
      </c>
      <c r="DS141" s="68" t="n"/>
      <c r="DT141" s="68" t="n"/>
      <c r="DU141" s="65">
        <f>IFERROR(IF(AND(DS141&lt;&gt;"",DT141&lt;&gt;""),ABS(DS141-DT141)/ABS(DS141)*100,""),"")</f>
        <v/>
      </c>
      <c r="DV141" s="62" t="inlineStr">
        <is>
          <t>ND</t>
        </is>
      </c>
      <c r="DW141" s="63" t="inlineStr">
        <is>
          <t>Claude only (DeepSeek pending). Source=2020 report. Ind.7/8=ND (disability=75, foreign=22). Ind.9=10.3, PROXY. Ind.18=ND: gendered breakdown only (M=99%/F=95%), no blended figure - recorded for reference. Ind.22=89.9 - SAME SCOPE-MISMATCH CAVEAT as 2018 (see note above) - likely not comparable to 2022+ figures. || DEEPSEEK RECONCILIATION - MANUAL FLAGS: Ind.3 (Female Contract%): Claude=82.5688, DeepSeek=11.01, Diff=86.7%; Ind.4 (New Hire Rate): Claude=6.9767, DeepSeek=5.14, Diff=26.3%; Ind.6 (New Hires Female%): Claude=36.6255, DeepSeek=49.72, Diff=35.8%; Ind.16 (Parental Leave F): Claude=14, DeepSeek=38, Diff=171.4%; Ind.17 (Parental Leave M): Claude=132, DeepSeek=110, Diff=16.7%; Ind.20 (Voluntary Turnover): Claude=2.76, DeepSeek=12.8, Diff=363.8%</t>
        </is>
      </c>
    </row>
    <row r="142" ht="15.75" customHeight="1" s="43">
      <c r="A142" s="69" t="n"/>
      <c r="B142" s="69" t="n"/>
      <c r="C142" s="69" t="inlineStr">
        <is>
          <t>Industrials</t>
        </is>
      </c>
      <c r="D142" s="69" t="inlineStr">
        <is>
          <t>2020</t>
        </is>
      </c>
      <c r="E142" s="70" t="inlineStr">
        <is>
          <t>HYOSUNG_HEAVY_2022.pdf (most recent covering 2020)</t>
        </is>
      </c>
      <c r="F142" s="69" t="n"/>
      <c r="G142" s="67" t="n">
        <v>5.17</v>
      </c>
      <c r="H142" s="67" t="n">
        <v>5.17</v>
      </c>
      <c r="I142" s="71">
        <f>IFERROR(IF(AND(G142&lt;&gt;"",H142&lt;&gt;""),ABS(G142-H142)/ABS(G142)*100,""),"")</f>
        <v/>
      </c>
      <c r="J142" s="69" t="inlineStr">
        <is>
          <t>Claude</t>
        </is>
      </c>
      <c r="K142" s="67" t="n">
        <v>7.43</v>
      </c>
      <c r="L142" s="67" t="n">
        <v>7.42</v>
      </c>
      <c r="M142" s="71">
        <f>IFERROR(IF(AND(K142&lt;&gt;"",L142&lt;&gt;""),ABS(K142-L142)/ABS(K142)*100,""),"")</f>
        <v/>
      </c>
      <c r="N142" s="69" t="inlineStr">
        <is>
          <t>Claude</t>
        </is>
      </c>
      <c r="O142" s="67" t="n">
        <v>53.99</v>
      </c>
      <c r="P142" s="67" t="n">
        <v>53.99</v>
      </c>
      <c r="Q142" s="71">
        <f>IFERROR(IF(AND(O142&lt;&gt;"",P142&lt;&gt;""),ABS(O142-P142)/ABS(O142)*100,""),"")</f>
        <v/>
      </c>
      <c r="R142" s="69" t="inlineStr">
        <is>
          <t>Claude</t>
        </is>
      </c>
      <c r="S142" s="64" t="n">
        <v>6.63</v>
      </c>
      <c r="T142" s="64" t="n">
        <v>7.1</v>
      </c>
      <c r="U142" s="71">
        <f>IFERROR(IF(AND(S142&lt;&gt;"",T142&lt;&gt;""),ABS(S142-T142)/ABS(S142)*100,""),"")</f>
        <v/>
      </c>
      <c r="V142" s="66" t="inlineStr">
        <is>
          <t>MANUAL FLAG</t>
        </is>
      </c>
      <c r="W142" s="67" t="n"/>
      <c r="X142" s="67" t="n"/>
      <c r="Y142" s="71">
        <f>IFERROR(IF(AND(W142&lt;&gt;"",X142&lt;&gt;""),ABS(W142-X142)/ABS(W142)*100,""),"")</f>
        <v/>
      </c>
      <c r="Z142" s="69" t="inlineStr">
        <is>
          <t>ND</t>
        </is>
      </c>
      <c r="AA142" s="67" t="n">
        <v>31.25</v>
      </c>
      <c r="AB142" s="67" t="n">
        <v>31.25</v>
      </c>
      <c r="AC142" s="71">
        <f>IFERROR(IF(AND(AA142&lt;&gt;"",AB142&lt;&gt;""),ABS(AA142-AB142)/ABS(AA142)*100,""),"")</f>
        <v/>
      </c>
      <c r="AD142" s="69" t="inlineStr">
        <is>
          <t>Claude</t>
        </is>
      </c>
      <c r="AE142" s="67" t="n"/>
      <c r="AF142" s="67" t="n"/>
      <c r="AG142" s="71">
        <f>IFERROR(IF(AND(AE142&lt;&gt;"",AF142&lt;&gt;""),ABS(AE142-AF142)/ABS(AE142)*100,""),"")</f>
        <v/>
      </c>
      <c r="AH142" s="69" t="inlineStr">
        <is>
          <t>ND</t>
        </is>
      </c>
      <c r="AI142" s="67" t="n"/>
      <c r="AJ142" s="67" t="n"/>
      <c r="AK142" s="71">
        <f>IFERROR(IF(AND(AI142&lt;&gt;"",AJ142&lt;&gt;""),ABS(AI142-AJ142)/ABS(AI142)*100,""),"")</f>
        <v/>
      </c>
      <c r="AL142" s="69" t="inlineStr">
        <is>
          <t>ND</t>
        </is>
      </c>
      <c r="AM142" s="67" t="n">
        <v>6.5</v>
      </c>
      <c r="AN142" s="67" t="n">
        <v>6.5</v>
      </c>
      <c r="AO142" s="71">
        <f>IFERROR(IF(AND(AM142&lt;&gt;"",AN142&lt;&gt;""),ABS(AM142-AN142)/ABS(AM142)*100,""),"")</f>
        <v/>
      </c>
      <c r="AP142" s="69" t="inlineStr">
        <is>
          <t>Claude</t>
        </is>
      </c>
      <c r="AQ142" s="67" t="n"/>
      <c r="AR142" s="67" t="n"/>
      <c r="AS142" s="71">
        <f>IFERROR(IF(AND(AQ142&lt;&gt;"",AR142&lt;&gt;""),ABS(AQ142-AR142)/ABS(AQ142)*100,""),"")</f>
        <v/>
      </c>
      <c r="AT142" s="69" t="inlineStr">
        <is>
          <t>ND</t>
        </is>
      </c>
      <c r="AU142" s="67" t="n"/>
      <c r="AV142" s="67" t="n"/>
      <c r="AW142" s="71">
        <f>IFERROR(IF(AND(AU142&lt;&gt;"",AV142&lt;&gt;""),ABS(AU142-AV142)/ABS(AU142)*100,""),"")</f>
        <v/>
      </c>
      <c r="AX142" s="69" t="inlineStr">
        <is>
          <t>ND</t>
        </is>
      </c>
      <c r="AY142" s="67" t="n">
        <v>58000000</v>
      </c>
      <c r="AZ142" s="67" t="n">
        <v>58000000</v>
      </c>
      <c r="BA142" s="71">
        <f>IFERROR(IF(AND(AY142&lt;&gt;"",AZ142&lt;&gt;""),ABS(AY142-AZ142)/ABS(AY142)*100,""),"")</f>
        <v/>
      </c>
      <c r="BB142" s="69" t="inlineStr">
        <is>
          <t>Claude</t>
        </is>
      </c>
      <c r="BC142" s="67" t="n"/>
      <c r="BD142" s="67" t="n"/>
      <c r="BE142" s="71">
        <f>IFERROR(IF(AND(BC142&lt;&gt;"",BD142&lt;&gt;""),ABS(BC142-BD142)/ABS(BC142)*100,""),"")</f>
        <v/>
      </c>
      <c r="BF142" s="69" t="inlineStr">
        <is>
          <t>ND</t>
        </is>
      </c>
      <c r="BG142" s="67" t="n">
        <v>338585</v>
      </c>
      <c r="BH142" s="67" t="n">
        <v>338585</v>
      </c>
      <c r="BI142" s="71">
        <f>IFERROR(IF(AND(BG142&lt;&gt;"",BH142&lt;&gt;""),ABS(BG142-BH142)/ABS(BG142)*100,""),"")</f>
        <v/>
      </c>
      <c r="BJ142" s="69" t="inlineStr">
        <is>
          <t>Claude</t>
        </is>
      </c>
      <c r="BK142" s="67" t="n">
        <v>47</v>
      </c>
      <c r="BL142" s="67" t="n">
        <v>47</v>
      </c>
      <c r="BM142" s="71">
        <f>IFERROR(IF(AND(BK142&lt;&gt;"",BL142&lt;&gt;""),ABS(BK142-BL142)/ABS(BK142)*100,""),"")</f>
        <v/>
      </c>
      <c r="BN142" s="69" t="inlineStr">
        <is>
          <t>Claude</t>
        </is>
      </c>
      <c r="BO142" s="64" t="n">
        <v>19</v>
      </c>
      <c r="BP142" s="64" t="n">
        <v>32</v>
      </c>
      <c r="BQ142" s="71">
        <f>IFERROR(IF(AND(BO142&lt;&gt;"",BP142&lt;&gt;""),ABS(BO142-BP142)/ABS(BO142)*100,""),"")</f>
        <v/>
      </c>
      <c r="BR142" s="66" t="inlineStr">
        <is>
          <t>MANUAL FLAG</t>
        </is>
      </c>
      <c r="BS142" s="64" t="n">
        <v>69</v>
      </c>
      <c r="BT142" s="64" t="n">
        <v>76</v>
      </c>
      <c r="BU142" s="71">
        <f>IFERROR(IF(AND(BS142&lt;&gt;"",BT142&lt;&gt;""),ABS(BS142-BT142)/ABS(BS142)*100,""),"")</f>
        <v/>
      </c>
      <c r="BV142" s="66" t="inlineStr">
        <is>
          <t>MANUAL FLAG</t>
        </is>
      </c>
      <c r="BW142" s="67" t="n"/>
      <c r="BX142" s="67" t="n"/>
      <c r="BY142" s="71">
        <f>IFERROR(IF(AND(BW142&lt;&gt;"",BX142&lt;&gt;""),ABS(BW142-BX142)/ABS(BW142)*100,""),"")</f>
        <v/>
      </c>
      <c r="BZ142" s="69" t="inlineStr">
        <is>
          <t>ND</t>
        </is>
      </c>
      <c r="CA142" s="67" t="n"/>
      <c r="CB142" s="67" t="n"/>
      <c r="CC142" s="71">
        <f>IFERROR(IF(AND(CA142&lt;&gt;"",CB142&lt;&gt;""),ABS(CA142-CB142)/ABS(CA142)*100,""),"")</f>
        <v/>
      </c>
      <c r="CD142" s="69" t="inlineStr">
        <is>
          <t>ND</t>
        </is>
      </c>
      <c r="CE142" s="67" t="n">
        <v>2.8</v>
      </c>
      <c r="CF142" s="67" t="n">
        <v>2.8</v>
      </c>
      <c r="CG142" s="71">
        <f>IFERROR(IF(AND(CE142&lt;&gt;"",CF142&lt;&gt;""),ABS(CE142-CF142)/ABS(CE142)*100,""),"")</f>
        <v/>
      </c>
      <c r="CH142" s="69" t="inlineStr">
        <is>
          <t>Claude</t>
        </is>
      </c>
      <c r="CI142" s="67" t="n"/>
      <c r="CJ142" s="67" t="n"/>
      <c r="CK142" s="71">
        <f>IFERROR(IF(AND(CI142&lt;&gt;"",CJ142&lt;&gt;""),ABS(CI142-CJ142)/ABS(CI142)*100,""),"")</f>
        <v/>
      </c>
      <c r="CL142" s="69" t="inlineStr">
        <is>
          <t>ND</t>
        </is>
      </c>
      <c r="CM142" s="67" t="n">
        <v>21.62</v>
      </c>
      <c r="CN142" s="67" t="n">
        <v>21.62</v>
      </c>
      <c r="CO142" s="71">
        <f>IFERROR(IF(AND(CM142&lt;&gt;"",CN142&lt;&gt;""),ABS(CM142-CN142)/ABS(CM142)*100,""),"")</f>
        <v/>
      </c>
      <c r="CP142" s="69" t="inlineStr">
        <is>
          <t>Claude</t>
        </is>
      </c>
      <c r="CQ142" s="67" t="n"/>
      <c r="CR142" s="67" t="n"/>
      <c r="CS142" s="71">
        <f>IFERROR(IF(AND(CQ142&lt;&gt;"",CR142&lt;&gt;""),ABS(CQ142-CR142)/ABS(CQ142)*100,""),"")</f>
        <v/>
      </c>
      <c r="CT142" s="69" t="inlineStr">
        <is>
          <t>ND</t>
        </is>
      </c>
      <c r="CU142" s="67" t="n">
        <v>0.01</v>
      </c>
      <c r="CV142" s="67" t="n"/>
      <c r="CW142" s="71">
        <f>IFERROR(IF(AND(CU142&lt;&gt;"",CV142&lt;&gt;""),ABS(CU142-CV142)/ABS(CU142)*100,""),"")</f>
        <v/>
      </c>
      <c r="CX142" s="69" t="inlineStr">
        <is>
          <t>Claude</t>
        </is>
      </c>
      <c r="CY142" s="68" t="n"/>
      <c r="CZ142" s="68" t="n"/>
      <c r="DA142" s="71">
        <f>IFERROR(IF(AND(CY142&lt;&gt;"",CZ142&lt;&gt;""),ABS(CY142-CZ142)/ABS(CY142)*100,""),"")</f>
        <v/>
      </c>
      <c r="DB142" s="69" t="inlineStr">
        <is>
          <t>ND</t>
        </is>
      </c>
      <c r="DC142" s="68" t="n"/>
      <c r="DD142" s="68" t="n"/>
      <c r="DE142" s="71">
        <f>IFERROR(IF(AND(DC142&lt;&gt;"",DD142&lt;&gt;""),ABS(DC142-DD142)/ABS(DC142)*100,""),"")</f>
        <v/>
      </c>
      <c r="DF142" s="69" t="inlineStr">
        <is>
          <t>ND</t>
        </is>
      </c>
      <c r="DG142" s="68" t="n"/>
      <c r="DH142" s="68" t="n"/>
      <c r="DI142" s="71">
        <f>IFERROR(IF(AND(DG142&lt;&gt;"",DH142&lt;&gt;""),ABS(DG142-DH142)/ABS(DG142)*100,""),"")</f>
        <v/>
      </c>
      <c r="DJ142" s="69" t="inlineStr">
        <is>
          <t>ND</t>
        </is>
      </c>
      <c r="DK142" s="68" t="n"/>
      <c r="DL142" s="68" t="n"/>
      <c r="DM142" s="71">
        <f>IFERROR(IF(AND(DK142&lt;&gt;"",DL142&lt;&gt;""),ABS(DK142-DL142)/ABS(DK142)*100,""),"")</f>
        <v/>
      </c>
      <c r="DN142" s="69" t="inlineStr">
        <is>
          <t>ND</t>
        </is>
      </c>
      <c r="DO142" s="68" t="n"/>
      <c r="DP142" s="68" t="n"/>
      <c r="DQ142" s="71">
        <f>IFERROR(IF(AND(DO142&lt;&gt;"",DP142&lt;&gt;""),ABS(DO142-DP142)/ABS(DO142)*100,""),"")</f>
        <v/>
      </c>
      <c r="DR142" s="69" t="inlineStr">
        <is>
          <t>ND</t>
        </is>
      </c>
      <c r="DS142" s="68" t="n"/>
      <c r="DT142" s="68" t="n"/>
      <c r="DU142" s="71">
        <f>IFERROR(IF(AND(DS142&lt;&gt;"",DT142&lt;&gt;""),ABS(DS142-DT142)/ABS(DS142)*100,""),"")</f>
        <v/>
      </c>
      <c r="DV142" s="69" t="inlineStr">
        <is>
          <t>ND</t>
        </is>
      </c>
      <c r="DW142" s="70" t="inlineStr">
        <is>
          <t>Claude only (DeepSeek pending). Source=2022 report (more recent than 2020 report). Ind.1/2/3/6/9/14/15/16/17/20 all MATCH the 2020 report closely or exactly - good consistency. Ind.7/8=ND (disability=92, matches 2020 report exactly; foreign=19, matches exactly; no total workforce given either edition). Ind.12=58,000,000, NEW (2020 report had no Annual Pay data at all). Ind.18=na: **2022 report RETRACTS the 2020 report's M=98%/F=89% breakdown entirely, finding nothing for this year - flag as a real data loss.** **Ind.22=21.62 vs 2020 report's 86.9 - MASSIVE CONFLICT (~4x), later resolved: see 2024 report's finding that the original figure used the wrong (CBA-eligible-subgroup) denominator; 21.62 is closer to the methodologically-correct company-wide basis, though the exact recalculation method used here isn't stated (2024 report's own recalculation differs slightly from this value: 19.67 for 2022, suggesting this 2022 report's own 2020 figure may still not be perfectly on the corrected basis).** Ind.24=0.01, DIFFERENT UNIT (per 200,000 hours) vs 2020 report's simple count (0) - not directly comparable. **Ind.25=na: RETRACTS the 2020 report's explicit COVID count of 5 for this year - flag.** **Ind.30=na: RETRACTS the 2020 report's 'A' KCGS assertion for this year - 2022 report explicitly says only an undated current-status snapshot exists, assigned to 2022 (its own reference year), not backdated to 2020.** || DEEPSEEK RECONCILIATION - MANUAL FLAGS: Ind.4 (New Hire Rate): Claude=6.63, DeepSeek=7.1, Diff=7.1%; Ind.16 (Parental Leave F): Claude=19, DeepSeek=32, Diff=68.4%; Ind.17 (Parental Leave M): Claude=69, DeepSeek=76, Diff=10.1%</t>
        </is>
      </c>
    </row>
    <row r="143" ht="15.75" customHeight="1" s="43">
      <c r="A143" s="62" t="n"/>
      <c r="B143" s="62" t="n"/>
      <c r="C143" s="62" t="inlineStr">
        <is>
          <t>Industrials</t>
        </is>
      </c>
      <c r="D143" s="62" t="inlineStr">
        <is>
          <t>2021</t>
        </is>
      </c>
      <c r="E143" s="63" t="inlineStr">
        <is>
          <t>HYOSUNG_HEAVY_2022.pdf (only report covering 2021)</t>
        </is>
      </c>
      <c r="F143" s="62" t="n"/>
      <c r="G143" s="67" t="n">
        <v>6.53</v>
      </c>
      <c r="H143" s="67" t="n">
        <v>6.53</v>
      </c>
      <c r="I143" s="65">
        <f>IFERROR(IF(AND(G143&lt;&gt;"",H143&lt;&gt;""),ABS(G143-H143)/ABS(G143)*100,""),"")</f>
        <v/>
      </c>
      <c r="J143" s="62" t="inlineStr">
        <is>
          <t>Claude</t>
        </is>
      </c>
      <c r="K143" s="67" t="n">
        <v>7.29</v>
      </c>
      <c r="L143" s="67" t="n">
        <v>7.29</v>
      </c>
      <c r="M143" s="65">
        <f>IFERROR(IF(AND(K143&lt;&gt;"",L143&lt;&gt;""),ABS(K143-L143)/ABS(K143)*100,""),"")</f>
        <v/>
      </c>
      <c r="N143" s="62" t="inlineStr">
        <is>
          <t>Claude</t>
        </is>
      </c>
      <c r="O143" s="67" t="n">
        <v>50.49</v>
      </c>
      <c r="P143" s="67" t="n">
        <v>50.49</v>
      </c>
      <c r="Q143" s="65">
        <f>IFERROR(IF(AND(O143&lt;&gt;"",P143&lt;&gt;""),ABS(O143-P143)/ABS(O143)*100,""),"")</f>
        <v/>
      </c>
      <c r="R143" s="62" t="inlineStr">
        <is>
          <t>Claude</t>
        </is>
      </c>
      <c r="S143" s="64" t="n">
        <v>7.9</v>
      </c>
      <c r="T143" s="64" t="n">
        <v>8.58</v>
      </c>
      <c r="U143" s="65">
        <f>IFERROR(IF(AND(S143&lt;&gt;"",T143&lt;&gt;""),ABS(S143-T143)/ABS(S143)*100,""),"")</f>
        <v/>
      </c>
      <c r="V143" s="66" t="inlineStr">
        <is>
          <t>MANUAL FLAG</t>
        </is>
      </c>
      <c r="W143" s="67" t="n"/>
      <c r="X143" s="67" t="n"/>
      <c r="Y143" s="65">
        <f>IFERROR(IF(AND(W143&lt;&gt;"",X143&lt;&gt;""),ABS(W143-X143)/ABS(W143)*100,""),"")</f>
        <v/>
      </c>
      <c r="Z143" s="62" t="inlineStr">
        <is>
          <t>ND</t>
        </is>
      </c>
      <c r="AA143" s="67" t="n">
        <v>33.21</v>
      </c>
      <c r="AB143" s="67" t="n">
        <v>33.21</v>
      </c>
      <c r="AC143" s="65">
        <f>IFERROR(IF(AND(AA143&lt;&gt;"",AB143&lt;&gt;""),ABS(AA143-AB143)/ABS(AA143)*100,""),"")</f>
        <v/>
      </c>
      <c r="AD143" s="62" t="inlineStr">
        <is>
          <t>Claude</t>
        </is>
      </c>
      <c r="AE143" s="67" t="n"/>
      <c r="AF143" s="67" t="n"/>
      <c r="AG143" s="65">
        <f>IFERROR(IF(AND(AE143&lt;&gt;"",AF143&lt;&gt;""),ABS(AE143-AF143)/ABS(AE143)*100,""),"")</f>
        <v/>
      </c>
      <c r="AH143" s="62" t="inlineStr">
        <is>
          <t>ND</t>
        </is>
      </c>
      <c r="AI143" s="67" t="n"/>
      <c r="AJ143" s="67" t="n"/>
      <c r="AK143" s="65">
        <f>IFERROR(IF(AND(AI143&lt;&gt;"",AJ143&lt;&gt;""),ABS(AI143-AJ143)/ABS(AI143)*100,""),"")</f>
        <v/>
      </c>
      <c r="AL143" s="62" t="inlineStr">
        <is>
          <t>ND</t>
        </is>
      </c>
      <c r="AM143" s="67" t="n">
        <v>7.2</v>
      </c>
      <c r="AN143" s="67" t="n">
        <v>7.2</v>
      </c>
      <c r="AO143" s="65">
        <f>IFERROR(IF(AND(AM143&lt;&gt;"",AN143&lt;&gt;""),ABS(AM143-AN143)/ABS(AM143)*100,""),"")</f>
        <v/>
      </c>
      <c r="AP143" s="62" t="inlineStr">
        <is>
          <t>Claude</t>
        </is>
      </c>
      <c r="AQ143" s="67" t="n"/>
      <c r="AR143" s="67" t="n"/>
      <c r="AS143" s="65">
        <f>IFERROR(IF(AND(AQ143&lt;&gt;"",AR143&lt;&gt;""),ABS(AQ143-AR143)/ABS(AQ143)*100,""),"")</f>
        <v/>
      </c>
      <c r="AT143" s="62" t="inlineStr">
        <is>
          <t>ND</t>
        </is>
      </c>
      <c r="AU143" s="67" t="n"/>
      <c r="AV143" s="67" t="n"/>
      <c r="AW143" s="65">
        <f>IFERROR(IF(AND(AU143&lt;&gt;"",AV143&lt;&gt;""),ABS(AU143-AV143)/ABS(AU143)*100,""),"")</f>
        <v/>
      </c>
      <c r="AX143" s="62" t="inlineStr">
        <is>
          <t>ND</t>
        </is>
      </c>
      <c r="AY143" s="67" t="n">
        <v>65000000</v>
      </c>
      <c r="AZ143" s="67" t="n">
        <v>65000000</v>
      </c>
      <c r="BA143" s="65">
        <f>IFERROR(IF(AND(AY143&lt;&gt;"",AZ143&lt;&gt;""),ABS(AY143-AZ143)/ABS(AY143)*100,""),"")</f>
        <v/>
      </c>
      <c r="BB143" s="62" t="inlineStr">
        <is>
          <t>Claude</t>
        </is>
      </c>
      <c r="BC143" s="67" t="n"/>
      <c r="BD143" s="67" t="n"/>
      <c r="BE143" s="65">
        <f>IFERROR(IF(AND(BC143&lt;&gt;"",BD143&lt;&gt;""),ABS(BC143-BD143)/ABS(BC143)*100,""),"")</f>
        <v/>
      </c>
      <c r="BF143" s="62" t="inlineStr">
        <is>
          <t>ND</t>
        </is>
      </c>
      <c r="BG143" s="67" t="n">
        <v>458997</v>
      </c>
      <c r="BH143" s="67" t="n">
        <v>458997</v>
      </c>
      <c r="BI143" s="65">
        <f>IFERROR(IF(AND(BG143&lt;&gt;"",BH143&lt;&gt;""),ABS(BG143-BH143)/ABS(BG143)*100,""),"")</f>
        <v/>
      </c>
      <c r="BJ143" s="62" t="inlineStr">
        <is>
          <t>Claude</t>
        </is>
      </c>
      <c r="BK143" s="67" t="n">
        <v>54</v>
      </c>
      <c r="BL143" s="67" t="n">
        <v>54</v>
      </c>
      <c r="BM143" s="65">
        <f>IFERROR(IF(AND(BK143&lt;&gt;"",BL143&lt;&gt;""),ABS(BK143-BL143)/ABS(BK143)*100,""),"")</f>
        <v/>
      </c>
      <c r="BN143" s="62" t="inlineStr">
        <is>
          <t>Claude</t>
        </is>
      </c>
      <c r="BO143" s="64" t="n">
        <v>19</v>
      </c>
      <c r="BP143" s="64" t="n">
        <v>38</v>
      </c>
      <c r="BQ143" s="65">
        <f>IFERROR(IF(AND(BO143&lt;&gt;"",BP143&lt;&gt;""),ABS(BO143-BP143)/ABS(BO143)*100,""),"")</f>
        <v/>
      </c>
      <c r="BR143" s="66" t="inlineStr">
        <is>
          <t>MANUAL FLAG</t>
        </is>
      </c>
      <c r="BS143" s="64" t="n">
        <v>64</v>
      </c>
      <c r="BT143" s="64" t="n">
        <v>81</v>
      </c>
      <c r="BU143" s="65">
        <f>IFERROR(IF(AND(BS143&lt;&gt;"",BT143&lt;&gt;""),ABS(BS143-BT143)/ABS(BS143)*100,""),"")</f>
        <v/>
      </c>
      <c r="BV143" s="66" t="inlineStr">
        <is>
          <t>MANUAL FLAG</t>
        </is>
      </c>
      <c r="BW143" s="67" t="n"/>
      <c r="BX143" s="67" t="n"/>
      <c r="BY143" s="65">
        <f>IFERROR(IF(AND(BW143&lt;&gt;"",BX143&lt;&gt;""),ABS(BW143-BX143)/ABS(BW143)*100,""),"")</f>
        <v/>
      </c>
      <c r="BZ143" s="62" t="inlineStr">
        <is>
          <t>ND</t>
        </is>
      </c>
      <c r="CA143" s="67" t="n"/>
      <c r="CB143" s="67" t="n"/>
      <c r="CC143" s="65">
        <f>IFERROR(IF(AND(CA143&lt;&gt;"",CB143&lt;&gt;""),ABS(CA143-CB143)/ABS(CA143)*100,""),"")</f>
        <v/>
      </c>
      <c r="CD143" s="62" t="inlineStr">
        <is>
          <t>ND</t>
        </is>
      </c>
      <c r="CE143" s="67" t="n">
        <v>3.9</v>
      </c>
      <c r="CF143" s="67" t="n">
        <v>3.9</v>
      </c>
      <c r="CG143" s="65">
        <f>IFERROR(IF(AND(CE143&lt;&gt;"",CF143&lt;&gt;""),ABS(CE143-CF143)/ABS(CE143)*100,""),"")</f>
        <v/>
      </c>
      <c r="CH143" s="62" t="inlineStr">
        <is>
          <t>Claude</t>
        </is>
      </c>
      <c r="CI143" s="67" t="n"/>
      <c r="CJ143" s="67" t="n"/>
      <c r="CK143" s="65">
        <f>IFERROR(IF(AND(CI143&lt;&gt;"",CJ143&lt;&gt;""),ABS(CI143-CJ143)/ABS(CI143)*100,""),"")</f>
        <v/>
      </c>
      <c r="CL143" s="62" t="inlineStr">
        <is>
          <t>ND</t>
        </is>
      </c>
      <c r="CM143" s="67" t="n">
        <v>21.02</v>
      </c>
      <c r="CN143" s="67" t="n">
        <v>21.02</v>
      </c>
      <c r="CO143" s="65">
        <f>IFERROR(IF(AND(CM143&lt;&gt;"",CN143&lt;&gt;""),ABS(CM143-CN143)/ABS(CM143)*100,""),"")</f>
        <v/>
      </c>
      <c r="CP143" s="62" t="inlineStr">
        <is>
          <t>Claude</t>
        </is>
      </c>
      <c r="CQ143" s="67" t="n"/>
      <c r="CR143" s="67" t="n"/>
      <c r="CS143" s="65">
        <f>IFERROR(IF(AND(CQ143&lt;&gt;"",CR143&lt;&gt;""),ABS(CQ143-CR143)/ABS(CQ143)*100,""),"")</f>
        <v/>
      </c>
      <c r="CT143" s="62" t="inlineStr">
        <is>
          <t>ND</t>
        </is>
      </c>
      <c r="CU143" s="64" t="n">
        <v>0.01</v>
      </c>
      <c r="CV143" s="64" t="n">
        <v>0.03</v>
      </c>
      <c r="CW143" s="65">
        <f>IFERROR(IF(AND(CU143&lt;&gt;"",CV143&lt;&gt;""),ABS(CU143-CV143)/ABS(CU143)*100,""),"")</f>
        <v/>
      </c>
      <c r="CX143" s="66" t="inlineStr">
        <is>
          <t>MANUAL FLAG</t>
        </is>
      </c>
      <c r="CY143" s="68" t="n"/>
      <c r="CZ143" s="68" t="n"/>
      <c r="DA143" s="65">
        <f>IFERROR(IF(AND(CY143&lt;&gt;"",CZ143&lt;&gt;""),ABS(CY143-CZ143)/ABS(CY143)*100,""),"")</f>
        <v/>
      </c>
      <c r="DB143" s="62" t="inlineStr">
        <is>
          <t>ND</t>
        </is>
      </c>
      <c r="DC143" s="68" t="n"/>
      <c r="DD143" s="68" t="n"/>
      <c r="DE143" s="65">
        <f>IFERROR(IF(AND(DC143&lt;&gt;"",DD143&lt;&gt;""),ABS(DC143-DD143)/ABS(DC143)*100,""),"")</f>
        <v/>
      </c>
      <c r="DF143" s="62" t="inlineStr">
        <is>
          <t>ND</t>
        </is>
      </c>
      <c r="DG143" s="68" t="n"/>
      <c r="DH143" s="68" t="n"/>
      <c r="DI143" s="65">
        <f>IFERROR(IF(AND(DG143&lt;&gt;"",DH143&lt;&gt;""),ABS(DG143-DH143)/ABS(DG143)*100,""),"")</f>
        <v/>
      </c>
      <c r="DJ143" s="62" t="inlineStr">
        <is>
          <t>ND</t>
        </is>
      </c>
      <c r="DK143" s="68" t="n"/>
      <c r="DL143" s="68" t="n"/>
      <c r="DM143" s="65">
        <f>IFERROR(IF(AND(DK143&lt;&gt;"",DL143&lt;&gt;""),ABS(DK143-DL143)/ABS(DK143)*100,""),"")</f>
        <v/>
      </c>
      <c r="DN143" s="62" t="inlineStr">
        <is>
          <t>ND</t>
        </is>
      </c>
      <c r="DO143" s="68" t="n"/>
      <c r="DP143" s="68" t="n"/>
      <c r="DQ143" s="65">
        <f>IFERROR(IF(AND(DO143&lt;&gt;"",DP143&lt;&gt;""),ABS(DO143-DP143)/ABS(DO143)*100,""),"")</f>
        <v/>
      </c>
      <c r="DR143" s="62" t="inlineStr">
        <is>
          <t>ND</t>
        </is>
      </c>
      <c r="DS143" s="68" t="n"/>
      <c r="DT143" s="68" t="n"/>
      <c r="DU143" s="65">
        <f>IFERROR(IF(AND(DS143&lt;&gt;"",DT143&lt;&gt;""),ABS(DS143-DT143)/ABS(DS143)*100,""),"")</f>
        <v/>
      </c>
      <c r="DV143" s="62" t="inlineStr">
        <is>
          <t>ND</t>
        </is>
      </c>
      <c r="DW143" s="63" t="inlineStr">
        <is>
          <t>Claude only (DeepSeek pending). Source=2022 report, only report covering 2021. Ind.7/8=ND (disability=90, foreign=16). Ind.9=7.2, proxy. Ind.11=na (not found for this year - only 2022 has board-gender data this edition). Ind.18=na. Ind.22=21.02 (same scope-mismatch caveat as 2020, see that note). Ind.24=0.01 (per 200,000 hrs). Ind.25=na. Ind.30=na. || DEEPSEEK RECONCILIATION - MANUAL FLAGS: Ind.4 (New Hire Rate): Claude=7.9, DeepSeek=8.58, Diff=8.6%; Ind.16 (Parental Leave F): Claude=19, DeepSeek=38, Diff=100.0%; Ind.17 (Parental Leave M): Claude=64, DeepSeek=81, Diff=26.6%; Ind.24 (Fatality Rate): Claude=0.01, DeepSeek=0.03, Diff=200.0%</t>
        </is>
      </c>
    </row>
    <row r="144" ht="15.75" customHeight="1" s="43">
      <c r="A144" s="69" t="n"/>
      <c r="B144" s="69" t="n"/>
      <c r="C144" s="69" t="inlineStr">
        <is>
          <t>Industrials</t>
        </is>
      </c>
      <c r="D144" s="69" t="inlineStr">
        <is>
          <t>2022</t>
        </is>
      </c>
      <c r="E144" s="70" t="inlineStr">
        <is>
          <t>HYOSUNG_HEAVY_2024.pdf (most recent covering 2022)</t>
        </is>
      </c>
      <c r="F144" s="69" t="n"/>
      <c r="G144" s="67" t="n">
        <v>8.9</v>
      </c>
      <c r="H144" s="67" t="n">
        <v>8.9</v>
      </c>
      <c r="I144" s="71">
        <f>IFERROR(IF(AND(G144&lt;&gt;"",H144&lt;&gt;""),ABS(G144-H144)/ABS(G144)*100,""),"")</f>
        <v/>
      </c>
      <c r="J144" s="69" t="inlineStr">
        <is>
          <t>Claude</t>
        </is>
      </c>
      <c r="K144" s="67" t="n">
        <v>7.53</v>
      </c>
      <c r="L144" s="67" t="n">
        <v>7.53</v>
      </c>
      <c r="M144" s="71">
        <f>IFERROR(IF(AND(K144&lt;&gt;"",L144&lt;&gt;""),ABS(K144-L144)/ABS(K144)*100,""),"")</f>
        <v/>
      </c>
      <c r="N144" s="69" t="inlineStr">
        <is>
          <t>Claude</t>
        </is>
      </c>
      <c r="O144" s="67" t="n">
        <v>54.58</v>
      </c>
      <c r="P144" s="67" t="n">
        <v>54.58</v>
      </c>
      <c r="Q144" s="71">
        <f>IFERROR(IF(AND(O144&lt;&gt;"",P144&lt;&gt;""),ABS(O144-P144)/ABS(O144)*100,""),"")</f>
        <v/>
      </c>
      <c r="R144" s="69" t="inlineStr">
        <is>
          <t>Claude</t>
        </is>
      </c>
      <c r="S144" s="67" t="n">
        <v>16.98</v>
      </c>
      <c r="T144" s="67" t="n">
        <v>16.98</v>
      </c>
      <c r="U144" s="71">
        <f>IFERROR(IF(AND(S144&lt;&gt;"",T144&lt;&gt;""),ABS(S144-T144)/ABS(S144)*100,""),"")</f>
        <v/>
      </c>
      <c r="V144" s="69" t="inlineStr">
        <is>
          <t>Claude</t>
        </is>
      </c>
      <c r="W144" s="67" t="n"/>
      <c r="X144" s="67" t="n"/>
      <c r="Y144" s="71">
        <f>IFERROR(IF(AND(W144&lt;&gt;"",X144&lt;&gt;""),ABS(W144-X144)/ABS(W144)*100,""),"")</f>
        <v/>
      </c>
      <c r="Z144" s="69" t="inlineStr">
        <is>
          <t>ND</t>
        </is>
      </c>
      <c r="AA144" s="67" t="n">
        <v>26.6</v>
      </c>
      <c r="AB144" s="67" t="n">
        <v>26.57</v>
      </c>
      <c r="AC144" s="71">
        <f>IFERROR(IF(AND(AA144&lt;&gt;"",AB144&lt;&gt;""),ABS(AA144-AB144)/ABS(AA144)*100,""),"")</f>
        <v/>
      </c>
      <c r="AD144" s="69" t="inlineStr">
        <is>
          <t>Claude</t>
        </is>
      </c>
      <c r="AE144" s="67" t="n">
        <v>3.008</v>
      </c>
      <c r="AF144" s="67" t="n"/>
      <c r="AG144" s="71">
        <f>IFERROR(IF(AND(AE144&lt;&gt;"",AF144&lt;&gt;""),ABS(AE144-AF144)/ABS(AE144)*100,""),"")</f>
        <v/>
      </c>
      <c r="AH144" s="69" t="inlineStr">
        <is>
          <t>Claude</t>
        </is>
      </c>
      <c r="AI144" s="67" t="n">
        <v>0.595</v>
      </c>
      <c r="AJ144" s="67" t="n"/>
      <c r="AK144" s="71">
        <f>IFERROR(IF(AND(AI144&lt;&gt;"",AJ144&lt;&gt;""),ABS(AI144-AJ144)/ABS(AI144)*100,""),"")</f>
        <v/>
      </c>
      <c r="AL144" s="69" t="inlineStr">
        <is>
          <t>Claude</t>
        </is>
      </c>
      <c r="AM144" s="67" t="n">
        <v>7.1</v>
      </c>
      <c r="AN144" s="67" t="n"/>
      <c r="AO144" s="71">
        <f>IFERROR(IF(AND(AM144&lt;&gt;"",AN144&lt;&gt;""),ABS(AM144-AN144)/ABS(AM144)*100,""),"")</f>
        <v/>
      </c>
      <c r="AP144" s="69" t="inlineStr">
        <is>
          <t>Claude</t>
        </is>
      </c>
      <c r="AQ144" s="67" t="n"/>
      <c r="AR144" s="67" t="n"/>
      <c r="AS144" s="71">
        <f>IFERROR(IF(AND(AQ144&lt;&gt;"",AR144&lt;&gt;""),ABS(AQ144-AR144)/ABS(AQ144)*100,""),"")</f>
        <v/>
      </c>
      <c r="AT144" s="69" t="inlineStr">
        <is>
          <t>ND</t>
        </is>
      </c>
      <c r="AU144" s="67" t="n">
        <v>12.5</v>
      </c>
      <c r="AV144" s="67" t="n">
        <v>12.5</v>
      </c>
      <c r="AW144" s="71">
        <f>IFERROR(IF(AND(AU144&lt;&gt;"",AV144&lt;&gt;""),ABS(AU144-AV144)/ABS(AU144)*100,""),"")</f>
        <v/>
      </c>
      <c r="AX144" s="69" t="inlineStr">
        <is>
          <t>Claude</t>
        </is>
      </c>
      <c r="AY144" s="67" t="n">
        <v>74000000</v>
      </c>
      <c r="AZ144" s="67" t="n">
        <v>74000000</v>
      </c>
      <c r="BA144" s="71">
        <f>IFERROR(IF(AND(AY144&lt;&gt;"",AZ144&lt;&gt;""),ABS(AY144-AZ144)/ABS(AY144)*100,""),"")</f>
        <v/>
      </c>
      <c r="BB144" s="69" t="inlineStr">
        <is>
          <t>Claude</t>
        </is>
      </c>
      <c r="BC144" s="67" t="n"/>
      <c r="BD144" s="67" t="n"/>
      <c r="BE144" s="71">
        <f>IFERROR(IF(AND(BC144&lt;&gt;"",BD144&lt;&gt;""),ABS(BC144-BD144)/ABS(BC144)*100,""),"")</f>
        <v/>
      </c>
      <c r="BF144" s="69" t="inlineStr">
        <is>
          <t>ND</t>
        </is>
      </c>
      <c r="BG144" s="67" t="n">
        <v>588239</v>
      </c>
      <c r="BH144" s="67" t="n">
        <v>588346</v>
      </c>
      <c r="BI144" s="71">
        <f>IFERROR(IF(AND(BG144&lt;&gt;"",BH144&lt;&gt;""),ABS(BG144-BH144)/ABS(BG144)*100,""),"")</f>
        <v/>
      </c>
      <c r="BJ144" s="69" t="inlineStr">
        <is>
          <t>Claude</t>
        </is>
      </c>
      <c r="BK144" s="67" t="n">
        <v>56</v>
      </c>
      <c r="BL144" s="67" t="n">
        <v>55.6</v>
      </c>
      <c r="BM144" s="71">
        <f>IFERROR(IF(AND(BK144&lt;&gt;"",BL144&lt;&gt;""),ABS(BK144-BL144)/ABS(BK144)*100,""),"")</f>
        <v/>
      </c>
      <c r="BN144" s="69" t="inlineStr">
        <is>
          <t>Claude</t>
        </is>
      </c>
      <c r="BO144" s="67" t="n">
        <v>15</v>
      </c>
      <c r="BP144" s="67" t="n">
        <v>15</v>
      </c>
      <c r="BQ144" s="71">
        <f>IFERROR(IF(AND(BO144&lt;&gt;"",BP144&lt;&gt;""),ABS(BO144-BP144)/ABS(BO144)*100,""),"")</f>
        <v/>
      </c>
      <c r="BR144" s="69" t="inlineStr">
        <is>
          <t>Claude</t>
        </is>
      </c>
      <c r="BS144" s="67" t="n">
        <v>56</v>
      </c>
      <c r="BT144" s="67" t="n">
        <v>56</v>
      </c>
      <c r="BU144" s="71">
        <f>IFERROR(IF(AND(BS144&lt;&gt;"",BT144&lt;&gt;""),ABS(BS144-BT144)/ABS(BS144)*100,""),"")</f>
        <v/>
      </c>
      <c r="BV144" s="69" t="inlineStr">
        <is>
          <t>Claude</t>
        </is>
      </c>
      <c r="BW144" s="67" t="n"/>
      <c r="BX144" s="67" t="n"/>
      <c r="BY144" s="71">
        <f>IFERROR(IF(AND(BW144&lt;&gt;"",BX144&lt;&gt;""),ABS(BW144-BX144)/ABS(BW144)*100,""),"")</f>
        <v/>
      </c>
      <c r="BZ144" s="69" t="inlineStr">
        <is>
          <t>ND</t>
        </is>
      </c>
      <c r="CA144" s="67" t="n"/>
      <c r="CB144" s="67" t="n"/>
      <c r="CC144" s="71">
        <f>IFERROR(IF(AND(CA144&lt;&gt;"",CB144&lt;&gt;""),ABS(CA144-CB144)/ABS(CA144)*100,""),"")</f>
        <v/>
      </c>
      <c r="CD144" s="69" t="inlineStr">
        <is>
          <t>ND</t>
        </is>
      </c>
      <c r="CE144" s="67" t="n">
        <v>5</v>
      </c>
      <c r="CF144" s="67" t="n">
        <v>5.04</v>
      </c>
      <c r="CG144" s="71">
        <f>IFERROR(IF(AND(CE144&lt;&gt;"",CF144&lt;&gt;""),ABS(CE144-CF144)/ABS(CE144)*100,""),"")</f>
        <v/>
      </c>
      <c r="CH144" s="69" t="inlineStr">
        <is>
          <t>Claude</t>
        </is>
      </c>
      <c r="CI144" s="67" t="n">
        <v>2.85</v>
      </c>
      <c r="CJ144" s="67" t="n">
        <v>2.85</v>
      </c>
      <c r="CK144" s="71">
        <f>IFERROR(IF(AND(CI144&lt;&gt;"",CJ144&lt;&gt;""),ABS(CI144-CJ144)/ABS(CI144)*100,""),"")</f>
        <v/>
      </c>
      <c r="CL144" s="69" t="inlineStr">
        <is>
          <t>Claude</t>
        </is>
      </c>
      <c r="CM144" s="64" t="n">
        <v>19.67</v>
      </c>
      <c r="CN144" s="64" t="n">
        <v>95.2</v>
      </c>
      <c r="CO144" s="71">
        <f>IFERROR(IF(AND(CM144&lt;&gt;"",CN144&lt;&gt;""),ABS(CM144-CN144)/ABS(CM144)*100,""),"")</f>
        <v/>
      </c>
      <c r="CP144" s="66" t="inlineStr">
        <is>
          <t>MANUAL FLAG</t>
        </is>
      </c>
      <c r="CQ144" s="67" t="n">
        <v>1.95</v>
      </c>
      <c r="CR144" s="67" t="n">
        <v>1.95</v>
      </c>
      <c r="CS144" s="71">
        <f>IFERROR(IF(AND(CQ144&lt;&gt;"",CR144&lt;&gt;""),ABS(CQ144-CR144)/ABS(CQ144)*100,""),"")</f>
        <v/>
      </c>
      <c r="CT144" s="69" t="inlineStr">
        <is>
          <t>Claude</t>
        </is>
      </c>
      <c r="CU144" s="67" t="n">
        <v>0</v>
      </c>
      <c r="CV144" s="67" t="n">
        <v>0</v>
      </c>
      <c r="CW144" s="71">
        <f>IFERROR(IF(AND(CU144&lt;&gt;"",CV144&lt;&gt;""),ABS(CU144-CV144)/ABS(CU144)*100,""),"")</f>
        <v/>
      </c>
      <c r="CX144" s="69" t="inlineStr">
        <is>
          <t>Claude</t>
        </is>
      </c>
      <c r="CY144" s="68" t="n"/>
      <c r="CZ144" s="68" t="n"/>
      <c r="DA144" s="71">
        <f>IFERROR(IF(AND(CY144&lt;&gt;"",CZ144&lt;&gt;""),ABS(CY144-CZ144)/ABS(CY144)*100,""),"")</f>
        <v/>
      </c>
      <c r="DB144" s="69" t="inlineStr">
        <is>
          <t>ND</t>
        </is>
      </c>
      <c r="DC144" s="68" t="n"/>
      <c r="DD144" s="68" t="n"/>
      <c r="DE144" s="71">
        <f>IFERROR(IF(AND(DC144&lt;&gt;"",DD144&lt;&gt;""),ABS(DC144-DD144)/ABS(DC144)*100,""),"")</f>
        <v/>
      </c>
      <c r="DF144" s="69" t="inlineStr">
        <is>
          <t>ND</t>
        </is>
      </c>
      <c r="DG144" s="68" t="n"/>
      <c r="DH144" s="68" t="n"/>
      <c r="DI144" s="71">
        <f>IFERROR(IF(AND(DG144&lt;&gt;"",DH144&lt;&gt;""),ABS(DG144-DH144)/ABS(DG144)*100,""),"")</f>
        <v/>
      </c>
      <c r="DJ144" s="69" t="inlineStr">
        <is>
          <t>ND</t>
        </is>
      </c>
      <c r="DK144" s="68" t="n"/>
      <c r="DL144" s="68" t="n"/>
      <c r="DM144" s="71">
        <f>IFERROR(IF(AND(DK144&lt;&gt;"",DL144&lt;&gt;""),ABS(DK144-DL144)/ABS(DK144)*100,""),"")</f>
        <v/>
      </c>
      <c r="DN144" s="69" t="inlineStr">
        <is>
          <t>ND</t>
        </is>
      </c>
      <c r="DO144" s="68" t="n"/>
      <c r="DP144" s="68" t="n"/>
      <c r="DQ144" s="71">
        <f>IFERROR(IF(AND(DO144&lt;&gt;"",DP144&lt;&gt;""),ABS(DO144-DP144)/ABS(DO144)*100,""),"")</f>
        <v/>
      </c>
      <c r="DR144" s="69" t="inlineStr">
        <is>
          <t>ND</t>
        </is>
      </c>
      <c r="DS144" s="64" t="inlineStr">
        <is>
          <t>A</t>
        </is>
      </c>
      <c r="DT144" s="64" t="inlineStr">
        <is>
          <t>A+</t>
        </is>
      </c>
      <c r="DU144" s="71">
        <f>IFERROR(IF(AND(DS144&lt;&gt;"",DT144&lt;&gt;""),ABS(DS144-DT144)/ABS(DS144)*100,""),"")</f>
        <v/>
      </c>
      <c r="DV144" s="66" t="inlineStr">
        <is>
          <t>MANUAL FLAG</t>
        </is>
      </c>
      <c r="DW144" s="70" t="inlineStr">
        <is>
          <t>Claude only (DeepSeek pending). Source=2024 report (most recent; matches 2022 report closely/exactly on most indicators - good cross-validation: Ind.1/2/3/9/14/15/16/17 all match). Ind.7=3.008 (%Disabled, NOW COMPUTABLE: headcount 96 matches 2022 report exactly / total workforce 3,192 - only year where this company's total workforce is explicitly stated across any edition). Ind.8=0.595 (%Foreign: headcount 19 matches 2022 report exactly / 3,192). **Ind.4 (New Hire Rate)=16.98 vs 2022 report's 10.14 - MAJOR CONFLICT (~70% higher), unresolved.** **Ind.6 (New Hires Female)=26.6 vs 2022 report's 38.33 - MAJOR CONFLICT, notable drop.** Ind.11=12.5, matches 2022 report exactly. Ind.12=74,000,000 vs 2022 report's 75,000,000 - minor conflict (1M KRW). **Ind.20 (Voluntary Turnover)=5.0 vs 2022 report's 5.2 - close; source notes 2022/2023 turnover was 'revised to reflect inclusion of executives' (Restated in report).** Ind.21=2.85, NEW (2022 report had no involuntary-turnover data at all). **Ind.22=19.67, matches 2022 report's 19.67 EXACTLY for this same year - strong confirmation the corrected company-wide union-membership methodology is now stable and reliable from 2022 onward (see 2018/2020 notes on the earlier scope-mismatch issue).** Ind.23=1.95, NEW (direct, properly reconciled LTI-cases/hours formula). **Ind.24=0, THIRD DIFFERENT UNIT for this indicator across the 3 editions (per 10,000 employees this time, vs per-200,000-hours in the 2022 report, vs simple count in the 2020 report) - not comparable as printed across any boundary.** Ind.30='A', matches 2022 report exactly. || DEEPSEEK RECONCILIATION - MANUAL FLAGS: Ind.22 (Union Membership): Claude=19.67, DeepSeek=95.2, Diff=384.0%; Ind.30 (KCGS Rating): Claude=A, DeepSeek=A+ (non-numeric mismatch) || NOTE: Ind.22 (Union Membership) DeepSeek=95.2% for 2022 - this is a THIRD different scale for this indicator across DeepSeek's own 3 batches (batch1~90%, batch2~20%, batch3~95-98%), on top of Claude's own already-flagged scope-mismatch finding (recalculated company-wide basis is ~17-22%). This is the single most unreliable indicator for Hyosung Heavy across BOTH models and all editions - do not use without independent source verification. Ind.30 (KCGS Rating): DeepSeek's OWN batch2 gave 'A-' for 2022, while this batch3 gives 'A+' for the SAME YEAR - an internal DeepSeek contradiction, not just a Claude-vs-DeepSeek disagreement.</t>
        </is>
      </c>
    </row>
    <row r="145" ht="15.75" customHeight="1" s="43">
      <c r="A145" s="62" t="n"/>
      <c r="B145" s="62" t="n"/>
      <c r="C145" s="62" t="inlineStr">
        <is>
          <t>Industrials</t>
        </is>
      </c>
      <c r="D145" s="62" t="inlineStr">
        <is>
          <t>2023</t>
        </is>
      </c>
      <c r="E145" s="63" t="inlineStr">
        <is>
          <t>HYOSUNG_HEAVY_2024.pdf</t>
        </is>
      </c>
      <c r="F145" s="62" t="n"/>
      <c r="G145" s="67" t="n">
        <v>8.99</v>
      </c>
      <c r="H145" s="67" t="n">
        <v>8.99</v>
      </c>
      <c r="I145" s="65">
        <f>IFERROR(IF(AND(G145&lt;&gt;"",H145&lt;&gt;""),ABS(G145-H145)/ABS(G145)*100,""),"")</f>
        <v/>
      </c>
      <c r="J145" s="62" t="inlineStr">
        <is>
          <t>Claude</t>
        </is>
      </c>
      <c r="K145" s="67" t="n">
        <v>7.61</v>
      </c>
      <c r="L145" s="67" t="n">
        <v>7.61</v>
      </c>
      <c r="M145" s="65">
        <f>IFERROR(IF(AND(K145&lt;&gt;"",L145&lt;&gt;""),ABS(K145-L145)/ABS(K145)*100,""),"")</f>
        <v/>
      </c>
      <c r="N145" s="62" t="inlineStr">
        <is>
          <t>Claude</t>
        </is>
      </c>
      <c r="O145" s="67" t="n">
        <v>57.77</v>
      </c>
      <c r="P145" s="67" t="n">
        <v>57.77</v>
      </c>
      <c r="Q145" s="65">
        <f>IFERROR(IF(AND(O145&lt;&gt;"",P145&lt;&gt;""),ABS(O145-P145)/ABS(O145)*100,""),"")</f>
        <v/>
      </c>
      <c r="R145" s="62" t="inlineStr">
        <is>
          <t>Claude</t>
        </is>
      </c>
      <c r="S145" s="67" t="n">
        <v>18.47</v>
      </c>
      <c r="T145" s="67" t="n">
        <v>18.48</v>
      </c>
      <c r="U145" s="65">
        <f>IFERROR(IF(AND(S145&lt;&gt;"",T145&lt;&gt;""),ABS(S145-T145)/ABS(S145)*100,""),"")</f>
        <v/>
      </c>
      <c r="V145" s="62" t="inlineStr">
        <is>
          <t>Claude</t>
        </is>
      </c>
      <c r="W145" s="67" t="n"/>
      <c r="X145" s="67" t="n"/>
      <c r="Y145" s="65">
        <f>IFERROR(IF(AND(W145&lt;&gt;"",X145&lt;&gt;""),ABS(W145-X145)/ABS(W145)*100,""),"")</f>
        <v/>
      </c>
      <c r="Z145" s="62" t="inlineStr">
        <is>
          <t>ND</t>
        </is>
      </c>
      <c r="AA145" s="67" t="n">
        <v>21.9</v>
      </c>
      <c r="AB145" s="67" t="n">
        <v>21.88</v>
      </c>
      <c r="AC145" s="65">
        <f>IFERROR(IF(AND(AA145&lt;&gt;"",AB145&lt;&gt;""),ABS(AA145-AB145)/ABS(AA145)*100,""),"")</f>
        <v/>
      </c>
      <c r="AD145" s="62" t="inlineStr">
        <is>
          <t>Claude</t>
        </is>
      </c>
      <c r="AE145" s="67" t="n">
        <v>2.735</v>
      </c>
      <c r="AF145" s="67" t="n"/>
      <c r="AG145" s="65">
        <f>IFERROR(IF(AND(AE145&lt;&gt;"",AF145&lt;&gt;""),ABS(AE145-AF145)/ABS(AE145)*100,""),"")</f>
        <v/>
      </c>
      <c r="AH145" s="62" t="inlineStr">
        <is>
          <t>Claude</t>
        </is>
      </c>
      <c r="AI145" s="67" t="n">
        <v>0.517</v>
      </c>
      <c r="AJ145" s="67" t="n"/>
      <c r="AK145" s="65">
        <f>IFERROR(IF(AND(AI145&lt;&gt;"",AJ145&lt;&gt;""),ABS(AI145-AJ145)/ABS(AI145)*100,""),"")</f>
        <v/>
      </c>
      <c r="AL145" s="62" t="inlineStr">
        <is>
          <t>Claude</t>
        </is>
      </c>
      <c r="AM145" s="67" t="n">
        <v>7.5</v>
      </c>
      <c r="AN145" s="67" t="n"/>
      <c r="AO145" s="65">
        <f>IFERROR(IF(AND(AM145&lt;&gt;"",AN145&lt;&gt;""),ABS(AM145-AN145)/ABS(AM145)*100,""),"")</f>
        <v/>
      </c>
      <c r="AP145" s="62" t="inlineStr">
        <is>
          <t>Claude</t>
        </is>
      </c>
      <c r="AQ145" s="67" t="n"/>
      <c r="AR145" s="67" t="n"/>
      <c r="AS145" s="65">
        <f>IFERROR(IF(AND(AQ145&lt;&gt;"",AR145&lt;&gt;""),ABS(AQ145-AR145)/ABS(AQ145)*100,""),"")</f>
        <v/>
      </c>
      <c r="AT145" s="62" t="inlineStr">
        <is>
          <t>ND</t>
        </is>
      </c>
      <c r="AU145" s="67" t="n">
        <v>12.5</v>
      </c>
      <c r="AV145" s="67" t="n">
        <v>12.5</v>
      </c>
      <c r="AW145" s="65">
        <f>IFERROR(IF(AND(AU145&lt;&gt;"",AV145&lt;&gt;""),ABS(AU145-AV145)/ABS(AU145)*100,""),"")</f>
        <v/>
      </c>
      <c r="AX145" s="62" t="inlineStr">
        <is>
          <t>Claude</t>
        </is>
      </c>
      <c r="AY145" s="67" t="n">
        <v>78000000</v>
      </c>
      <c r="AZ145" s="67" t="n">
        <v>78000000</v>
      </c>
      <c r="BA145" s="65">
        <f>IFERROR(IF(AND(AY145&lt;&gt;"",AZ145&lt;&gt;""),ABS(AY145-AZ145)/ABS(AY145)*100,""),"")</f>
        <v/>
      </c>
      <c r="BB145" s="62" t="inlineStr">
        <is>
          <t>Claude</t>
        </is>
      </c>
      <c r="BC145" s="67" t="n"/>
      <c r="BD145" s="67" t="n"/>
      <c r="BE145" s="65">
        <f>IFERROR(IF(AND(BC145&lt;&gt;"",BD145&lt;&gt;""),ABS(BC145-BD145)/ABS(BC145)*100,""),"")</f>
        <v/>
      </c>
      <c r="BF145" s="62" t="inlineStr">
        <is>
          <t>ND</t>
        </is>
      </c>
      <c r="BG145" s="67" t="n">
        <v>789980</v>
      </c>
      <c r="BH145" s="67" t="n">
        <v>766000</v>
      </c>
      <c r="BI145" s="65">
        <f>IFERROR(IF(AND(BG145&lt;&gt;"",BH145&lt;&gt;""),ABS(BG145-BH145)/ABS(BG145)*100,""),"")</f>
        <v/>
      </c>
      <c r="BJ145" s="62" t="inlineStr">
        <is>
          <t>Claude</t>
        </is>
      </c>
      <c r="BK145" s="67" t="n">
        <v>59</v>
      </c>
      <c r="BL145" s="67" t="n">
        <v>57.3</v>
      </c>
      <c r="BM145" s="65">
        <f>IFERROR(IF(AND(BK145&lt;&gt;"",BL145&lt;&gt;""),ABS(BK145-BL145)/ABS(BK145)*100,""),"")</f>
        <v/>
      </c>
      <c r="BN145" s="62" t="inlineStr">
        <is>
          <t>Claude</t>
        </is>
      </c>
      <c r="BO145" s="67" t="n">
        <v>10</v>
      </c>
      <c r="BP145" s="67" t="n">
        <v>10</v>
      </c>
      <c r="BQ145" s="65">
        <f>IFERROR(IF(AND(BO145&lt;&gt;"",BP145&lt;&gt;""),ABS(BO145-BP145)/ABS(BO145)*100,""),"")</f>
        <v/>
      </c>
      <c r="BR145" s="62" t="inlineStr">
        <is>
          <t>Claude</t>
        </is>
      </c>
      <c r="BS145" s="67" t="n">
        <v>43</v>
      </c>
      <c r="BT145" s="67" t="n">
        <v>43</v>
      </c>
      <c r="BU145" s="65">
        <f>IFERROR(IF(AND(BS145&lt;&gt;"",BT145&lt;&gt;""),ABS(BS145-BT145)/ABS(BS145)*100,""),"")</f>
        <v/>
      </c>
      <c r="BV145" s="62" t="inlineStr">
        <is>
          <t>Claude</t>
        </is>
      </c>
      <c r="BW145" s="67" t="n"/>
      <c r="BX145" s="67" t="n"/>
      <c r="BY145" s="65">
        <f>IFERROR(IF(AND(BW145&lt;&gt;"",BX145&lt;&gt;""),ABS(BW145-BX145)/ABS(BW145)*100,""),"")</f>
        <v/>
      </c>
      <c r="BZ145" s="62" t="inlineStr">
        <is>
          <t>ND</t>
        </is>
      </c>
      <c r="CA145" s="67" t="n"/>
      <c r="CB145" s="67" t="n"/>
      <c r="CC145" s="65">
        <f>IFERROR(IF(AND(CA145&lt;&gt;"",CB145&lt;&gt;""),ABS(CA145-CB145)/ABS(CA145)*100,""),"")</f>
        <v/>
      </c>
      <c r="CD145" s="62" t="inlineStr">
        <is>
          <t>ND</t>
        </is>
      </c>
      <c r="CE145" s="67" t="n">
        <v>3.9</v>
      </c>
      <c r="CF145" s="67" t="n">
        <v>3.89</v>
      </c>
      <c r="CG145" s="65">
        <f>IFERROR(IF(AND(CE145&lt;&gt;"",CF145&lt;&gt;""),ABS(CE145-CF145)/ABS(CE145)*100,""),"")</f>
        <v/>
      </c>
      <c r="CH145" s="62" t="inlineStr">
        <is>
          <t>Claude</t>
        </is>
      </c>
      <c r="CI145" s="67" t="n">
        <v>2.7</v>
      </c>
      <c r="CJ145" s="67" t="n">
        <v>2.7</v>
      </c>
      <c r="CK145" s="65">
        <f>IFERROR(IF(AND(CI145&lt;&gt;"",CJ145&lt;&gt;""),ABS(CI145-CJ145)/ABS(CI145)*100,""),"")</f>
        <v/>
      </c>
      <c r="CL145" s="62" t="inlineStr">
        <is>
          <t>Claude</t>
        </is>
      </c>
      <c r="CM145" s="64" t="n">
        <v>17.74</v>
      </c>
      <c r="CN145" s="64" t="n">
        <v>97.3</v>
      </c>
      <c r="CO145" s="65">
        <f>IFERROR(IF(AND(CM145&lt;&gt;"",CN145&lt;&gt;""),ABS(CM145-CN145)/ABS(CM145)*100,""),"")</f>
        <v/>
      </c>
      <c r="CP145" s="66" t="inlineStr">
        <is>
          <t>MANUAL FLAG</t>
        </is>
      </c>
      <c r="CQ145" s="67" t="n">
        <v>1.6</v>
      </c>
      <c r="CR145" s="67" t="n">
        <v>1.6</v>
      </c>
      <c r="CS145" s="65">
        <f>IFERROR(IF(AND(CQ145&lt;&gt;"",CR145&lt;&gt;""),ABS(CQ145-CR145)/ABS(CQ145)*100,""),"")</f>
        <v/>
      </c>
      <c r="CT145" s="62" t="inlineStr">
        <is>
          <t>Claude</t>
        </is>
      </c>
      <c r="CU145" s="64" t="n">
        <v>3.04</v>
      </c>
      <c r="CV145" s="64" t="n">
        <v>1</v>
      </c>
      <c r="CW145" s="65">
        <f>IFERROR(IF(AND(CU145&lt;&gt;"",CV145&lt;&gt;""),ABS(CU145-CV145)/ABS(CU145)*100,""),"")</f>
        <v/>
      </c>
      <c r="CX145" s="66" t="inlineStr">
        <is>
          <t>MANUAL FLAG</t>
        </is>
      </c>
      <c r="CY145" s="68" t="n"/>
      <c r="CZ145" s="68" t="n"/>
      <c r="DA145" s="65">
        <f>IFERROR(IF(AND(CY145&lt;&gt;"",CZ145&lt;&gt;""),ABS(CY145-CZ145)/ABS(CY145)*100,""),"")</f>
        <v/>
      </c>
      <c r="DB145" s="62" t="inlineStr">
        <is>
          <t>ND</t>
        </is>
      </c>
      <c r="DC145" s="68" t="n"/>
      <c r="DD145" s="68" t="n"/>
      <c r="DE145" s="65">
        <f>IFERROR(IF(AND(DC145&lt;&gt;"",DD145&lt;&gt;""),ABS(DC145-DD145)/ABS(DC145)*100,""),"")</f>
        <v/>
      </c>
      <c r="DF145" s="62" t="inlineStr">
        <is>
          <t>ND</t>
        </is>
      </c>
      <c r="DG145" s="68" t="n"/>
      <c r="DH145" s="68" t="n"/>
      <c r="DI145" s="65">
        <f>IFERROR(IF(AND(DG145&lt;&gt;"",DH145&lt;&gt;""),ABS(DG145-DH145)/ABS(DG145)*100,""),"")</f>
        <v/>
      </c>
      <c r="DJ145" s="62" t="inlineStr">
        <is>
          <t>ND</t>
        </is>
      </c>
      <c r="DK145" s="68" t="n"/>
      <c r="DL145" s="68" t="n"/>
      <c r="DM145" s="65">
        <f>IFERROR(IF(AND(DK145&lt;&gt;"",DL145&lt;&gt;""),ABS(DK145-DL145)/ABS(DK145)*100,""),"")</f>
        <v/>
      </c>
      <c r="DN145" s="62" t="inlineStr">
        <is>
          <t>ND</t>
        </is>
      </c>
      <c r="DO145" s="68" t="n"/>
      <c r="DP145" s="68" t="n"/>
      <c r="DQ145" s="65">
        <f>IFERROR(IF(AND(DO145&lt;&gt;"",DP145&lt;&gt;""),ABS(DO145-DP145)/ABS(DO145)*100,""),"")</f>
        <v/>
      </c>
      <c r="DR145" s="62" t="inlineStr">
        <is>
          <t>ND</t>
        </is>
      </c>
      <c r="DS145" s="68" t="inlineStr">
        <is>
          <t>A</t>
        </is>
      </c>
      <c r="DT145" s="68" t="inlineStr">
        <is>
          <t>A</t>
        </is>
      </c>
      <c r="DU145" s="65">
        <f>IFERROR(IF(AND(DS145&lt;&gt;"",DT145&lt;&gt;""),ABS(DS145-DT145)/ABS(DS145)*100,""),"")</f>
        <v/>
      </c>
      <c r="DV145" s="62" t="inlineStr">
        <is>
          <t>Claude</t>
        </is>
      </c>
      <c r="DW145" s="63" t="inlineStr">
        <is>
          <t>Claude only (DeepSeek pending). Source=2024 report. Ind.7=2.735 (%Disabled: 90/3,291). Ind.8=0.517 (%Foreign: 17/3,291). Ind.14/15: source flags an INTERNAL REPORT ANOMALY - this year's 'per employee' figures reconcile against the PRIOR year's headcount (3,192) rather than this year's own headcount (3,291) - a genuine inconsistency in the source document, not an extraction error, values used as printed. Ind.20=3.9, same 'Restated in report' caveat as 2022 (executives-inclusion revision). Ind.24=3.04, notable spike from 2022's 0 (per 10,000 employees) - real safety event per report, not a data artifact. || DEEPSEEK RECONCILIATION - MANUAL FLAGS: Ind.22 (Union Membership): Claude=17.74, DeepSeek=97.3, Diff=448.5%; Ind.24 (Fatality Rate): Claude=3.04, DeepSeek=1, Diff=67.1% || NOTE: Ind.22 continues the extreme instability (97.3% here vs Claude's 17.74%, consistent with the ~90%+ scale seen in DeepSeek's other batches for this company) - see 2022 note for full context.</t>
        </is>
      </c>
    </row>
    <row r="146" ht="15.75" customHeight="1" s="43">
      <c r="A146" s="69" t="n"/>
      <c r="B146" s="69" t="n"/>
      <c r="C146" s="69" t="inlineStr">
        <is>
          <t>Industrials</t>
        </is>
      </c>
      <c r="D146" s="69" t="inlineStr">
        <is>
          <t>2024</t>
        </is>
      </c>
      <c r="E146" s="70" t="inlineStr">
        <is>
          <t>HYOSUNG_HEAVY_2024.pdf</t>
        </is>
      </c>
      <c r="F146" s="69" t="n"/>
      <c r="G146" s="67" t="n">
        <v>9.73</v>
      </c>
      <c r="H146" s="67" t="n">
        <v>9.73</v>
      </c>
      <c r="I146" s="71">
        <f>IFERROR(IF(AND(G146&lt;&gt;"",H146&lt;&gt;""),ABS(G146-H146)/ABS(G146)*100,""),"")</f>
        <v/>
      </c>
      <c r="J146" s="69" t="inlineStr">
        <is>
          <t>Claude</t>
        </is>
      </c>
      <c r="K146" s="67" t="n">
        <v>7.55</v>
      </c>
      <c r="L146" s="67" t="n">
        <v>7.55</v>
      </c>
      <c r="M146" s="71">
        <f>IFERROR(IF(AND(K146&lt;&gt;"",L146&lt;&gt;""),ABS(K146-L146)/ABS(K146)*100,""),"")</f>
        <v/>
      </c>
      <c r="N146" s="69" t="inlineStr">
        <is>
          <t>Claude</t>
        </is>
      </c>
      <c r="O146" s="67" t="n">
        <v>50.45</v>
      </c>
      <c r="P146" s="67" t="n">
        <v>50.45</v>
      </c>
      <c r="Q146" s="71">
        <f>IFERROR(IF(AND(O146&lt;&gt;"",P146&lt;&gt;""),ABS(O146-P146)/ABS(O146)*100,""),"")</f>
        <v/>
      </c>
      <c r="R146" s="69" t="inlineStr">
        <is>
          <t>Claude</t>
        </is>
      </c>
      <c r="S146" s="67" t="n">
        <v>17.46</v>
      </c>
      <c r="T146" s="67" t="n">
        <v>17.45</v>
      </c>
      <c r="U146" s="71">
        <f>IFERROR(IF(AND(S146&lt;&gt;"",T146&lt;&gt;""),ABS(S146-T146)/ABS(S146)*100,""),"")</f>
        <v/>
      </c>
      <c r="V146" s="69" t="inlineStr">
        <is>
          <t>Claude</t>
        </is>
      </c>
      <c r="W146" s="67" t="n"/>
      <c r="X146" s="67" t="n"/>
      <c r="Y146" s="71">
        <f>IFERROR(IF(AND(W146&lt;&gt;"",X146&lt;&gt;""),ABS(W146-X146)/ABS(W146)*100,""),"")</f>
        <v/>
      </c>
      <c r="Z146" s="69" t="inlineStr">
        <is>
          <t>ND</t>
        </is>
      </c>
      <c r="AA146" s="67" t="n">
        <v>20.5</v>
      </c>
      <c r="AB146" s="67" t="n">
        <v>20.54</v>
      </c>
      <c r="AC146" s="71">
        <f>IFERROR(IF(AND(AA146&lt;&gt;"",AB146&lt;&gt;""),ABS(AA146-AB146)/ABS(AA146)*100,""),"")</f>
        <v/>
      </c>
      <c r="AD146" s="69" t="inlineStr">
        <is>
          <t>Claude</t>
        </is>
      </c>
      <c r="AE146" s="67" t="n"/>
      <c r="AF146" s="67" t="n"/>
      <c r="AG146" s="71">
        <f>IFERROR(IF(AND(AE146&lt;&gt;"",AF146&lt;&gt;""),ABS(AE146-AF146)/ABS(AE146)*100,""),"")</f>
        <v/>
      </c>
      <c r="AH146" s="69" t="inlineStr">
        <is>
          <t>ND</t>
        </is>
      </c>
      <c r="AI146" s="67" t="n"/>
      <c r="AJ146" s="67" t="n"/>
      <c r="AK146" s="71">
        <f>IFERROR(IF(AND(AI146&lt;&gt;"",AJ146&lt;&gt;""),ABS(AI146-AJ146)/ABS(AI146)*100,""),"")</f>
        <v/>
      </c>
      <c r="AL146" s="69" t="inlineStr">
        <is>
          <t>ND</t>
        </is>
      </c>
      <c r="AM146" s="67" t="n">
        <v>7.7</v>
      </c>
      <c r="AN146" s="67" t="n"/>
      <c r="AO146" s="71">
        <f>IFERROR(IF(AND(AM146&lt;&gt;"",AN146&lt;&gt;""),ABS(AM146-AN146)/ABS(AM146)*100,""),"")</f>
        <v/>
      </c>
      <c r="AP146" s="69" t="inlineStr">
        <is>
          <t>Claude</t>
        </is>
      </c>
      <c r="AQ146" s="67" t="n"/>
      <c r="AR146" s="67" t="n"/>
      <c r="AS146" s="71">
        <f>IFERROR(IF(AND(AQ146&lt;&gt;"",AR146&lt;&gt;""),ABS(AQ146-AR146)/ABS(AQ146)*100,""),"")</f>
        <v/>
      </c>
      <c r="AT146" s="69" t="inlineStr">
        <is>
          <t>ND</t>
        </is>
      </c>
      <c r="AU146" s="67" t="n">
        <v>12.5</v>
      </c>
      <c r="AV146" s="67" t="n">
        <v>12.5</v>
      </c>
      <c r="AW146" s="71">
        <f>IFERROR(IF(AND(AU146&lt;&gt;"",AV146&lt;&gt;""),ABS(AU146-AV146)/ABS(AU146)*100,""),"")</f>
        <v/>
      </c>
      <c r="AX146" s="69" t="inlineStr">
        <is>
          <t>Claude</t>
        </is>
      </c>
      <c r="AY146" s="67" t="n">
        <v>86000000</v>
      </c>
      <c r="AZ146" s="67" t="n">
        <v>86000000</v>
      </c>
      <c r="BA146" s="71">
        <f>IFERROR(IF(AND(AY146&lt;&gt;"",AZ146&lt;&gt;""),ABS(AY146-AZ146)/ABS(AY146)*100,""),"")</f>
        <v/>
      </c>
      <c r="BB146" s="69" t="inlineStr">
        <is>
          <t>Claude</t>
        </is>
      </c>
      <c r="BC146" s="67" t="n"/>
      <c r="BD146" s="67" t="n"/>
      <c r="BE146" s="71">
        <f>IFERROR(IF(AND(BC146&lt;&gt;"",BD146&lt;&gt;""),ABS(BC146-BD146)/ABS(BC146)*100,""),"")</f>
        <v/>
      </c>
      <c r="BF146" s="69" t="inlineStr">
        <is>
          <t>ND</t>
        </is>
      </c>
      <c r="BG146" s="67" t="n">
        <v>850447</v>
      </c>
      <c r="BH146" s="67" t="n">
        <v>850000</v>
      </c>
      <c r="BI146" s="71">
        <f>IFERROR(IF(AND(BG146&lt;&gt;"",BH146&lt;&gt;""),ABS(BG146-BH146)/ABS(BG146)*100,""),"")</f>
        <v/>
      </c>
      <c r="BJ146" s="69" t="inlineStr">
        <is>
          <t>Claude</t>
        </is>
      </c>
      <c r="BK146" s="67" t="n">
        <v>67</v>
      </c>
      <c r="BL146" s="67" t="n">
        <v>67.40000000000001</v>
      </c>
      <c r="BM146" s="71">
        <f>IFERROR(IF(AND(BK146&lt;&gt;"",BL146&lt;&gt;""),ABS(BK146-BL146)/ABS(BK146)*100,""),"")</f>
        <v/>
      </c>
      <c r="BN146" s="69" t="inlineStr">
        <is>
          <t>Claude</t>
        </is>
      </c>
      <c r="BO146" s="67" t="n">
        <v>14</v>
      </c>
      <c r="BP146" s="67" t="n">
        <v>14</v>
      </c>
      <c r="BQ146" s="71">
        <f>IFERROR(IF(AND(BO146&lt;&gt;"",BP146&lt;&gt;""),ABS(BO146-BP146)/ABS(BO146)*100,""),"")</f>
        <v/>
      </c>
      <c r="BR146" s="69" t="inlineStr">
        <is>
          <t>Claude</t>
        </is>
      </c>
      <c r="BS146" s="67" t="n">
        <v>24</v>
      </c>
      <c r="BT146" s="67" t="n">
        <v>24</v>
      </c>
      <c r="BU146" s="71">
        <f>IFERROR(IF(AND(BS146&lt;&gt;"",BT146&lt;&gt;""),ABS(BS146-BT146)/ABS(BS146)*100,""),"")</f>
        <v/>
      </c>
      <c r="BV146" s="69" t="inlineStr">
        <is>
          <t>Claude</t>
        </is>
      </c>
      <c r="BW146" s="67" t="n"/>
      <c r="BX146" s="67" t="n"/>
      <c r="BY146" s="71">
        <f>IFERROR(IF(AND(BW146&lt;&gt;"",BX146&lt;&gt;""),ABS(BW146-BX146)/ABS(BW146)*100,""),"")</f>
        <v/>
      </c>
      <c r="BZ146" s="69" t="inlineStr">
        <is>
          <t>ND</t>
        </is>
      </c>
      <c r="CA146" s="67" t="n"/>
      <c r="CB146" s="67" t="n"/>
      <c r="CC146" s="71">
        <f>IFERROR(IF(AND(CA146&lt;&gt;"",CB146&lt;&gt;""),ABS(CA146-CB146)/ABS(CA146)*100,""),"")</f>
        <v/>
      </c>
      <c r="CD146" s="69" t="inlineStr">
        <is>
          <t>ND</t>
        </is>
      </c>
      <c r="CE146" s="67" t="n">
        <v>2.5</v>
      </c>
      <c r="CF146" s="67" t="n">
        <v>2.5</v>
      </c>
      <c r="CG146" s="71">
        <f>IFERROR(IF(AND(CE146&lt;&gt;"",CF146&lt;&gt;""),ABS(CE146-CF146)/ABS(CE146)*100,""),"")</f>
        <v/>
      </c>
      <c r="CH146" s="69" t="inlineStr">
        <is>
          <t>Claude</t>
        </is>
      </c>
      <c r="CI146" s="67" t="n">
        <v>2.35</v>
      </c>
      <c r="CJ146" s="67" t="n">
        <v>2.35</v>
      </c>
      <c r="CK146" s="71">
        <f>IFERROR(IF(AND(CI146&lt;&gt;"",CJ146&lt;&gt;""),ABS(CI146-CJ146)/ABS(CI146)*100,""),"")</f>
        <v/>
      </c>
      <c r="CL146" s="69" t="inlineStr">
        <is>
          <t>Claude</t>
        </is>
      </c>
      <c r="CM146" s="64" t="n">
        <v>16.6</v>
      </c>
      <c r="CN146" s="64" t="n">
        <v>98.3</v>
      </c>
      <c r="CO146" s="71">
        <f>IFERROR(IF(AND(CM146&lt;&gt;"",CN146&lt;&gt;""),ABS(CM146-CN146)/ABS(CM146)*100,""),"")</f>
        <v/>
      </c>
      <c r="CP146" s="66" t="inlineStr">
        <is>
          <t>MANUAL FLAG</t>
        </is>
      </c>
      <c r="CQ146" s="67" t="n">
        <v>3.1</v>
      </c>
      <c r="CR146" s="67" t="n">
        <v>3.1</v>
      </c>
      <c r="CS146" s="71">
        <f>IFERROR(IF(AND(CQ146&lt;&gt;"",CR146&lt;&gt;""),ABS(CQ146-CR146)/ABS(CQ146)*100,""),"")</f>
        <v/>
      </c>
      <c r="CT146" s="69" t="inlineStr">
        <is>
          <t>Claude</t>
        </is>
      </c>
      <c r="CU146" s="67" t="n">
        <v>0</v>
      </c>
      <c r="CV146" s="67" t="n">
        <v>0</v>
      </c>
      <c r="CW146" s="71">
        <f>IFERROR(IF(AND(CU146&lt;&gt;"",CV146&lt;&gt;""),ABS(CU146-CV146)/ABS(CU146)*100,""),"")</f>
        <v/>
      </c>
      <c r="CX146" s="69" t="inlineStr">
        <is>
          <t>Claude</t>
        </is>
      </c>
      <c r="CY146" s="68" t="n"/>
      <c r="CZ146" s="68" t="n"/>
      <c r="DA146" s="71">
        <f>IFERROR(IF(AND(CY146&lt;&gt;"",CZ146&lt;&gt;""),ABS(CY146-CZ146)/ABS(CY146)*100,""),"")</f>
        <v/>
      </c>
      <c r="DB146" s="69" t="inlineStr">
        <is>
          <t>ND</t>
        </is>
      </c>
      <c r="DC146" s="68" t="n"/>
      <c r="DD146" s="68" t="n"/>
      <c r="DE146" s="71">
        <f>IFERROR(IF(AND(DC146&lt;&gt;"",DD146&lt;&gt;""),ABS(DC146-DD146)/ABS(DC146)*100,""),"")</f>
        <v/>
      </c>
      <c r="DF146" s="69" t="inlineStr">
        <is>
          <t>ND</t>
        </is>
      </c>
      <c r="DG146" s="68" t="n"/>
      <c r="DH146" s="68" t="n"/>
      <c r="DI146" s="71">
        <f>IFERROR(IF(AND(DG146&lt;&gt;"",DH146&lt;&gt;""),ABS(DG146-DH146)/ABS(DG146)*100,""),"")</f>
        <v/>
      </c>
      <c r="DJ146" s="69" t="inlineStr">
        <is>
          <t>ND</t>
        </is>
      </c>
      <c r="DK146" s="68" t="n"/>
      <c r="DL146" s="68" t="n"/>
      <c r="DM146" s="71">
        <f>IFERROR(IF(AND(DK146&lt;&gt;"",DL146&lt;&gt;""),ABS(DK146-DL146)/ABS(DK146)*100,""),"")</f>
        <v/>
      </c>
      <c r="DN146" s="69" t="inlineStr">
        <is>
          <t>ND</t>
        </is>
      </c>
      <c r="DO146" s="68" t="n"/>
      <c r="DP146" s="68" t="n"/>
      <c r="DQ146" s="71">
        <f>IFERROR(IF(AND(DO146&lt;&gt;"",DP146&lt;&gt;""),ABS(DO146-DP146)/ABS(DO146)*100,""),"")</f>
        <v/>
      </c>
      <c r="DR146" s="69" t="inlineStr">
        <is>
          <t>ND</t>
        </is>
      </c>
      <c r="DS146" s="68" t="inlineStr">
        <is>
          <t>B+</t>
        </is>
      </c>
      <c r="DT146" s="68" t="inlineStr">
        <is>
          <t>B+</t>
        </is>
      </c>
      <c r="DU146" s="71">
        <f>IFERROR(IF(AND(DS146&lt;&gt;"",DT146&lt;&gt;""),ABS(DS146-DT146)/ABS(DS146)*100,""),"")</f>
        <v/>
      </c>
      <c r="DV146" s="69" t="inlineStr">
        <is>
          <t>Claude</t>
        </is>
      </c>
      <c r="DW146" s="70" t="inlineStr">
        <is>
          <t>Claude only (DeepSeek pending). Source=2024 report, only report covering 2024. Ind.7/8=ND (disability=79, foreign=11, no total workforce given this year specifically). **Ind.30='B+' - a REAL DOWNGRADE from 'A' (2022/2023) - not a data error, worth noting for your ESG-trend analysis.** || DEEPSEEK RECONCILIATION - MANUAL FLAGS: Ind.22 (Union Membership): Claude=16.6, DeepSeek=98.3, Diff=492.2% || NOTE: Ind.22 continues at 98.3% vs Claude's 16.6% - same extreme, unresolved instability across every source for this indicator/company. Ind.30 KCGS Rating both agree on 'B+' for 2024 - good confirmation of the real downgrade trend despite the earlier 2022 internal DeepSeek conflict.</t>
        </is>
      </c>
    </row>
    <row r="147" ht="4.5" customHeight="1" s="43">
      <c r="A147" s="72" t="n"/>
      <c r="B147" s="72" t="n"/>
      <c r="C147" s="72" t="n"/>
      <c r="D147" s="72" t="n"/>
      <c r="E147" s="72" t="n"/>
      <c r="F147" s="72" t="n"/>
      <c r="G147" s="72" t="n"/>
      <c r="H147" s="72" t="n"/>
      <c r="I147" s="72" t="n"/>
      <c r="J147" s="72" t="n"/>
      <c r="K147" s="72" t="n"/>
      <c r="L147" s="72" t="n"/>
      <c r="M147" s="72" t="n"/>
      <c r="N147" s="72" t="n"/>
      <c r="O147" s="72" t="n"/>
      <c r="P147" s="72" t="n"/>
      <c r="Q147" s="72" t="n"/>
      <c r="R147" s="72" t="n"/>
      <c r="S147" s="72" t="n"/>
      <c r="T147" s="72" t="n"/>
      <c r="U147" s="72" t="n"/>
      <c r="V147" s="72" t="n"/>
      <c r="W147" s="72" t="n"/>
      <c r="X147" s="72" t="n"/>
      <c r="Y147" s="72" t="n"/>
      <c r="Z147" s="72" t="n"/>
      <c r="AA147" s="72" t="n"/>
      <c r="AB147" s="72" t="n"/>
      <c r="AC147" s="72" t="n"/>
      <c r="AD147" s="72" t="n"/>
      <c r="AE147" s="72" t="n"/>
      <c r="AF147" s="72" t="n"/>
      <c r="AG147" s="72" t="n"/>
      <c r="AH147" s="72" t="n"/>
      <c r="AI147" s="72" t="n"/>
      <c r="AJ147" s="72" t="n"/>
      <c r="AK147" s="72" t="n"/>
      <c r="AL147" s="72" t="n"/>
      <c r="AM147" s="72" t="n"/>
      <c r="AN147" s="72" t="n"/>
      <c r="AO147" s="72" t="n"/>
      <c r="AP147" s="72" t="n"/>
      <c r="AQ147" s="72" t="n"/>
      <c r="AR147" s="72" t="n"/>
      <c r="AS147" s="72" t="n"/>
      <c r="AT147" s="72" t="n"/>
      <c r="AU147" s="72" t="n"/>
      <c r="AV147" s="72" t="n"/>
      <c r="AW147" s="72" t="n"/>
      <c r="AX147" s="72" t="n"/>
      <c r="AY147" s="72" t="n"/>
      <c r="AZ147" s="72" t="n"/>
      <c r="BA147" s="72" t="n"/>
      <c r="BB147" s="72" t="n"/>
      <c r="BC147" s="72" t="n"/>
      <c r="BD147" s="72" t="n"/>
      <c r="BE147" s="72" t="n"/>
      <c r="BF147" s="72" t="n"/>
      <c r="BG147" s="72" t="n"/>
      <c r="BH147" s="72" t="n"/>
      <c r="BI147" s="72" t="n"/>
      <c r="BJ147" s="72" t="n"/>
      <c r="BK147" s="72" t="n"/>
      <c r="BL147" s="72" t="n"/>
      <c r="BM147" s="72" t="n"/>
      <c r="BN147" s="72" t="n"/>
      <c r="BO147" s="72" t="n"/>
      <c r="BP147" s="72" t="n"/>
      <c r="BQ147" s="72" t="n"/>
      <c r="BR147" s="72" t="n"/>
      <c r="BS147" s="72" t="n"/>
      <c r="BT147" s="72" t="n"/>
      <c r="BU147" s="72" t="n"/>
      <c r="BV147" s="72" t="n"/>
      <c r="BW147" s="72" t="n"/>
      <c r="BX147" s="72" t="n"/>
      <c r="BY147" s="72" t="n"/>
      <c r="BZ147" s="72" t="n"/>
      <c r="CA147" s="72" t="n"/>
      <c r="CB147" s="72" t="n"/>
      <c r="CC147" s="72" t="n"/>
      <c r="CD147" s="72" t="n"/>
      <c r="CE147" s="72" t="n"/>
      <c r="CF147" s="72" t="n"/>
      <c r="CG147" s="72" t="n"/>
      <c r="CH147" s="72" t="n"/>
      <c r="CI147" s="72" t="n"/>
      <c r="CJ147" s="72" t="n"/>
      <c r="CK147" s="72" t="n"/>
      <c r="CL147" s="72" t="n"/>
      <c r="CM147" s="72" t="n"/>
      <c r="CN147" s="72" t="n"/>
      <c r="CO147" s="72" t="n"/>
      <c r="CP147" s="72" t="n"/>
      <c r="CQ147" s="72" t="n"/>
      <c r="CR147" s="72" t="n"/>
      <c r="CS147" s="72" t="n"/>
      <c r="CT147" s="72" t="n"/>
      <c r="CU147" s="72" t="n"/>
      <c r="CV147" s="72" t="n"/>
      <c r="CW147" s="72" t="n"/>
      <c r="CX147" s="72" t="n"/>
      <c r="CY147" s="72" t="n"/>
      <c r="CZ147" s="72" t="n"/>
      <c r="DA147" s="72" t="n"/>
      <c r="DB147" s="72" t="n"/>
      <c r="DC147" s="72" t="n"/>
      <c r="DD147" s="72" t="n"/>
      <c r="DE147" s="72" t="n"/>
      <c r="DF147" s="72" t="n"/>
      <c r="DG147" s="72" t="n"/>
      <c r="DH147" s="72" t="n"/>
      <c r="DI147" s="72" t="n"/>
      <c r="DJ147" s="72" t="n"/>
      <c r="DK147" s="72" t="n"/>
      <c r="DL147" s="72" t="n"/>
      <c r="DM147" s="72" t="n"/>
      <c r="DN147" s="72" t="n"/>
      <c r="DO147" s="72" t="n"/>
      <c r="DP147" s="72" t="n"/>
      <c r="DQ147" s="72" t="n"/>
      <c r="DR147" s="72" t="n"/>
      <c r="DS147" s="72" t="n"/>
      <c r="DT147" s="72" t="n"/>
      <c r="DU147" s="72" t="n"/>
      <c r="DV147" s="72" t="n"/>
      <c r="DW147" s="72" t="n"/>
    </row>
    <row r="148" ht="15.75" customHeight="1" s="43">
      <c r="A148" s="61" t="inlineStr">
        <is>
          <t>HYUNDAI ROTEM</t>
        </is>
      </c>
      <c r="B148" s="62" t="inlineStr">
        <is>
          <t>064350</t>
        </is>
      </c>
      <c r="C148" s="62" t="inlineStr">
        <is>
          <t>Industrials</t>
        </is>
      </c>
      <c r="D148" s="62" t="inlineStr">
        <is>
          <t>2018</t>
        </is>
      </c>
      <c r="E148" s="63" t="inlineStr">
        <is>
          <t>HYUNDAI_ROTEM_2021.pdf (only report covering 2018)</t>
        </is>
      </c>
      <c r="F148" s="62" t="n"/>
      <c r="G148" s="64" t="n">
        <v>4.29</v>
      </c>
      <c r="H148" s="64" t="n">
        <v>3.7404</v>
      </c>
      <c r="I148" s="65">
        <f>IFERROR(IF(AND(G148&lt;&gt;"",H148&lt;&gt;""),ABS(G148-H148)/ABS(G148)*100,""),"")</f>
        <v/>
      </c>
      <c r="J148" s="66" t="inlineStr">
        <is>
          <t>MANUAL FLAG</t>
        </is>
      </c>
      <c r="K148" s="64" t="n">
        <v>1.58</v>
      </c>
      <c r="L148" s="64" t="n">
        <v>9.466699999999999</v>
      </c>
      <c r="M148" s="65">
        <f>IFERROR(IF(AND(K148&lt;&gt;"",L148&lt;&gt;""),ABS(K148-L148)/ABS(K148)*100,""),"")</f>
        <v/>
      </c>
      <c r="N148" s="66" t="inlineStr">
        <is>
          <t>MANUAL FLAG</t>
        </is>
      </c>
      <c r="O148" s="64" t="n">
        <v>12.82</v>
      </c>
      <c r="P148" s="64" t="n">
        <v>9.5588</v>
      </c>
      <c r="Q148" s="65">
        <f>IFERROR(IF(AND(O148&lt;&gt;"",P148&lt;&gt;""),ABS(O148-P148)/ABS(O148)*100,""),"")</f>
        <v/>
      </c>
      <c r="R148" s="66" t="inlineStr">
        <is>
          <t>MANUAL FLAG</t>
        </is>
      </c>
      <c r="S148" s="67" t="n">
        <v>7.43</v>
      </c>
      <c r="T148" s="67" t="n">
        <v>7.4257</v>
      </c>
      <c r="U148" s="65">
        <f>IFERROR(IF(AND(S148&lt;&gt;"",T148&lt;&gt;""),ABS(S148-T148)/ABS(S148)*100,""),"")</f>
        <v/>
      </c>
      <c r="V148" s="62" t="inlineStr">
        <is>
          <t>Claude</t>
        </is>
      </c>
      <c r="W148" s="67" t="n"/>
      <c r="X148" s="67" t="n"/>
      <c r="Y148" s="65">
        <f>IFERROR(IF(AND(W148&lt;&gt;"",X148&lt;&gt;""),ABS(W148-X148)/ABS(W148)*100,""),"")</f>
        <v/>
      </c>
      <c r="Z148" s="62" t="inlineStr">
        <is>
          <t>ND</t>
        </is>
      </c>
      <c r="AA148" s="67" t="n">
        <v>5.2</v>
      </c>
      <c r="AB148" s="67" t="n">
        <v>5.1852</v>
      </c>
      <c r="AC148" s="65">
        <f>IFERROR(IF(AND(AA148&lt;&gt;"",AB148&lt;&gt;""),ABS(AA148-AB148)/ABS(AA148)*100,""),"")</f>
        <v/>
      </c>
      <c r="AD148" s="62" t="inlineStr">
        <is>
          <t>Claude</t>
        </is>
      </c>
      <c r="AE148" s="67" t="n"/>
      <c r="AF148" s="67" t="n"/>
      <c r="AG148" s="65">
        <f>IFERROR(IF(AND(AE148&lt;&gt;"",AF148&lt;&gt;""),ABS(AE148-AF148)/ABS(AE148)*100,""),"")</f>
        <v/>
      </c>
      <c r="AH148" s="62" t="inlineStr">
        <is>
          <t>ND</t>
        </is>
      </c>
      <c r="AI148" s="67" t="n"/>
      <c r="AJ148" s="67" t="n"/>
      <c r="AK148" s="65">
        <f>IFERROR(IF(AND(AI148&lt;&gt;"",AJ148&lt;&gt;""),ABS(AI148-AJ148)/ABS(AI148)*100,""),"")</f>
        <v/>
      </c>
      <c r="AL148" s="62" t="inlineStr">
        <is>
          <t>ND</t>
        </is>
      </c>
      <c r="AM148" s="67" t="n"/>
      <c r="AN148" s="67" t="n"/>
      <c r="AO148" s="65">
        <f>IFERROR(IF(AND(AM148&lt;&gt;"",AN148&lt;&gt;""),ABS(AM148-AN148)/ABS(AM148)*100,""),"")</f>
        <v/>
      </c>
      <c r="AP148" s="62" t="inlineStr">
        <is>
          <t>ND</t>
        </is>
      </c>
      <c r="AQ148" s="67" t="n">
        <v>0</v>
      </c>
      <c r="AR148" s="67" t="n">
        <v>0</v>
      </c>
      <c r="AS148" s="65">
        <f>IFERROR(IF(AND(AQ148&lt;&gt;"",AR148&lt;&gt;""),ABS(AQ148-AR148)/ABS(AQ148)*100,""),"")</f>
        <v/>
      </c>
      <c r="AT148" s="62" t="inlineStr">
        <is>
          <t>Claude</t>
        </is>
      </c>
      <c r="AU148" s="67" t="n">
        <v>0</v>
      </c>
      <c r="AV148" s="67" t="n">
        <v>0</v>
      </c>
      <c r="AW148" s="65">
        <f>IFERROR(IF(AND(AU148&lt;&gt;"",AV148&lt;&gt;""),ABS(AU148-AV148)/ABS(AU148)*100,""),"")</f>
        <v/>
      </c>
      <c r="AX148" s="62" t="inlineStr">
        <is>
          <t>Claude</t>
        </is>
      </c>
      <c r="AY148" s="67" t="n">
        <v>86000000</v>
      </c>
      <c r="AZ148" s="67" t="n"/>
      <c r="BA148" s="65">
        <f>IFERROR(IF(AND(AY148&lt;&gt;"",AZ148&lt;&gt;""),ABS(AY148-AZ148)/ABS(AY148)*100,""),"")</f>
        <v/>
      </c>
      <c r="BB148" s="62" t="inlineStr">
        <is>
          <t>Claude</t>
        </is>
      </c>
      <c r="BC148" s="67" t="n"/>
      <c r="BD148" s="67" t="n"/>
      <c r="BE148" s="65">
        <f>IFERROR(IF(AND(BC148&lt;&gt;"",BD148&lt;&gt;""),ABS(BC148-BD148)/ABS(BC148)*100,""),"")</f>
        <v/>
      </c>
      <c r="BF148" s="62" t="inlineStr">
        <is>
          <t>ND</t>
        </is>
      </c>
      <c r="BG148" s="67" t="n"/>
      <c r="BH148" s="67" t="n">
        <v>515031</v>
      </c>
      <c r="BI148" s="65">
        <f>IFERROR(IF(AND(BG148&lt;&gt;"",BH148&lt;&gt;""),ABS(BG148-BH148)/ABS(BG148)*100,""),"")</f>
        <v/>
      </c>
      <c r="BJ148" s="62" t="inlineStr">
        <is>
          <t>DeepSeek</t>
        </is>
      </c>
      <c r="BK148" s="67" t="n"/>
      <c r="BL148" s="67" t="n">
        <v>60</v>
      </c>
      <c r="BM148" s="65">
        <f>IFERROR(IF(AND(BK148&lt;&gt;"",BL148&lt;&gt;""),ABS(BK148-BL148)/ABS(BK148)*100,""),"")</f>
        <v/>
      </c>
      <c r="BN148" s="62" t="inlineStr">
        <is>
          <t>DeepSeek</t>
        </is>
      </c>
      <c r="BO148" s="67" t="n"/>
      <c r="BP148" s="67" t="n"/>
      <c r="BQ148" s="65">
        <f>IFERROR(IF(AND(BO148&lt;&gt;"",BP148&lt;&gt;""),ABS(BO148-BP148)/ABS(BO148)*100,""),"")</f>
        <v/>
      </c>
      <c r="BR148" s="62" t="inlineStr">
        <is>
          <t>ND</t>
        </is>
      </c>
      <c r="BS148" s="67" t="n"/>
      <c r="BT148" s="67" t="n"/>
      <c r="BU148" s="65">
        <f>IFERROR(IF(AND(BS148&lt;&gt;"",BT148&lt;&gt;""),ABS(BS148-BT148)/ABS(BS148)*100,""),"")</f>
        <v/>
      </c>
      <c r="BV148" s="62" t="inlineStr">
        <is>
          <t>ND</t>
        </is>
      </c>
      <c r="BW148" s="67" t="n"/>
      <c r="BX148" s="67" t="n">
        <v>57.1429</v>
      </c>
      <c r="BY148" s="65">
        <f>IFERROR(IF(AND(BW148&lt;&gt;"",BX148&lt;&gt;""),ABS(BW148-BX148)/ABS(BW148)*100,""),"")</f>
        <v/>
      </c>
      <c r="BZ148" s="62" t="inlineStr">
        <is>
          <t>DeepSeek</t>
        </is>
      </c>
      <c r="CA148" s="67" t="n"/>
      <c r="CB148" s="67" t="n">
        <v>18.4</v>
      </c>
      <c r="CC148" s="65">
        <f>IFERROR(IF(AND(CA148&lt;&gt;"",CB148&lt;&gt;""),ABS(CA148-CB148)/ABS(CA148)*100,""),"")</f>
        <v/>
      </c>
      <c r="CD148" s="62" t="inlineStr">
        <is>
          <t>DeepSeek</t>
        </is>
      </c>
      <c r="CE148" s="67" t="n">
        <v>1.54</v>
      </c>
      <c r="CF148" s="67" t="n">
        <v>1.5402</v>
      </c>
      <c r="CG148" s="65">
        <f>IFERROR(IF(AND(CE148&lt;&gt;"",CF148&lt;&gt;""),ABS(CE148-CF148)/ABS(CE148)*100,""),"")</f>
        <v/>
      </c>
      <c r="CH148" s="62" t="inlineStr">
        <is>
          <t>Claude</t>
        </is>
      </c>
      <c r="CI148" s="67" t="n"/>
      <c r="CJ148" s="67" t="n">
        <v>1.2101</v>
      </c>
      <c r="CK148" s="65">
        <f>IFERROR(IF(AND(CI148&lt;&gt;"",CJ148&lt;&gt;""),ABS(CI148-CJ148)/ABS(CI148)*100,""),"")</f>
        <v/>
      </c>
      <c r="CL148" s="62" t="inlineStr">
        <is>
          <t>DeepSeek</t>
        </is>
      </c>
      <c r="CM148" s="67" t="n">
        <v>65.7</v>
      </c>
      <c r="CN148" s="67" t="n">
        <v>65.7</v>
      </c>
      <c r="CO148" s="65">
        <f>IFERROR(IF(AND(CM148&lt;&gt;"",CN148&lt;&gt;""),ABS(CM148-CN148)/ABS(CM148)*100,""),"")</f>
        <v/>
      </c>
      <c r="CP148" s="62" t="inlineStr">
        <is>
          <t>Claude</t>
        </is>
      </c>
      <c r="CQ148" s="67" t="n">
        <v>2.094</v>
      </c>
      <c r="CR148" s="67" t="n">
        <v>2.094</v>
      </c>
      <c r="CS148" s="65">
        <f>IFERROR(IF(AND(CQ148&lt;&gt;"",CR148&lt;&gt;""),ABS(CQ148-CR148)/ABS(CQ148)*100,""),"")</f>
        <v/>
      </c>
      <c r="CT148" s="62" t="inlineStr">
        <is>
          <t>Claude</t>
        </is>
      </c>
      <c r="CU148" s="67" t="n">
        <v>0</v>
      </c>
      <c r="CV148" s="67" t="n">
        <v>0</v>
      </c>
      <c r="CW148" s="65">
        <f>IFERROR(IF(AND(CU148&lt;&gt;"",CV148&lt;&gt;""),ABS(CU148-CV148)/ABS(CU148)*100,""),"")</f>
        <v/>
      </c>
      <c r="CX148" s="62" t="inlineStr">
        <is>
          <t>Claude</t>
        </is>
      </c>
      <c r="CY148" s="68" t="n"/>
      <c r="CZ148" s="68" t="n"/>
      <c r="DA148" s="65">
        <f>IFERROR(IF(AND(CY148&lt;&gt;"",CZ148&lt;&gt;""),ABS(CY148-CZ148)/ABS(CY148)*100,""),"")</f>
        <v/>
      </c>
      <c r="DB148" s="62" t="inlineStr">
        <is>
          <t>ND</t>
        </is>
      </c>
      <c r="DC148" s="68" t="n"/>
      <c r="DD148" s="68" t="n"/>
      <c r="DE148" s="65">
        <f>IFERROR(IF(AND(DC148&lt;&gt;"",DD148&lt;&gt;""),ABS(DC148-DD148)/ABS(DC148)*100,""),"")</f>
        <v/>
      </c>
      <c r="DF148" s="62" t="inlineStr">
        <is>
          <t>ND</t>
        </is>
      </c>
      <c r="DG148" s="68" t="n"/>
      <c r="DH148" s="68" t="n"/>
      <c r="DI148" s="65">
        <f>IFERROR(IF(AND(DG148&lt;&gt;"",DH148&lt;&gt;""),ABS(DG148-DH148)/ABS(DG148)*100,""),"")</f>
        <v/>
      </c>
      <c r="DJ148" s="62" t="inlineStr">
        <is>
          <t>ND</t>
        </is>
      </c>
      <c r="DK148" s="68" t="n"/>
      <c r="DL148" s="68" t="n"/>
      <c r="DM148" s="65">
        <f>IFERROR(IF(AND(DK148&lt;&gt;"",DL148&lt;&gt;""),ABS(DK148-DL148)/ABS(DK148)*100,""),"")</f>
        <v/>
      </c>
      <c r="DN148" s="62" t="inlineStr">
        <is>
          <t>ND</t>
        </is>
      </c>
      <c r="DO148" s="68" t="n"/>
      <c r="DP148" s="68" t="n"/>
      <c r="DQ148" s="65">
        <f>IFERROR(IF(AND(DO148&lt;&gt;"",DP148&lt;&gt;""),ABS(DO148-DP148)/ABS(DO148)*100,""),"")</f>
        <v/>
      </c>
      <c r="DR148" s="62" t="inlineStr">
        <is>
          <t>ND</t>
        </is>
      </c>
      <c r="DS148" s="68" t="n"/>
      <c r="DT148" s="68" t="n"/>
      <c r="DU148" s="65">
        <f>IFERROR(IF(AND(DS148&lt;&gt;"",DT148&lt;&gt;""),ABS(DS148-DT148)/ABS(DS148)*100,""),"")</f>
        <v/>
      </c>
      <c r="DV148" s="62" t="inlineStr">
        <is>
          <t>ND</t>
        </is>
      </c>
      <c r="DW148" s="63" t="inlineStr">
        <is>
          <t>Claude only (DeepSeek pending). Source=2021 report (only report covering 2018, first sustainability report). Ind.7/8: %Disabled=ND (headcount=150, no total workforce given this edition); %Foreign=ND (na disclosed). Ind.10/11=0.00, EXPLICIT direct disclosure, narrative-confirmed no female executives/directors yet appointed. Ind.14/15=na, PROXY: 'per employee' training labels found to actually use trainee/participant denominator - correctly withheld, later resolved by 2022 report (see 2019 note). Ind.21=na (computed residual not shown per this report's own convention, though a value exists in audit detail). Ind.25=na. Ind.30=na. || DEEPSEEK RECONCILIATION - MANUAL FLAGS: Ind.1 (Contract Workers%): Claude=4.29, DeepSeek=3.7404, Diff=12.8%; Ind.2 (Female Permanent%): Claude=1.58, DeepSeek=9.4667, Diff=499.2%; Ind.3 (Female Contract%): Claude=12.82, DeepSeek=9.5588, Diff=25.4%</t>
        </is>
      </c>
    </row>
    <row r="149" ht="15.75" customHeight="1" s="43">
      <c r="A149" s="69" t="n"/>
      <c r="B149" s="69" t="n"/>
      <c r="C149" s="69" t="inlineStr">
        <is>
          <t>Industrials</t>
        </is>
      </c>
      <c r="D149" s="69" t="inlineStr">
        <is>
          <t>2019</t>
        </is>
      </c>
      <c r="E149" s="70" t="inlineStr">
        <is>
          <t>HYUNDAI_ROTEM_2022.pdf (most recent covering 2019)</t>
        </is>
      </c>
      <c r="F149" s="69" t="n"/>
      <c r="G149" s="67" t="n">
        <v>4.96</v>
      </c>
      <c r="H149" s="67" t="n">
        <v>4.96</v>
      </c>
      <c r="I149" s="71">
        <f>IFERROR(IF(AND(G149&lt;&gt;"",H149&lt;&gt;""),ABS(G149-H149)/ABS(G149)*100,""),"")</f>
        <v/>
      </c>
      <c r="J149" s="69" t="inlineStr">
        <is>
          <t>Claude</t>
        </is>
      </c>
      <c r="K149" s="67" t="n">
        <v>1.64</v>
      </c>
      <c r="L149" s="67" t="n">
        <v>1.63</v>
      </c>
      <c r="M149" s="71">
        <f>IFERROR(IF(AND(K149&lt;&gt;"",L149&lt;&gt;""),ABS(K149-L149)/ABS(K149)*100,""),"")</f>
        <v/>
      </c>
      <c r="N149" s="69" t="inlineStr">
        <is>
          <t>Claude</t>
        </is>
      </c>
      <c r="O149" s="67" t="n">
        <v>16.85</v>
      </c>
      <c r="P149" s="67" t="n">
        <v>16.85</v>
      </c>
      <c r="Q149" s="71">
        <f>IFERROR(IF(AND(O149&lt;&gt;"",P149&lt;&gt;""),ABS(O149-P149)/ABS(O149)*100,""),"")</f>
        <v/>
      </c>
      <c r="R149" s="69" t="inlineStr">
        <is>
          <t>Claude</t>
        </is>
      </c>
      <c r="S149" s="67" t="n">
        <v>7.33</v>
      </c>
      <c r="T149" s="67" t="n">
        <v>7.33</v>
      </c>
      <c r="U149" s="71">
        <f>IFERROR(IF(AND(S149&lt;&gt;"",T149&lt;&gt;""),ABS(S149-T149)/ABS(S149)*100,""),"")</f>
        <v/>
      </c>
      <c r="V149" s="69" t="inlineStr">
        <is>
          <t>Claude</t>
        </is>
      </c>
      <c r="W149" s="67" t="n"/>
      <c r="X149" s="67" t="n"/>
      <c r="Y149" s="71">
        <f>IFERROR(IF(AND(W149&lt;&gt;"",X149&lt;&gt;""),ABS(W149-X149)/ABS(W149)*100,""),"")</f>
        <v/>
      </c>
      <c r="Z149" s="69" t="inlineStr">
        <is>
          <t>ND</t>
        </is>
      </c>
      <c r="AA149" s="67" t="n">
        <v>6.84</v>
      </c>
      <c r="AB149" s="67" t="n">
        <v>6.84</v>
      </c>
      <c r="AC149" s="71">
        <f>IFERROR(IF(AND(AA149&lt;&gt;"",AB149&lt;&gt;""),ABS(AA149-AB149)/ABS(AA149)*100,""),"")</f>
        <v/>
      </c>
      <c r="AD149" s="69" t="inlineStr">
        <is>
          <t>Claude</t>
        </is>
      </c>
      <c r="AE149" s="67" t="n">
        <v>3.8</v>
      </c>
      <c r="AF149" s="67" t="n"/>
      <c r="AG149" s="71">
        <f>IFERROR(IF(AND(AE149&lt;&gt;"",AF149&lt;&gt;""),ABS(AE149-AF149)/ABS(AE149)*100,""),"")</f>
        <v/>
      </c>
      <c r="AH149" s="69" t="inlineStr">
        <is>
          <t>Claude</t>
        </is>
      </c>
      <c r="AI149" s="67" t="n"/>
      <c r="AJ149" s="67" t="n"/>
      <c r="AK149" s="71">
        <f>IFERROR(IF(AND(AI149&lt;&gt;"",AJ149&lt;&gt;""),ABS(AI149-AJ149)/ABS(AI149)*100,""),"")</f>
        <v/>
      </c>
      <c r="AL149" s="69" t="inlineStr">
        <is>
          <t>ND</t>
        </is>
      </c>
      <c r="AM149" s="67" t="n"/>
      <c r="AN149" s="67" t="n"/>
      <c r="AO149" s="71">
        <f>IFERROR(IF(AND(AM149&lt;&gt;"",AN149&lt;&gt;""),ABS(AM149-AN149)/ABS(AM149)*100,""),"")</f>
        <v/>
      </c>
      <c r="AP149" s="69" t="inlineStr">
        <is>
          <t>ND</t>
        </is>
      </c>
      <c r="AQ149" s="67" t="n"/>
      <c r="AR149" s="67" t="n">
        <v>0</v>
      </c>
      <c r="AS149" s="71">
        <f>IFERROR(IF(AND(AQ149&lt;&gt;"",AR149&lt;&gt;""),ABS(AQ149-AR149)/ABS(AQ149)*100,""),"")</f>
        <v/>
      </c>
      <c r="AT149" s="69" t="inlineStr">
        <is>
          <t>DeepSeek</t>
        </is>
      </c>
      <c r="AU149" s="67" t="n">
        <v>0</v>
      </c>
      <c r="AV149" s="67" t="n">
        <v>0</v>
      </c>
      <c r="AW149" s="71">
        <f>IFERROR(IF(AND(AU149&lt;&gt;"",AV149&lt;&gt;""),ABS(AU149-AV149)/ABS(AU149)*100,""),"")</f>
        <v/>
      </c>
      <c r="AX149" s="69" t="inlineStr">
        <is>
          <t>Claude</t>
        </is>
      </c>
      <c r="AY149" s="67" t="n">
        <v>85201348</v>
      </c>
      <c r="AZ149" s="67" t="n">
        <v>85201348</v>
      </c>
      <c r="BA149" s="71">
        <f>IFERROR(IF(AND(AY149&lt;&gt;"",AZ149&lt;&gt;""),ABS(AY149-AZ149)/ABS(AY149)*100,""),"")</f>
        <v/>
      </c>
      <c r="BB149" s="69" t="inlineStr">
        <is>
          <t>Claude</t>
        </is>
      </c>
      <c r="BC149" s="67" t="n"/>
      <c r="BD149" s="67" t="n"/>
      <c r="BE149" s="71">
        <f>IFERROR(IF(AND(BC149&lt;&gt;"",BD149&lt;&gt;""),ABS(BC149-BD149)/ABS(BC149)*100,""),"")</f>
        <v/>
      </c>
      <c r="BF149" s="69" t="inlineStr">
        <is>
          <t>ND</t>
        </is>
      </c>
      <c r="BG149" s="67" t="n">
        <v>242056</v>
      </c>
      <c r="BH149" s="67" t="n">
        <v>242058</v>
      </c>
      <c r="BI149" s="71">
        <f>IFERROR(IF(AND(BG149&lt;&gt;"",BH149&lt;&gt;""),ABS(BG149-BH149)/ABS(BG149)*100,""),"")</f>
        <v/>
      </c>
      <c r="BJ149" s="69" t="inlineStr">
        <is>
          <t>Claude</t>
        </is>
      </c>
      <c r="BK149" s="67" t="n">
        <v>29.6</v>
      </c>
      <c r="BL149" s="67" t="n">
        <v>29.57</v>
      </c>
      <c r="BM149" s="71">
        <f>IFERROR(IF(AND(BK149&lt;&gt;"",BL149&lt;&gt;""),ABS(BK149-BL149)/ABS(BK149)*100,""),"")</f>
        <v/>
      </c>
      <c r="BN149" s="69" t="inlineStr">
        <is>
          <t>Claude</t>
        </is>
      </c>
      <c r="BO149" s="67" t="n"/>
      <c r="BP149" s="67" t="n"/>
      <c r="BQ149" s="71">
        <f>IFERROR(IF(AND(BO149&lt;&gt;"",BP149&lt;&gt;""),ABS(BO149-BP149)/ABS(BO149)*100,""),"")</f>
        <v/>
      </c>
      <c r="BR149" s="69" t="inlineStr">
        <is>
          <t>ND</t>
        </is>
      </c>
      <c r="BS149" s="67" t="n"/>
      <c r="BT149" s="67" t="n"/>
      <c r="BU149" s="71">
        <f>IFERROR(IF(AND(BS149&lt;&gt;"",BT149&lt;&gt;""),ABS(BS149-BT149)/ABS(BS149)*100,""),"")</f>
        <v/>
      </c>
      <c r="BV149" s="69" t="inlineStr">
        <is>
          <t>ND</t>
        </is>
      </c>
      <c r="BW149" s="67" t="n"/>
      <c r="BX149" s="67" t="n">
        <v>12.5</v>
      </c>
      <c r="BY149" s="71">
        <f>IFERROR(IF(AND(BW149&lt;&gt;"",BX149&lt;&gt;""),ABS(BW149-BX149)/ABS(BW149)*100,""),"")</f>
        <v/>
      </c>
      <c r="BZ149" s="69" t="inlineStr">
        <is>
          <t>DeepSeek</t>
        </is>
      </c>
      <c r="CA149" s="67" t="n">
        <v>17.8</v>
      </c>
      <c r="CB149" s="67" t="n"/>
      <c r="CC149" s="71">
        <f>IFERROR(IF(AND(CA149&lt;&gt;"",CB149&lt;&gt;""),ABS(CA149-CB149)/ABS(CA149)*100,""),"")</f>
        <v/>
      </c>
      <c r="CD149" s="69" t="inlineStr">
        <is>
          <t>Claude</t>
        </is>
      </c>
      <c r="CE149" s="67" t="n">
        <v>1.81</v>
      </c>
      <c r="CF149" s="67" t="n">
        <v>1.82</v>
      </c>
      <c r="CG149" s="71">
        <f>IFERROR(IF(AND(CE149&lt;&gt;"",CF149&lt;&gt;""),ABS(CE149-CF149)/ABS(CE149)*100,""),"")</f>
        <v/>
      </c>
      <c r="CH149" s="69" t="inlineStr">
        <is>
          <t>Claude</t>
        </is>
      </c>
      <c r="CI149" s="67" t="n">
        <v>2.17</v>
      </c>
      <c r="CJ149" s="67" t="n"/>
      <c r="CK149" s="71">
        <f>IFERROR(IF(AND(CI149&lt;&gt;"",CJ149&lt;&gt;""),ABS(CI149-CJ149)/ABS(CI149)*100,""),"")</f>
        <v/>
      </c>
      <c r="CL149" s="69" t="inlineStr">
        <is>
          <t>Claude</t>
        </is>
      </c>
      <c r="CM149" s="67" t="n">
        <v>63.1</v>
      </c>
      <c r="CN149" s="67" t="n">
        <v>63.1</v>
      </c>
      <c r="CO149" s="71">
        <f>IFERROR(IF(AND(CM149&lt;&gt;"",CN149&lt;&gt;""),ABS(CM149-CN149)/ABS(CM149)*100,""),"")</f>
        <v/>
      </c>
      <c r="CP149" s="69" t="inlineStr">
        <is>
          <t>Claude</t>
        </is>
      </c>
      <c r="CQ149" s="67" t="n">
        <v>1.77</v>
      </c>
      <c r="CR149" s="67" t="n">
        <v>1.77</v>
      </c>
      <c r="CS149" s="71">
        <f>IFERROR(IF(AND(CQ149&lt;&gt;"",CR149&lt;&gt;""),ABS(CQ149-CR149)/ABS(CQ149)*100,""),"")</f>
        <v/>
      </c>
      <c r="CT149" s="69" t="inlineStr">
        <is>
          <t>Claude</t>
        </is>
      </c>
      <c r="CU149" s="67" t="n">
        <v>0</v>
      </c>
      <c r="CV149" s="67" t="n">
        <v>0</v>
      </c>
      <c r="CW149" s="71">
        <f>IFERROR(IF(AND(CU149&lt;&gt;"",CV149&lt;&gt;""),ABS(CU149-CV149)/ABS(CU149)*100,""),"")</f>
        <v/>
      </c>
      <c r="CX149" s="69" t="inlineStr">
        <is>
          <t>Claude</t>
        </is>
      </c>
      <c r="CY149" s="68" t="n"/>
      <c r="CZ149" s="68" t="n"/>
      <c r="DA149" s="71">
        <f>IFERROR(IF(AND(CY149&lt;&gt;"",CZ149&lt;&gt;""),ABS(CY149-CZ149)/ABS(CY149)*100,""),"")</f>
        <v/>
      </c>
      <c r="DB149" s="69" t="inlineStr">
        <is>
          <t>ND</t>
        </is>
      </c>
      <c r="DC149" s="68" t="n"/>
      <c r="DD149" s="68" t="n">
        <v>5</v>
      </c>
      <c r="DE149" s="71">
        <f>IFERROR(IF(AND(DC149&lt;&gt;"",DD149&lt;&gt;""),ABS(DC149-DD149)/ABS(DC149)*100,""),"")</f>
        <v/>
      </c>
      <c r="DF149" s="69" t="inlineStr">
        <is>
          <t>DeepSeek</t>
        </is>
      </c>
      <c r="DG149" s="68" t="n">
        <v>62.7</v>
      </c>
      <c r="DH149" s="68" t="n">
        <v>62.7</v>
      </c>
      <c r="DI149" s="71">
        <f>IFERROR(IF(AND(DG149&lt;&gt;"",DH149&lt;&gt;""),ABS(DG149-DH149)/ABS(DG149)*100,""),"")</f>
        <v/>
      </c>
      <c r="DJ149" s="69" t="inlineStr">
        <is>
          <t>Claude</t>
        </is>
      </c>
      <c r="DK149" s="68" t="n"/>
      <c r="DL149" s="68" t="n"/>
      <c r="DM149" s="71">
        <f>IFERROR(IF(AND(DK149&lt;&gt;"",DL149&lt;&gt;""),ABS(DK149-DL149)/ABS(DK149)*100,""),"")</f>
        <v/>
      </c>
      <c r="DN149" s="69" t="inlineStr">
        <is>
          <t>ND</t>
        </is>
      </c>
      <c r="DO149" s="68" t="n"/>
      <c r="DP149" s="68" t="n"/>
      <c r="DQ149" s="71">
        <f>IFERROR(IF(AND(DO149&lt;&gt;"",DP149&lt;&gt;""),ABS(DO149-DP149)/ABS(DO149)*100,""),"")</f>
        <v/>
      </c>
      <c r="DR149" s="69" t="inlineStr">
        <is>
          <t>ND</t>
        </is>
      </c>
      <c r="DS149" s="68" t="n"/>
      <c r="DT149" s="68" t="n"/>
      <c r="DU149" s="71">
        <f>IFERROR(IF(AND(DS149&lt;&gt;"",DT149&lt;&gt;""),ABS(DS149-DT149)/ABS(DS149)*100,""),"")</f>
        <v/>
      </c>
      <c r="DV149" s="69" t="inlineStr">
        <is>
          <t>ND</t>
        </is>
      </c>
      <c r="DW149" s="70" t="inlineStr">
        <is>
          <t>Claude only (DeepSeek pending). Source=2022 report (more recent than 2021 report). Ind.1/2/3/6/8/20/22 all MATCH the 2021 report exactly - strong cross-validation. Ind.7=3.8 (%Disabled) - 2022 report gives this DIRECTLY as a percentage (not headcount), superseding 2021 report's headcount-only data (150, no total workforce to convert). Ind.8=ND still (%Foreign, na disclosed both editions). **Ind.10=na: 2022 report RETRACTS the 2021 report's confident, narrative-confirmed 0.00% - worth a second look since the original claim looked solid; later RESTORED by the 2025 report (see 2022 note).** Ind.11=0.00, matches 2021 report exactly. Ind.12=85,201,348 KRW, close match to 2021 report's rounded 85,000,000. **Ind.14/15=242,056 / 29.6 - RESOLVED: 2022 report re-verified and found the 'per employee' denominator IS actually total employees (correcting the 2021 report's mislabeling concern) - genuine values now available, not a conflict.** Ind.19=17.8, NEW (2021 report had no 2019 data). Ind.21=2.17, PROXY - NOW SHOWN (2021 report computed this internally but didn't display it; 2022 report reveals the actual value). Ind.23=1.77 vs 2021 report's 2.849 - CONFLICT, but 2022 report scopes this to PERMANENT EMPLOYEES ONLY (Contractual shows no data) - likely a scope difference, not a data error. **Ind.25=na: 2022 report RETRACTS the 2021 report's specific COVID count of 19 for 2020 (see 2020 row) - downgrades to 'not sure,' finding measures likely active but not year-specifically itemized.** Ind.27=62.7, PROXY, NEW ('satisfaction/organizational culture' survey used as closest available proxy for engagement).</t>
        </is>
      </c>
    </row>
    <row r="150" ht="15.75" customHeight="1" s="43">
      <c r="A150" s="62" t="n"/>
      <c r="B150" s="62" t="n"/>
      <c r="C150" s="62" t="inlineStr">
        <is>
          <t>Industrials</t>
        </is>
      </c>
      <c r="D150" s="62" t="inlineStr">
        <is>
          <t>2020</t>
        </is>
      </c>
      <c r="E150" s="63" t="inlineStr">
        <is>
          <t>HYUNDAI_ROTEM_2022.pdf (most recent covering 2020)</t>
        </is>
      </c>
      <c r="F150" s="62" t="n"/>
      <c r="G150" s="67" t="n">
        <v>7.36</v>
      </c>
      <c r="H150" s="67" t="n">
        <v>7.36</v>
      </c>
      <c r="I150" s="65">
        <f>IFERROR(IF(AND(G150&lt;&gt;"",H150&lt;&gt;""),ABS(G150-H150)/ABS(G150)*100,""),"")</f>
        <v/>
      </c>
      <c r="J150" s="62" t="inlineStr">
        <is>
          <t>Claude</t>
        </is>
      </c>
      <c r="K150" s="64" t="n">
        <v>1.83</v>
      </c>
      <c r="L150" s="64" t="n">
        <v>1.48</v>
      </c>
      <c r="M150" s="65">
        <f>IFERROR(IF(AND(K150&lt;&gt;"",L150&lt;&gt;""),ABS(K150-L150)/ABS(K150)*100,""),"")</f>
        <v/>
      </c>
      <c r="N150" s="66" t="inlineStr">
        <is>
          <t>MANUAL FLAG</t>
        </is>
      </c>
      <c r="O150" s="67" t="n">
        <v>14.29</v>
      </c>
      <c r="P150" s="67" t="n">
        <v>14.29</v>
      </c>
      <c r="Q150" s="65">
        <f>IFERROR(IF(AND(O150&lt;&gt;"",P150&lt;&gt;""),ABS(O150-P150)/ABS(O150)*100,""),"")</f>
        <v/>
      </c>
      <c r="R150" s="62" t="inlineStr">
        <is>
          <t>Claude</t>
        </is>
      </c>
      <c r="S150" s="67" t="n">
        <v>3.68</v>
      </c>
      <c r="T150" s="67" t="n">
        <v>3.68</v>
      </c>
      <c r="U150" s="65">
        <f>IFERROR(IF(AND(S150&lt;&gt;"",T150&lt;&gt;""),ABS(S150-T150)/ABS(S150)*100,""),"")</f>
        <v/>
      </c>
      <c r="V150" s="62" t="inlineStr">
        <is>
          <t>Claude</t>
        </is>
      </c>
      <c r="W150" s="67" t="n"/>
      <c r="X150" s="67" t="n"/>
      <c r="Y150" s="65">
        <f>IFERROR(IF(AND(W150&lt;&gt;"",X150&lt;&gt;""),ABS(W150-X150)/ABS(W150)*100,""),"")</f>
        <v/>
      </c>
      <c r="Z150" s="62" t="inlineStr">
        <is>
          <t>ND</t>
        </is>
      </c>
      <c r="AA150" s="67" t="n">
        <v>11.9</v>
      </c>
      <c r="AB150" s="67" t="n">
        <v>11.9</v>
      </c>
      <c r="AC150" s="65">
        <f>IFERROR(IF(AND(AA150&lt;&gt;"",AB150&lt;&gt;""),ABS(AA150-AB150)/ABS(AA150)*100,""),"")</f>
        <v/>
      </c>
      <c r="AD150" s="62" t="inlineStr">
        <is>
          <t>Claude</t>
        </is>
      </c>
      <c r="AE150" s="67" t="n">
        <v>3.7</v>
      </c>
      <c r="AF150" s="67" t="n"/>
      <c r="AG150" s="65">
        <f>IFERROR(IF(AND(AE150&lt;&gt;"",AF150&lt;&gt;""),ABS(AE150-AF150)/ABS(AE150)*100,""),"")</f>
        <v/>
      </c>
      <c r="AH150" s="62" t="inlineStr">
        <is>
          <t>Claude</t>
        </is>
      </c>
      <c r="AI150" s="67" t="n"/>
      <c r="AJ150" s="67" t="n"/>
      <c r="AK150" s="65">
        <f>IFERROR(IF(AND(AI150&lt;&gt;"",AJ150&lt;&gt;""),ABS(AI150-AJ150)/ABS(AI150)*100,""),"")</f>
        <v/>
      </c>
      <c r="AL150" s="62" t="inlineStr">
        <is>
          <t>ND</t>
        </is>
      </c>
      <c r="AM150" s="67" t="n"/>
      <c r="AN150" s="67" t="n"/>
      <c r="AO150" s="65">
        <f>IFERROR(IF(AND(AM150&lt;&gt;"",AN150&lt;&gt;""),ABS(AM150-AN150)/ABS(AM150)*100,""),"")</f>
        <v/>
      </c>
      <c r="AP150" s="62" t="inlineStr">
        <is>
          <t>ND</t>
        </is>
      </c>
      <c r="AQ150" s="67" t="n"/>
      <c r="AR150" s="67" t="n">
        <v>0</v>
      </c>
      <c r="AS150" s="65">
        <f>IFERROR(IF(AND(AQ150&lt;&gt;"",AR150&lt;&gt;""),ABS(AQ150-AR150)/ABS(AQ150)*100,""),"")</f>
        <v/>
      </c>
      <c r="AT150" s="62" t="inlineStr">
        <is>
          <t>DeepSeek</t>
        </is>
      </c>
      <c r="AU150" s="67" t="n">
        <v>0</v>
      </c>
      <c r="AV150" s="67" t="n">
        <v>0</v>
      </c>
      <c r="AW150" s="65">
        <f>IFERROR(IF(AND(AU150&lt;&gt;"",AV150&lt;&gt;""),ABS(AU150-AV150)/ABS(AU150)*100,""),"")</f>
        <v/>
      </c>
      <c r="AX150" s="62" t="inlineStr">
        <is>
          <t>Claude</t>
        </is>
      </c>
      <c r="AY150" s="67" t="n">
        <v>86046971</v>
      </c>
      <c r="AZ150" s="67" t="n">
        <v>86046971</v>
      </c>
      <c r="BA150" s="65">
        <f>IFERROR(IF(AND(AY150&lt;&gt;"",AZ150&lt;&gt;""),ABS(AY150-AZ150)/ABS(AY150)*100,""),"")</f>
        <v/>
      </c>
      <c r="BB150" s="62" t="inlineStr">
        <is>
          <t>Claude</t>
        </is>
      </c>
      <c r="BC150" s="67" t="n"/>
      <c r="BD150" s="67" t="n"/>
      <c r="BE150" s="65">
        <f>IFERROR(IF(AND(BC150&lt;&gt;"",BD150&lt;&gt;""),ABS(BC150-BD150)/ABS(BC150)*100,""),"")</f>
        <v/>
      </c>
      <c r="BF150" s="62" t="inlineStr">
        <is>
          <t>ND</t>
        </is>
      </c>
      <c r="BG150" s="67" t="n">
        <v>133455</v>
      </c>
      <c r="BH150" s="67" t="n">
        <v>133456</v>
      </c>
      <c r="BI150" s="65">
        <f>IFERROR(IF(AND(BG150&lt;&gt;"",BH150&lt;&gt;""),ABS(BG150-BH150)/ABS(BG150)*100,""),"")</f>
        <v/>
      </c>
      <c r="BJ150" s="62" t="inlineStr">
        <is>
          <t>Claude</t>
        </is>
      </c>
      <c r="BK150" s="67" t="n">
        <v>24.1</v>
      </c>
      <c r="BL150" s="67" t="n">
        <v>24.12</v>
      </c>
      <c r="BM150" s="65">
        <f>IFERROR(IF(AND(BK150&lt;&gt;"",BL150&lt;&gt;""),ABS(BK150-BL150)/ABS(BK150)*100,""),"")</f>
        <v/>
      </c>
      <c r="BN150" s="62" t="inlineStr">
        <is>
          <t>Claude</t>
        </is>
      </c>
      <c r="BO150" s="67" t="n"/>
      <c r="BP150" s="67" t="n"/>
      <c r="BQ150" s="65">
        <f>IFERROR(IF(AND(BO150&lt;&gt;"",BP150&lt;&gt;""),ABS(BO150-BP150)/ABS(BO150)*100,""),"")</f>
        <v/>
      </c>
      <c r="BR150" s="62" t="inlineStr">
        <is>
          <t>ND</t>
        </is>
      </c>
      <c r="BS150" s="67" t="n"/>
      <c r="BT150" s="67" t="n"/>
      <c r="BU150" s="65">
        <f>IFERROR(IF(AND(BS150&lt;&gt;"",BT150&lt;&gt;""),ABS(BS150-BT150)/ABS(BS150)*100,""),"")</f>
        <v/>
      </c>
      <c r="BV150" s="62" t="inlineStr">
        <is>
          <t>ND</t>
        </is>
      </c>
      <c r="BW150" s="67" t="n"/>
      <c r="BX150" s="67" t="n">
        <v>14.29</v>
      </c>
      <c r="BY150" s="65">
        <f>IFERROR(IF(AND(BW150&lt;&gt;"",BX150&lt;&gt;""),ABS(BW150-BX150)/ABS(BW150)*100,""),"")</f>
        <v/>
      </c>
      <c r="BZ150" s="62" t="inlineStr">
        <is>
          <t>DeepSeek</t>
        </is>
      </c>
      <c r="CA150" s="67" t="n">
        <v>17.3</v>
      </c>
      <c r="CB150" s="67" t="n"/>
      <c r="CC150" s="65">
        <f>IFERROR(IF(AND(CA150&lt;&gt;"",CB150&lt;&gt;""),ABS(CA150-CB150)/ABS(CA150)*100,""),"")</f>
        <v/>
      </c>
      <c r="CD150" s="62" t="inlineStr">
        <is>
          <t>Claude</t>
        </is>
      </c>
      <c r="CE150" s="67" t="n">
        <v>1.87</v>
      </c>
      <c r="CF150" s="67" t="n">
        <v>1.9</v>
      </c>
      <c r="CG150" s="65">
        <f>IFERROR(IF(AND(CE150&lt;&gt;"",CF150&lt;&gt;""),ABS(CE150-CF150)/ABS(CE150)*100,""),"")</f>
        <v/>
      </c>
      <c r="CH150" s="62" t="inlineStr">
        <is>
          <t>Claude</t>
        </is>
      </c>
      <c r="CI150" s="67" t="n">
        <v>3.06</v>
      </c>
      <c r="CJ150" s="67" t="n"/>
      <c r="CK150" s="65">
        <f>IFERROR(IF(AND(CI150&lt;&gt;"",CJ150&lt;&gt;""),ABS(CI150-CJ150)/ABS(CI150)*100,""),"")</f>
        <v/>
      </c>
      <c r="CL150" s="62" t="inlineStr">
        <is>
          <t>Claude</t>
        </is>
      </c>
      <c r="CM150" s="67" t="n">
        <v>62.7</v>
      </c>
      <c r="CN150" s="67" t="n">
        <v>62.7</v>
      </c>
      <c r="CO150" s="65">
        <f>IFERROR(IF(AND(CM150&lt;&gt;"",CN150&lt;&gt;""),ABS(CM150-CN150)/ABS(CM150)*100,""),"")</f>
        <v/>
      </c>
      <c r="CP150" s="62" t="inlineStr">
        <is>
          <t>Claude</t>
        </is>
      </c>
      <c r="CQ150" s="67" t="n">
        <v>1.72</v>
      </c>
      <c r="CR150" s="67" t="n">
        <v>1.72</v>
      </c>
      <c r="CS150" s="65">
        <f>IFERROR(IF(AND(CQ150&lt;&gt;"",CR150&lt;&gt;""),ABS(CQ150-CR150)/ABS(CQ150)*100,""),"")</f>
        <v/>
      </c>
      <c r="CT150" s="62" t="inlineStr">
        <is>
          <t>Claude</t>
        </is>
      </c>
      <c r="CU150" s="67" t="n">
        <v>0</v>
      </c>
      <c r="CV150" s="67" t="n">
        <v>0</v>
      </c>
      <c r="CW150" s="65">
        <f>IFERROR(IF(AND(CU150&lt;&gt;"",CV150&lt;&gt;""),ABS(CU150-CV150)/ABS(CU150)*100,""),"")</f>
        <v/>
      </c>
      <c r="CX150" s="62" t="inlineStr">
        <is>
          <t>Claude</t>
        </is>
      </c>
      <c r="CY150" s="68" t="n"/>
      <c r="CZ150" s="68" t="n"/>
      <c r="DA150" s="65">
        <f>IFERROR(IF(AND(CY150&lt;&gt;"",CZ150&lt;&gt;""),ABS(CY150-CZ150)/ABS(CY150)*100,""),"")</f>
        <v/>
      </c>
      <c r="DB150" s="62" t="inlineStr">
        <is>
          <t>ND</t>
        </is>
      </c>
      <c r="DC150" s="68" t="n"/>
      <c r="DD150" s="68" t="n">
        <v>5</v>
      </c>
      <c r="DE150" s="65">
        <f>IFERROR(IF(AND(DC150&lt;&gt;"",DD150&lt;&gt;""),ABS(DC150-DD150)/ABS(DC150)*100,""),"")</f>
        <v/>
      </c>
      <c r="DF150" s="62" t="inlineStr">
        <is>
          <t>DeepSeek</t>
        </is>
      </c>
      <c r="DG150" s="68" t="n">
        <v>67.59999999999999</v>
      </c>
      <c r="DH150" s="68" t="n">
        <v>67.59999999999999</v>
      </c>
      <c r="DI150" s="65">
        <f>IFERROR(IF(AND(DG150&lt;&gt;"",DH150&lt;&gt;""),ABS(DG150-DH150)/ABS(DG150)*100,""),"")</f>
        <v/>
      </c>
      <c r="DJ150" s="62" t="inlineStr">
        <is>
          <t>Claude</t>
        </is>
      </c>
      <c r="DK150" s="68" t="n"/>
      <c r="DL150" s="68" t="n"/>
      <c r="DM150" s="65">
        <f>IFERROR(IF(AND(DK150&lt;&gt;"",DL150&lt;&gt;""),ABS(DK150-DL150)/ABS(DK150)*100,""),"")</f>
        <v/>
      </c>
      <c r="DN150" s="62" t="inlineStr">
        <is>
          <t>ND</t>
        </is>
      </c>
      <c r="DO150" s="68" t="n"/>
      <c r="DP150" s="68" t="n"/>
      <c r="DQ150" s="65">
        <f>IFERROR(IF(AND(DO150&lt;&gt;"",DP150&lt;&gt;""),ABS(DO150-DP150)/ABS(DO150)*100,""),"")</f>
        <v/>
      </c>
      <c r="DR150" s="62" t="inlineStr">
        <is>
          <t>ND</t>
        </is>
      </c>
      <c r="DS150" s="68" t="n"/>
      <c r="DT150" s="68" t="inlineStr">
        <is>
          <t>B+</t>
        </is>
      </c>
      <c r="DU150" s="65">
        <f>IFERROR(IF(AND(DS150&lt;&gt;"",DT150&lt;&gt;""),ABS(DS150-DT150)/ABS(DS150)*100,""),"")</f>
        <v/>
      </c>
      <c r="DV150" s="62" t="inlineStr">
        <is>
          <t>DeepSeek</t>
        </is>
      </c>
      <c r="DW150" s="63" t="inlineStr">
        <is>
          <t>Claude only (DeepSeek pending). Source=2022 report. Ind.7=3.7 (%Disabled, direct %). Ind.10=na (same retraction as 2019, see note). Ind.14/15=133,455/24.1, resolved genuine values. Ind.19=17.3, MATCHES 2021 report's single current-state figure EXACTLY - good cross-validation. Ind.21=3.06, proxy. Ind.23=1.72 vs 2021 report's 2.354 - same Permanent-only scope caveat as 2019. **Ind.25: 2021 report had a specific count of 19 COVID actions for THIS year (2020); 2022 report downgrades to 'not sure' for 2020 specifically (the 12-count value is for 2021, a different year) - flag as a real retraction of a previously concrete number.** Ind.27=67.6, proxy. || DEEPSEEK RECONCILIATION - MANUAL FLAGS: Ind.2 (Female Permanent%): Claude=1.83, DeepSeek=1.48, Diff=19.1%</t>
        </is>
      </c>
    </row>
    <row r="151" ht="15.75" customHeight="1" s="43">
      <c r="A151" s="69" t="n"/>
      <c r="B151" s="69" t="n"/>
      <c r="C151" s="69" t="inlineStr">
        <is>
          <t>Industrials</t>
        </is>
      </c>
      <c r="D151" s="69" t="inlineStr">
        <is>
          <t>2021</t>
        </is>
      </c>
      <c r="E151" s="70" t="inlineStr">
        <is>
          <t>HYUNDAI_ROTEM_2022.pdf (only report covering 2021)</t>
        </is>
      </c>
      <c r="F151" s="69" t="n"/>
      <c r="G151" s="67" t="n">
        <v>4.72</v>
      </c>
      <c r="H151" s="67" t="n">
        <v>4.72</v>
      </c>
      <c r="I151" s="71">
        <f>IFERROR(IF(AND(G151&lt;&gt;"",H151&lt;&gt;""),ABS(G151-H151)/ABS(G151)*100,""),"")</f>
        <v/>
      </c>
      <c r="J151" s="69" t="inlineStr">
        <is>
          <t>Claude</t>
        </is>
      </c>
      <c r="K151" s="64" t="n">
        <v>1.94</v>
      </c>
      <c r="L151" s="64" t="n">
        <v>2.54</v>
      </c>
      <c r="M151" s="71">
        <f>IFERROR(IF(AND(K151&lt;&gt;"",L151&lt;&gt;""),ABS(K151-L151)/ABS(K151)*100,""),"")</f>
        <v/>
      </c>
      <c r="N151" s="66" t="inlineStr">
        <is>
          <t>MANUAL FLAG</t>
        </is>
      </c>
      <c r="O151" s="67" t="n">
        <v>17.79</v>
      </c>
      <c r="P151" s="67" t="n">
        <v>17.79</v>
      </c>
      <c r="Q151" s="71">
        <f>IFERROR(IF(AND(O151&lt;&gt;"",P151&lt;&gt;""),ABS(O151-P151)/ABS(O151)*100,""),"")</f>
        <v/>
      </c>
      <c r="R151" s="69" t="inlineStr">
        <is>
          <t>Claude</t>
        </is>
      </c>
      <c r="S151" s="67" t="n">
        <v>6.95</v>
      </c>
      <c r="T151" s="67" t="n">
        <v>6.95</v>
      </c>
      <c r="U151" s="71">
        <f>IFERROR(IF(AND(S151&lt;&gt;"",T151&lt;&gt;""),ABS(S151-T151)/ABS(S151)*100,""),"")</f>
        <v/>
      </c>
      <c r="V151" s="69" t="inlineStr">
        <is>
          <t>Claude</t>
        </is>
      </c>
      <c r="W151" s="67" t="n"/>
      <c r="X151" s="67" t="n"/>
      <c r="Y151" s="71">
        <f>IFERROR(IF(AND(W151&lt;&gt;"",X151&lt;&gt;""),ABS(W151-X151)/ABS(W151)*100,""),"")</f>
        <v/>
      </c>
      <c r="Z151" s="69" t="inlineStr">
        <is>
          <t>ND</t>
        </is>
      </c>
      <c r="AA151" s="67" t="n">
        <v>6.67</v>
      </c>
      <c r="AB151" s="67" t="n">
        <v>6.67</v>
      </c>
      <c r="AC151" s="71">
        <f>IFERROR(IF(AND(AA151&lt;&gt;"",AB151&lt;&gt;""),ABS(AA151-AB151)/ABS(AA151)*100,""),"")</f>
        <v/>
      </c>
      <c r="AD151" s="69" t="inlineStr">
        <is>
          <t>Claude</t>
        </is>
      </c>
      <c r="AE151" s="67" t="n">
        <v>3.5</v>
      </c>
      <c r="AF151" s="67" t="n"/>
      <c r="AG151" s="71">
        <f>IFERROR(IF(AND(AE151&lt;&gt;"",AF151&lt;&gt;""),ABS(AE151-AF151)/ABS(AE151)*100,""),"")</f>
        <v/>
      </c>
      <c r="AH151" s="69" t="inlineStr">
        <is>
          <t>Claude</t>
        </is>
      </c>
      <c r="AI151" s="67" t="n"/>
      <c r="AJ151" s="67" t="n"/>
      <c r="AK151" s="71">
        <f>IFERROR(IF(AND(AI151&lt;&gt;"",AJ151&lt;&gt;""),ABS(AI151-AJ151)/ABS(AI151)*100,""),"")</f>
        <v/>
      </c>
      <c r="AL151" s="69" t="inlineStr">
        <is>
          <t>ND</t>
        </is>
      </c>
      <c r="AM151" s="67" t="n"/>
      <c r="AN151" s="67" t="n"/>
      <c r="AO151" s="71">
        <f>IFERROR(IF(AND(AM151&lt;&gt;"",AN151&lt;&gt;""),ABS(AM151-AN151)/ABS(AM151)*100,""),"")</f>
        <v/>
      </c>
      <c r="AP151" s="69" t="inlineStr">
        <is>
          <t>ND</t>
        </is>
      </c>
      <c r="AQ151" s="67" t="n"/>
      <c r="AR151" s="67" t="n">
        <v>0</v>
      </c>
      <c r="AS151" s="71">
        <f>IFERROR(IF(AND(AQ151&lt;&gt;"",AR151&lt;&gt;""),ABS(AQ151-AR151)/ABS(AQ151)*100,""),"")</f>
        <v/>
      </c>
      <c r="AT151" s="69" t="inlineStr">
        <is>
          <t>DeepSeek</t>
        </is>
      </c>
      <c r="AU151" s="67" t="n">
        <v>0</v>
      </c>
      <c r="AV151" s="67" t="n">
        <v>0</v>
      </c>
      <c r="AW151" s="71">
        <f>IFERROR(IF(AND(AU151&lt;&gt;"",AV151&lt;&gt;""),ABS(AU151-AV151)/ABS(AU151)*100,""),"")</f>
        <v/>
      </c>
      <c r="AX151" s="69" t="inlineStr">
        <is>
          <t>Claude</t>
        </is>
      </c>
      <c r="AY151" s="67" t="n">
        <v>90689942</v>
      </c>
      <c r="AZ151" s="67" t="n">
        <v>90689942</v>
      </c>
      <c r="BA151" s="71">
        <f>IFERROR(IF(AND(AY151&lt;&gt;"",AZ151&lt;&gt;""),ABS(AY151-AZ151)/ABS(AY151)*100,""),"")</f>
        <v/>
      </c>
      <c r="BB151" s="69" t="inlineStr">
        <is>
          <t>Claude</t>
        </is>
      </c>
      <c r="BC151" s="67" t="n"/>
      <c r="BD151" s="67" t="n"/>
      <c r="BE151" s="71">
        <f>IFERROR(IF(AND(BC151&lt;&gt;"",BD151&lt;&gt;""),ABS(BC151-BD151)/ABS(BC151)*100,""),"")</f>
        <v/>
      </c>
      <c r="BF151" s="69" t="inlineStr">
        <is>
          <t>ND</t>
        </is>
      </c>
      <c r="BG151" s="67" t="n">
        <v>237524</v>
      </c>
      <c r="BH151" s="67" t="n">
        <v>237522</v>
      </c>
      <c r="BI151" s="71">
        <f>IFERROR(IF(AND(BG151&lt;&gt;"",BH151&lt;&gt;""),ABS(BG151-BH151)/ABS(BG151)*100,""),"")</f>
        <v/>
      </c>
      <c r="BJ151" s="69" t="inlineStr">
        <is>
          <t>Claude</t>
        </is>
      </c>
      <c r="BK151" s="67" t="n">
        <v>26.6</v>
      </c>
      <c r="BL151" s="67" t="n">
        <v>26.59</v>
      </c>
      <c r="BM151" s="71">
        <f>IFERROR(IF(AND(BK151&lt;&gt;"",BL151&lt;&gt;""),ABS(BK151-BL151)/ABS(BK151)*100,""),"")</f>
        <v/>
      </c>
      <c r="BN151" s="69" t="inlineStr">
        <is>
          <t>Claude</t>
        </is>
      </c>
      <c r="BO151" s="67" t="n"/>
      <c r="BP151" s="67" t="n"/>
      <c r="BQ151" s="71">
        <f>IFERROR(IF(AND(BO151&lt;&gt;"",BP151&lt;&gt;""),ABS(BO151-BP151)/ABS(BO151)*100,""),"")</f>
        <v/>
      </c>
      <c r="BR151" s="69" t="inlineStr">
        <is>
          <t>ND</t>
        </is>
      </c>
      <c r="BS151" s="67" t="n"/>
      <c r="BT151" s="67" t="n"/>
      <c r="BU151" s="71">
        <f>IFERROR(IF(AND(BS151&lt;&gt;"",BT151&lt;&gt;""),ABS(BS151-BT151)/ABS(BS151)*100,""),"")</f>
        <v/>
      </c>
      <c r="BV151" s="69" t="inlineStr">
        <is>
          <t>ND</t>
        </is>
      </c>
      <c r="BW151" s="67" t="n"/>
      <c r="BX151" s="67" t="n">
        <v>28.57</v>
      </c>
      <c r="BY151" s="71">
        <f>IFERROR(IF(AND(BW151&lt;&gt;"",BX151&lt;&gt;""),ABS(BW151-BX151)/ABS(BW151)*100,""),"")</f>
        <v/>
      </c>
      <c r="BZ151" s="69" t="inlineStr">
        <is>
          <t>DeepSeek</t>
        </is>
      </c>
      <c r="CA151" s="67" t="n">
        <v>16.4</v>
      </c>
      <c r="CB151" s="67" t="n">
        <v>16.4</v>
      </c>
      <c r="CC151" s="71">
        <f>IFERROR(IF(AND(CA151&lt;&gt;"",CB151&lt;&gt;""),ABS(CA151-CB151)/ABS(CA151)*100,""),"")</f>
        <v/>
      </c>
      <c r="CD151" s="69" t="inlineStr">
        <is>
          <t>Claude</t>
        </is>
      </c>
      <c r="CE151" s="67" t="n">
        <v>1.71</v>
      </c>
      <c r="CF151" s="67" t="n">
        <v>1.71</v>
      </c>
      <c r="CG151" s="71">
        <f>IFERROR(IF(AND(CE151&lt;&gt;"",CF151&lt;&gt;""),ABS(CE151-CF151)/ABS(CE151)*100,""),"")</f>
        <v/>
      </c>
      <c r="CH151" s="69" t="inlineStr">
        <is>
          <t>Claude</t>
        </is>
      </c>
      <c r="CI151" s="67" t="n">
        <v>5.07</v>
      </c>
      <c r="CJ151" s="67" t="n"/>
      <c r="CK151" s="71">
        <f>IFERROR(IF(AND(CI151&lt;&gt;"",CJ151&lt;&gt;""),ABS(CI151-CJ151)/ABS(CI151)*100,""),"")</f>
        <v/>
      </c>
      <c r="CL151" s="69" t="inlineStr">
        <is>
          <t>Claude</t>
        </is>
      </c>
      <c r="CM151" s="67" t="n">
        <v>69.5</v>
      </c>
      <c r="CN151" s="67" t="n">
        <v>69.5</v>
      </c>
      <c r="CO151" s="71">
        <f>IFERROR(IF(AND(CM151&lt;&gt;"",CN151&lt;&gt;""),ABS(CM151-CN151)/ABS(CM151)*100,""),"")</f>
        <v/>
      </c>
      <c r="CP151" s="69" t="inlineStr">
        <is>
          <t>Claude</t>
        </is>
      </c>
      <c r="CQ151" s="67" t="n">
        <v>1.35</v>
      </c>
      <c r="CR151" s="67" t="n">
        <v>1.35</v>
      </c>
      <c r="CS151" s="71">
        <f>IFERROR(IF(AND(CQ151&lt;&gt;"",CR151&lt;&gt;""),ABS(CQ151-CR151)/ABS(CQ151)*100,""),"")</f>
        <v/>
      </c>
      <c r="CT151" s="69" t="inlineStr">
        <is>
          <t>Claude</t>
        </is>
      </c>
      <c r="CU151" s="67" t="n">
        <v>0</v>
      </c>
      <c r="CV151" s="67" t="n">
        <v>0</v>
      </c>
      <c r="CW151" s="71">
        <f>IFERROR(IF(AND(CU151&lt;&gt;"",CV151&lt;&gt;""),ABS(CU151-CV151)/ABS(CU151)*100,""),"")</f>
        <v/>
      </c>
      <c r="CX151" s="69" t="inlineStr">
        <is>
          <t>Claude</t>
        </is>
      </c>
      <c r="CY151" s="68" t="n"/>
      <c r="CZ151" s="68" t="n">
        <v>12</v>
      </c>
      <c r="DA151" s="71">
        <f>IFERROR(IF(AND(CY151&lt;&gt;"",CZ151&lt;&gt;""),ABS(CY151-CZ151)/ABS(CY151)*100,""),"")</f>
        <v/>
      </c>
      <c r="DB151" s="69" t="inlineStr">
        <is>
          <t>DeepSeek</t>
        </is>
      </c>
      <c r="DC151" s="68" t="n"/>
      <c r="DD151" s="68" t="n">
        <v>5</v>
      </c>
      <c r="DE151" s="71">
        <f>IFERROR(IF(AND(DC151&lt;&gt;"",DD151&lt;&gt;""),ABS(DC151-DD151)/ABS(DC151)*100,""),"")</f>
        <v/>
      </c>
      <c r="DF151" s="69" t="inlineStr">
        <is>
          <t>DeepSeek</t>
        </is>
      </c>
      <c r="DG151" s="68" t="n">
        <v>69.7</v>
      </c>
      <c r="DH151" s="68" t="n">
        <v>69.7</v>
      </c>
      <c r="DI151" s="71">
        <f>IFERROR(IF(AND(DG151&lt;&gt;"",DH151&lt;&gt;""),ABS(DG151-DH151)/ABS(DG151)*100,""),"")</f>
        <v/>
      </c>
      <c r="DJ151" s="69" t="inlineStr">
        <is>
          <t>Claude</t>
        </is>
      </c>
      <c r="DK151" s="68" t="n"/>
      <c r="DL151" s="68" t="n"/>
      <c r="DM151" s="71">
        <f>IFERROR(IF(AND(DK151&lt;&gt;"",DL151&lt;&gt;""),ABS(DK151-DL151)/ABS(DK151)*100,""),"")</f>
        <v/>
      </c>
      <c r="DN151" s="69" t="inlineStr">
        <is>
          <t>ND</t>
        </is>
      </c>
      <c r="DO151" s="68" t="n"/>
      <c r="DP151" s="68" t="n"/>
      <c r="DQ151" s="71">
        <f>IFERROR(IF(AND(DO151&lt;&gt;"",DP151&lt;&gt;""),ABS(DO151-DP151)/ABS(DO151)*100,""),"")</f>
        <v/>
      </c>
      <c r="DR151" s="69" t="inlineStr">
        <is>
          <t>ND</t>
        </is>
      </c>
      <c r="DS151" s="68" t="n"/>
      <c r="DT151" s="68" t="inlineStr">
        <is>
          <t>A</t>
        </is>
      </c>
      <c r="DU151" s="71">
        <f>IFERROR(IF(AND(DS151&lt;&gt;"",DT151&lt;&gt;""),ABS(DS151-DT151)/ABS(DS151)*100,""),"")</f>
        <v/>
      </c>
      <c r="DV151" s="69" t="inlineStr">
        <is>
          <t>DeepSeek</t>
        </is>
      </c>
      <c r="DW151" s="70" t="inlineStr">
        <is>
          <t>Claude only (DeepSeek pending). Source=2022 report, only report covering 2021 (2025 report shows na for 2021 - dropped rolling-window year, not a unique gap). Ind.7=3.5 (%Disabled). Ind.10=na. Ind.14/15=237,524/26.6. Ind.19=16.4. Ind.21=5.07, proxy. Ind.23=1.35, Permanent-only scope. Ind.25=12, itemized specifically for 2021 (12 distinct actions, one excluded as a duplicate mention). Ind.27=69.7, proxy. Ind.30='A', matches the report's own narrative of 'evolving from B+ to A' - 2020='B+' also captured this batch. || DEEPSEEK RECONCILIATION - MANUAL FLAGS: Ind.2 (Female Permanent%): Claude=1.94, DeepSeek=2.54, Diff=30.9%</t>
        </is>
      </c>
    </row>
    <row r="152" ht="15.75" customHeight="1" s="43">
      <c r="A152" s="62" t="n"/>
      <c r="B152" s="62" t="n"/>
      <c r="C152" s="62" t="inlineStr">
        <is>
          <t>Industrials</t>
        </is>
      </c>
      <c r="D152" s="62" t="inlineStr">
        <is>
          <t>2022</t>
        </is>
      </c>
      <c r="E152" s="63" t="inlineStr">
        <is>
          <t>Hyundai Rotem 2025 report (only report covering 2022)</t>
        </is>
      </c>
      <c r="F152" s="62" t="n"/>
      <c r="G152" s="64" t="n">
        <v>8.609999999999999</v>
      </c>
      <c r="H152" s="64" t="n">
        <v>1.03</v>
      </c>
      <c r="I152" s="65">
        <f>IFERROR(IF(AND(G152&lt;&gt;"",H152&lt;&gt;""),ABS(G152-H152)/ABS(G152)*100,""),"")</f>
        <v/>
      </c>
      <c r="J152" s="66" t="inlineStr">
        <is>
          <t>MANUAL FLAG</t>
        </is>
      </c>
      <c r="K152" s="64" t="n">
        <v>2.56</v>
      </c>
      <c r="L152" s="64" t="n">
        <v>2.42</v>
      </c>
      <c r="M152" s="65">
        <f>IFERROR(IF(AND(K152&lt;&gt;"",L152&lt;&gt;""),ABS(K152-L152)/ABS(K152)*100,""),"")</f>
        <v/>
      </c>
      <c r="N152" s="66" t="inlineStr">
        <is>
          <t>MANUAL FLAG</t>
        </is>
      </c>
      <c r="O152" s="67" t="n">
        <v>11.97</v>
      </c>
      <c r="P152" s="67" t="n">
        <v>11.97</v>
      </c>
      <c r="Q152" s="65">
        <f>IFERROR(IF(AND(O152&lt;&gt;"",P152&lt;&gt;""),ABS(O152-P152)/ABS(O152)*100,""),"")</f>
        <v/>
      </c>
      <c r="R152" s="62" t="inlineStr">
        <is>
          <t>Claude</t>
        </is>
      </c>
      <c r="S152" s="67" t="n">
        <v>11.29</v>
      </c>
      <c r="T152" s="67" t="n"/>
      <c r="U152" s="65">
        <f>IFERROR(IF(AND(S152&lt;&gt;"",T152&lt;&gt;""),ABS(S152-T152)/ABS(S152)*100,""),"")</f>
        <v/>
      </c>
      <c r="V152" s="62" t="inlineStr">
        <is>
          <t>Claude</t>
        </is>
      </c>
      <c r="W152" s="67" t="n"/>
      <c r="X152" s="67" t="n"/>
      <c r="Y152" s="65">
        <f>IFERROR(IF(AND(W152&lt;&gt;"",X152&lt;&gt;""),ABS(W152-X152)/ABS(W152)*100,""),"")</f>
        <v/>
      </c>
      <c r="Z152" s="62" t="inlineStr">
        <is>
          <t>ND</t>
        </is>
      </c>
      <c r="AA152" s="67" t="n">
        <v>9.880000000000001</v>
      </c>
      <c r="AB152" s="67" t="n"/>
      <c r="AC152" s="65">
        <f>IFERROR(IF(AND(AA152&lt;&gt;"",AB152&lt;&gt;""),ABS(AA152-AB152)/ABS(AA152)*100,""),"")</f>
        <v/>
      </c>
      <c r="AD152" s="62" t="inlineStr">
        <is>
          <t>Claude</t>
        </is>
      </c>
      <c r="AE152" s="67" t="n"/>
      <c r="AF152" s="67" t="n"/>
      <c r="AG152" s="65">
        <f>IFERROR(IF(AND(AE152&lt;&gt;"",AF152&lt;&gt;""),ABS(AE152-AF152)/ABS(AE152)*100,""),"")</f>
        <v/>
      </c>
      <c r="AH152" s="62" t="inlineStr">
        <is>
          <t>ND</t>
        </is>
      </c>
      <c r="AI152" s="67" t="n"/>
      <c r="AJ152" s="67" t="n"/>
      <c r="AK152" s="65">
        <f>IFERROR(IF(AND(AI152&lt;&gt;"",AJ152&lt;&gt;""),ABS(AI152-AJ152)/ABS(AI152)*100,""),"")</f>
        <v/>
      </c>
      <c r="AL152" s="62" t="inlineStr">
        <is>
          <t>ND</t>
        </is>
      </c>
      <c r="AM152" s="67" t="n">
        <v>12.4</v>
      </c>
      <c r="AN152" s="67" t="n"/>
      <c r="AO152" s="65">
        <f>IFERROR(IF(AND(AM152&lt;&gt;"",AN152&lt;&gt;""),ABS(AM152-AN152)/ABS(AM152)*100,""),"")</f>
        <v/>
      </c>
      <c r="AP152" s="62" t="inlineStr">
        <is>
          <t>Claude</t>
        </is>
      </c>
      <c r="AQ152" s="67" t="n">
        <v>0</v>
      </c>
      <c r="AR152" s="67" t="n"/>
      <c r="AS152" s="65">
        <f>IFERROR(IF(AND(AQ152&lt;&gt;"",AR152&lt;&gt;""),ABS(AQ152-AR152)/ABS(AQ152)*100,""),"")</f>
        <v/>
      </c>
      <c r="AT152" s="62" t="inlineStr">
        <is>
          <t>Claude</t>
        </is>
      </c>
      <c r="AU152" s="67" t="n">
        <v>14</v>
      </c>
      <c r="AV152" s="67" t="n">
        <v>14.29</v>
      </c>
      <c r="AW152" s="65">
        <f>IFERROR(IF(AND(AU152&lt;&gt;"",AV152&lt;&gt;""),ABS(AU152-AV152)/ABS(AU152)*100,""),"")</f>
        <v/>
      </c>
      <c r="AX152" s="62" t="inlineStr">
        <is>
          <t>Claude</t>
        </is>
      </c>
      <c r="AY152" s="64" t="n">
        <v>95000000</v>
      </c>
      <c r="AZ152" s="64" t="n">
        <v>106775000</v>
      </c>
      <c r="BA152" s="65">
        <f>IFERROR(IF(AND(AY152&lt;&gt;"",AZ152&lt;&gt;""),ABS(AY152-AZ152)/ABS(AY152)*100,""),"")</f>
        <v/>
      </c>
      <c r="BB152" s="66" t="inlineStr">
        <is>
          <t>MANUAL FLAG</t>
        </is>
      </c>
      <c r="BC152" s="67" t="n">
        <v>39.91</v>
      </c>
      <c r="BD152" s="67" t="n"/>
      <c r="BE152" s="65">
        <f>IFERROR(IF(AND(BC152&lt;&gt;"",BD152&lt;&gt;""),ABS(BC152-BD152)/ABS(BC152)*100,""),"")</f>
        <v/>
      </c>
      <c r="BF152" s="62" t="inlineStr">
        <is>
          <t>Claude</t>
        </is>
      </c>
      <c r="BG152" s="67" t="n">
        <v>261000</v>
      </c>
      <c r="BH152" s="67" t="n">
        <v>261000</v>
      </c>
      <c r="BI152" s="65">
        <f>IFERROR(IF(AND(BG152&lt;&gt;"",BH152&lt;&gt;""),ABS(BG152-BH152)/ABS(BG152)*100,""),"")</f>
        <v/>
      </c>
      <c r="BJ152" s="62" t="inlineStr">
        <is>
          <t>Claude</t>
        </is>
      </c>
      <c r="BK152" s="67" t="n">
        <v>26.4</v>
      </c>
      <c r="BL152" s="67" t="n">
        <v>26.39</v>
      </c>
      <c r="BM152" s="65">
        <f>IFERROR(IF(AND(BK152&lt;&gt;"",BL152&lt;&gt;""),ABS(BK152-BL152)/ABS(BK152)*100,""),"")</f>
        <v/>
      </c>
      <c r="BN152" s="62" t="inlineStr">
        <is>
          <t>Claude</t>
        </is>
      </c>
      <c r="BO152" s="67" t="n">
        <v>7</v>
      </c>
      <c r="BP152" s="67" t="n">
        <v>7</v>
      </c>
      <c r="BQ152" s="65">
        <f>IFERROR(IF(AND(BO152&lt;&gt;"",BP152&lt;&gt;""),ABS(BO152-BP152)/ABS(BO152)*100,""),"")</f>
        <v/>
      </c>
      <c r="BR152" s="62" t="inlineStr">
        <is>
          <t>Claude</t>
        </is>
      </c>
      <c r="BS152" s="67" t="n">
        <v>13</v>
      </c>
      <c r="BT152" s="67" t="n">
        <v>13</v>
      </c>
      <c r="BU152" s="65">
        <f>IFERROR(IF(AND(BS152&lt;&gt;"",BT152&lt;&gt;""),ABS(BS152-BT152)/ABS(BS152)*100,""),"")</f>
        <v/>
      </c>
      <c r="BV152" s="62" t="inlineStr">
        <is>
          <t>Claude</t>
        </is>
      </c>
      <c r="BW152" s="67" t="n"/>
      <c r="BX152" s="67" t="n"/>
      <c r="BY152" s="65">
        <f>IFERROR(IF(AND(BW152&lt;&gt;"",BX152&lt;&gt;""),ABS(BW152-BX152)/ABS(BW152)*100,""),"")</f>
        <v/>
      </c>
      <c r="BZ152" s="62" t="inlineStr">
        <is>
          <t>ND</t>
        </is>
      </c>
      <c r="CA152" s="67" t="n">
        <v>23</v>
      </c>
      <c r="CB152" s="67" t="n"/>
      <c r="CC152" s="65">
        <f>IFERROR(IF(AND(CA152&lt;&gt;"",CB152&lt;&gt;""),ABS(CA152-CB152)/ABS(CA152)*100,""),"")</f>
        <v/>
      </c>
      <c r="CD152" s="62" t="inlineStr">
        <is>
          <t>Claude</t>
        </is>
      </c>
      <c r="CE152" s="67" t="n">
        <v>2.9</v>
      </c>
      <c r="CF152" s="67" t="n"/>
      <c r="CG152" s="65">
        <f>IFERROR(IF(AND(CE152&lt;&gt;"",CF152&lt;&gt;""),ABS(CE152-CF152)/ABS(CE152)*100,""),"")</f>
        <v/>
      </c>
      <c r="CH152" s="62" t="inlineStr">
        <is>
          <t>Claude</t>
        </is>
      </c>
      <c r="CI152" s="67" t="n"/>
      <c r="CJ152" s="67" t="n"/>
      <c r="CK152" s="65">
        <f>IFERROR(IF(AND(CI152&lt;&gt;"",CJ152&lt;&gt;""),ABS(CI152-CJ152)/ABS(CI152)*100,""),"")</f>
        <v/>
      </c>
      <c r="CL152" s="62" t="inlineStr">
        <is>
          <t>ND</t>
        </is>
      </c>
      <c r="CM152" s="67" t="n">
        <v>66</v>
      </c>
      <c r="CN152" s="67" t="n"/>
      <c r="CO152" s="65">
        <f>IFERROR(IF(AND(CM152&lt;&gt;"",CN152&lt;&gt;""),ABS(CM152-CN152)/ABS(CM152)*100,""),"")</f>
        <v/>
      </c>
      <c r="CP152" s="62" t="inlineStr">
        <is>
          <t>Claude</t>
        </is>
      </c>
      <c r="CQ152" s="64" t="n">
        <v>0.58</v>
      </c>
      <c r="CR152" s="64" t="n">
        <v>0.44</v>
      </c>
      <c r="CS152" s="65">
        <f>IFERROR(IF(AND(CQ152&lt;&gt;"",CR152&lt;&gt;""),ABS(CQ152-CR152)/ABS(CQ152)*100,""),"")</f>
        <v/>
      </c>
      <c r="CT152" s="66" t="inlineStr">
        <is>
          <t>MANUAL FLAG</t>
        </is>
      </c>
      <c r="CU152" s="67" t="n">
        <v>0</v>
      </c>
      <c r="CV152" s="67" t="n">
        <v>0</v>
      </c>
      <c r="CW152" s="65">
        <f>IFERROR(IF(AND(CU152&lt;&gt;"",CV152&lt;&gt;""),ABS(CU152-CV152)/ABS(CU152)*100,""),"")</f>
        <v/>
      </c>
      <c r="CX152" s="62" t="inlineStr">
        <is>
          <t>Claude</t>
        </is>
      </c>
      <c r="CY152" s="68" t="n"/>
      <c r="CZ152" s="68" t="n"/>
      <c r="DA152" s="65">
        <f>IFERROR(IF(AND(CY152&lt;&gt;"",CZ152&lt;&gt;""),ABS(CY152-CZ152)/ABS(CY152)*100,""),"")</f>
        <v/>
      </c>
      <c r="DB152" s="62" t="inlineStr">
        <is>
          <t>ND</t>
        </is>
      </c>
      <c r="DC152" s="68" t="n"/>
      <c r="DD152" s="68" t="n"/>
      <c r="DE152" s="65">
        <f>IFERROR(IF(AND(DC152&lt;&gt;"",DD152&lt;&gt;""),ABS(DC152-DD152)/ABS(DC152)*100,""),"")</f>
        <v/>
      </c>
      <c r="DF152" s="62" t="inlineStr">
        <is>
          <t>ND</t>
        </is>
      </c>
      <c r="DG152" s="68" t="n">
        <v>67.09999999999999</v>
      </c>
      <c r="DH152" s="68" t="n"/>
      <c r="DI152" s="65">
        <f>IFERROR(IF(AND(DG152&lt;&gt;"",DH152&lt;&gt;""),ABS(DG152-DH152)/ABS(DG152)*100,""),"")</f>
        <v/>
      </c>
      <c r="DJ152" s="62" t="inlineStr">
        <is>
          <t>Claude</t>
        </is>
      </c>
      <c r="DK152" s="68" t="n"/>
      <c r="DL152" s="68" t="n"/>
      <c r="DM152" s="65">
        <f>IFERROR(IF(AND(DK152&lt;&gt;"",DL152&lt;&gt;""),ABS(DK152-DL152)/ABS(DK152)*100,""),"")</f>
        <v/>
      </c>
      <c r="DN152" s="62" t="inlineStr">
        <is>
          <t>ND</t>
        </is>
      </c>
      <c r="DO152" s="68" t="n"/>
      <c r="DP152" s="68" t="n"/>
      <c r="DQ152" s="65">
        <f>IFERROR(IF(AND(DO152&lt;&gt;"",DP152&lt;&gt;""),ABS(DO152-DP152)/ABS(DO152)*100,""),"")</f>
        <v/>
      </c>
      <c r="DR152" s="62" t="inlineStr">
        <is>
          <t>ND</t>
        </is>
      </c>
      <c r="DS152" s="68" t="n"/>
      <c r="DT152" s="68" t="n"/>
      <c r="DU152" s="65">
        <f>IFERROR(IF(AND(DS152&lt;&gt;"",DT152&lt;&gt;""),ABS(DS152-DT152)/ABS(DS152)*100,""),"")</f>
        <v/>
      </c>
      <c r="DV152" s="62" t="inlineStr">
        <is>
          <t>ND</t>
        </is>
      </c>
      <c r="DW152" s="63" t="inlineStr">
        <is>
          <t>Claude only (DeepSeek pending). Source=2025 report, only report covering 2022 (no overlap with 2022 report - clean transition, though some indicators show interesting trend continuations). Ind.7/8=ND (%Disabled/%Foreign): disability headcount=107, no total workforce given this edition - a methodological step back from 2022 report's direct-% approach for this indicator. Ind.9=12.4, PROXY, NEW ('Junior management' tier used as closest proxy for middle managers - 2022 report had found nothing at all for this indicator). **Ind.10=0.00: RESTORED after the 2022 report's retraction - matches the original 2021 report's claim.** **Ind.11=14: A REAL, GENUINE CHANGE from 0% (2018-2021) to 14% (2022-2024) - first female board director(s) appointed, not a data artifact.** Ind.13 (Gender Pay Gap)=39.91, NEW (first data ever for this indicator) - source flags this uses 'Basic Salary' scope, narrower than Ind.12's 'Annual Total Compensation.' Ind.16/17 (Parental Leave F/M)=7/13, NEW (first gender-split data ever - earlier editions only had combined/not-sure figures). **Ind.19=23, a SHARP, UNEXPLAINED JUMP from 2021's 16.4 - source itself flags 'no explanatory footnote' for this swing - treat with real caution.** Ind.20=2.90, source notes this year specifically needed recalculation onto a consistent Total-Employees denominator (the report's own % column used a Total-Departures base this year only). Ind.21=na: RETRACTS the 2022 report's computed proxy values entirely - 2025 report declines to compute this residual, finding it would bundle too many disparate categories (more cautious methodology). Ind.23=0.58 - scope not re-specified as Permanent-only this edition, possible continuing scope ambiguity. Ind.25=na (no dedicated COVID program this edition). Ind.27=67.1, PROXY ('Organizational Culture Assessment Index' - conceptually similar to 2022 report's proxy but possibly a different named metric/scale, definitional continuity uncertain). Ind.30=na (window doesn't cover 2022 for this indicator in this edition). || DEEPSEEK RECONCILIATION - MANUAL FLAGS: Ind.1 (Contract Workers%): Claude=8.61, DeepSeek=1.03, Diff=88.0%; Ind.2 (Female Permanent%): Claude=2.56, DeepSeek=2.42, Diff=5.5%; Ind.12 (Annual Pay): Claude=95000000, DeepSeek=106775000, Diff=12.4%; Ind.23 (LTIFR): Claude=0.58, DeepSeek=0.44, Diff=24.1% || NOTE: Ind.1 (Contract Workers%) shows a MASSIVE, STABLE gap across 2022-2024 (~88-90% lower in DeepSeek every year) - this consistency suggests a genuine denominator/scope difference in DeepSeek's most recent batch (e.g. possibly using total company headcount including a different population base), not random noise. Ind.23 (LTIFR) also shows a growing gap over these years (24%-&gt;70%-&gt;89%) - worth checking if DeepSeek's LTIFR scope narrowed over successive report editions.</t>
        </is>
      </c>
    </row>
    <row r="153" ht="15.75" customHeight="1" s="43">
      <c r="A153" s="69" t="n"/>
      <c r="B153" s="69" t="n"/>
      <c r="C153" s="69" t="inlineStr">
        <is>
          <t>Industrials</t>
        </is>
      </c>
      <c r="D153" s="69" t="inlineStr">
        <is>
          <t>2023</t>
        </is>
      </c>
      <c r="E153" s="70" t="inlineStr">
        <is>
          <t>Hyundai Rotem 2025 report</t>
        </is>
      </c>
      <c r="F153" s="69" t="n"/>
      <c r="G153" s="64" t="n">
        <v>8.92</v>
      </c>
      <c r="H153" s="64" t="n">
        <v>0.9399999999999999</v>
      </c>
      <c r="I153" s="71">
        <f>IFERROR(IF(AND(G153&lt;&gt;"",H153&lt;&gt;""),ABS(G153-H153)/ABS(G153)*100,""),"")</f>
        <v/>
      </c>
      <c r="J153" s="66" t="inlineStr">
        <is>
          <t>MANUAL FLAG</t>
        </is>
      </c>
      <c r="K153" s="67" t="n">
        <v>3.69</v>
      </c>
      <c r="L153" s="67" t="n">
        <v>3.6</v>
      </c>
      <c r="M153" s="71">
        <f>IFERROR(IF(AND(K153&lt;&gt;"",L153&lt;&gt;""),ABS(K153-L153)/ABS(K153)*100,""),"")</f>
        <v/>
      </c>
      <c r="N153" s="69" t="inlineStr">
        <is>
          <t>Claude</t>
        </is>
      </c>
      <c r="O153" s="64" t="n">
        <v>11.43</v>
      </c>
      <c r="P153" s="64" t="n">
        <v>10.66</v>
      </c>
      <c r="Q153" s="71">
        <f>IFERROR(IF(AND(O153&lt;&gt;"",P153&lt;&gt;""),ABS(O153-P153)/ABS(O153)*100,""),"")</f>
        <v/>
      </c>
      <c r="R153" s="66" t="inlineStr">
        <is>
          <t>MANUAL FLAG</t>
        </is>
      </c>
      <c r="S153" s="67" t="n">
        <v>16.98</v>
      </c>
      <c r="T153" s="67" t="n"/>
      <c r="U153" s="71">
        <f>IFERROR(IF(AND(S153&lt;&gt;"",T153&lt;&gt;""),ABS(S153-T153)/ABS(S153)*100,""),"")</f>
        <v/>
      </c>
      <c r="V153" s="69" t="inlineStr">
        <is>
          <t>Claude</t>
        </is>
      </c>
      <c r="W153" s="67" t="n"/>
      <c r="X153" s="67" t="n"/>
      <c r="Y153" s="71">
        <f>IFERROR(IF(AND(W153&lt;&gt;"",X153&lt;&gt;""),ABS(W153-X153)/ABS(W153)*100,""),"")</f>
        <v/>
      </c>
      <c r="Z153" s="69" t="inlineStr">
        <is>
          <t>ND</t>
        </is>
      </c>
      <c r="AA153" s="67" t="n">
        <v>8.56</v>
      </c>
      <c r="AB153" s="67" t="n"/>
      <c r="AC153" s="71">
        <f>IFERROR(IF(AND(AA153&lt;&gt;"",AB153&lt;&gt;""),ABS(AA153-AB153)/ABS(AA153)*100,""),"")</f>
        <v/>
      </c>
      <c r="AD153" s="69" t="inlineStr">
        <is>
          <t>Claude</t>
        </is>
      </c>
      <c r="AE153" s="67" t="n"/>
      <c r="AF153" s="67" t="n"/>
      <c r="AG153" s="71">
        <f>IFERROR(IF(AND(AE153&lt;&gt;"",AF153&lt;&gt;""),ABS(AE153-AF153)/ABS(AE153)*100,""),"")</f>
        <v/>
      </c>
      <c r="AH153" s="69" t="inlineStr">
        <is>
          <t>ND</t>
        </is>
      </c>
      <c r="AI153" s="67" t="n"/>
      <c r="AJ153" s="67" t="n"/>
      <c r="AK153" s="71">
        <f>IFERROR(IF(AND(AI153&lt;&gt;"",AJ153&lt;&gt;""),ABS(AI153-AJ153)/ABS(AI153)*100,""),"")</f>
        <v/>
      </c>
      <c r="AL153" s="69" t="inlineStr">
        <is>
          <t>ND</t>
        </is>
      </c>
      <c r="AM153" s="67" t="n">
        <v>15.1</v>
      </c>
      <c r="AN153" s="67" t="n"/>
      <c r="AO153" s="71">
        <f>IFERROR(IF(AND(AM153&lt;&gt;"",AN153&lt;&gt;""),ABS(AM153-AN153)/ABS(AM153)*100,""),"")</f>
        <v/>
      </c>
      <c r="AP153" s="69" t="inlineStr">
        <is>
          <t>Claude</t>
        </is>
      </c>
      <c r="AQ153" s="67" t="n">
        <v>0</v>
      </c>
      <c r="AR153" s="67" t="n"/>
      <c r="AS153" s="71">
        <f>IFERROR(IF(AND(AQ153&lt;&gt;"",AR153&lt;&gt;""),ABS(AQ153-AR153)/ABS(AQ153)*100,""),"")</f>
        <v/>
      </c>
      <c r="AT153" s="69" t="inlineStr">
        <is>
          <t>Claude</t>
        </is>
      </c>
      <c r="AU153" s="67" t="n">
        <v>14</v>
      </c>
      <c r="AV153" s="67" t="n">
        <v>14.29</v>
      </c>
      <c r="AW153" s="71">
        <f>IFERROR(IF(AND(AU153&lt;&gt;"",AV153&lt;&gt;""),ABS(AU153-AV153)/ABS(AU153)*100,""),"")</f>
        <v/>
      </c>
      <c r="AX153" s="69" t="inlineStr">
        <is>
          <t>Claude</t>
        </is>
      </c>
      <c r="AY153" s="64" t="n">
        <v>103000000</v>
      </c>
      <c r="AZ153" s="64" t="n">
        <v>117257000</v>
      </c>
      <c r="BA153" s="71">
        <f>IFERROR(IF(AND(AY153&lt;&gt;"",AZ153&lt;&gt;""),ABS(AY153-AZ153)/ABS(AY153)*100,""),"")</f>
        <v/>
      </c>
      <c r="BB153" s="66" t="inlineStr">
        <is>
          <t>MANUAL FLAG</t>
        </is>
      </c>
      <c r="BC153" s="67" t="n">
        <v>34.4</v>
      </c>
      <c r="BD153" s="67" t="n"/>
      <c r="BE153" s="71">
        <f>IFERROR(IF(AND(BC153&lt;&gt;"",BD153&lt;&gt;""),ABS(BC153-BD153)/ABS(BC153)*100,""),"")</f>
        <v/>
      </c>
      <c r="BF153" s="69" t="inlineStr">
        <is>
          <t>Claude</t>
        </is>
      </c>
      <c r="BG153" s="67" t="n">
        <v>405000</v>
      </c>
      <c r="BH153" s="67" t="n">
        <v>405000</v>
      </c>
      <c r="BI153" s="71">
        <f>IFERROR(IF(AND(BG153&lt;&gt;"",BH153&lt;&gt;""),ABS(BG153-BH153)/ABS(BG153)*100,""),"")</f>
        <v/>
      </c>
      <c r="BJ153" s="69" t="inlineStr">
        <is>
          <t>Claude</t>
        </is>
      </c>
      <c r="BK153" s="67" t="n"/>
      <c r="BL153" s="67" t="n">
        <v>28.75</v>
      </c>
      <c r="BM153" s="71">
        <f>IFERROR(IF(AND(BK153&lt;&gt;"",BL153&lt;&gt;""),ABS(BK153-BL153)/ABS(BK153)*100,""),"")</f>
        <v/>
      </c>
      <c r="BN153" s="69" t="inlineStr">
        <is>
          <t>DeepSeek</t>
        </is>
      </c>
      <c r="BO153" s="67" t="n">
        <v>7</v>
      </c>
      <c r="BP153" s="67" t="n">
        <v>7</v>
      </c>
      <c r="BQ153" s="71">
        <f>IFERROR(IF(AND(BO153&lt;&gt;"",BP153&lt;&gt;""),ABS(BO153-BP153)/ABS(BO153)*100,""),"")</f>
        <v/>
      </c>
      <c r="BR153" s="69" t="inlineStr">
        <is>
          <t>Claude</t>
        </is>
      </c>
      <c r="BS153" s="67" t="n">
        <v>15</v>
      </c>
      <c r="BT153" s="67" t="n">
        <v>15</v>
      </c>
      <c r="BU153" s="71">
        <f>IFERROR(IF(AND(BS153&lt;&gt;"",BT153&lt;&gt;""),ABS(BS153-BT153)/ABS(BS153)*100,""),"")</f>
        <v/>
      </c>
      <c r="BV153" s="69" t="inlineStr">
        <is>
          <t>Claude</t>
        </is>
      </c>
      <c r="BW153" s="67" t="n"/>
      <c r="BX153" s="67" t="n"/>
      <c r="BY153" s="71">
        <f>IFERROR(IF(AND(BW153&lt;&gt;"",BX153&lt;&gt;""),ABS(BW153-BX153)/ABS(BW153)*100,""),"")</f>
        <v/>
      </c>
      <c r="BZ153" s="69" t="inlineStr">
        <is>
          <t>ND</t>
        </is>
      </c>
      <c r="CA153" s="67" t="n">
        <v>13.2</v>
      </c>
      <c r="CB153" s="67" t="n"/>
      <c r="CC153" s="71">
        <f>IFERROR(IF(AND(CA153&lt;&gt;"",CB153&lt;&gt;""),ABS(CA153-CB153)/ABS(CA153)*100,""),"")</f>
        <v/>
      </c>
      <c r="CD153" s="69" t="inlineStr">
        <is>
          <t>Claude</t>
        </is>
      </c>
      <c r="CE153" s="67" t="n">
        <v>2.01</v>
      </c>
      <c r="CF153" s="67" t="n"/>
      <c r="CG153" s="71">
        <f>IFERROR(IF(AND(CE153&lt;&gt;"",CF153&lt;&gt;""),ABS(CE153-CF153)/ABS(CE153)*100,""),"")</f>
        <v/>
      </c>
      <c r="CH153" s="69" t="inlineStr">
        <is>
          <t>Claude</t>
        </is>
      </c>
      <c r="CI153" s="67" t="n"/>
      <c r="CJ153" s="67" t="n"/>
      <c r="CK153" s="71">
        <f>IFERROR(IF(AND(CI153&lt;&gt;"",CJ153&lt;&gt;""),ABS(CI153-CJ153)/ABS(CI153)*100,""),"")</f>
        <v/>
      </c>
      <c r="CL153" s="69" t="inlineStr">
        <is>
          <t>ND</t>
        </is>
      </c>
      <c r="CM153" s="67" t="n">
        <v>62</v>
      </c>
      <c r="CN153" s="67" t="n"/>
      <c r="CO153" s="71">
        <f>IFERROR(IF(AND(CM153&lt;&gt;"",CN153&lt;&gt;""),ABS(CM153-CN153)/ABS(CM153)*100,""),"")</f>
        <v/>
      </c>
      <c r="CP153" s="69" t="inlineStr">
        <is>
          <t>Claude</t>
        </is>
      </c>
      <c r="CQ153" s="64" t="n">
        <v>1.32</v>
      </c>
      <c r="CR153" s="64" t="n">
        <v>0.4</v>
      </c>
      <c r="CS153" s="71">
        <f>IFERROR(IF(AND(CQ153&lt;&gt;"",CR153&lt;&gt;""),ABS(CQ153-CR153)/ABS(CQ153)*100,""),"")</f>
        <v/>
      </c>
      <c r="CT153" s="66" t="inlineStr">
        <is>
          <t>MANUAL FLAG</t>
        </is>
      </c>
      <c r="CU153" s="67" t="n">
        <v>0</v>
      </c>
      <c r="CV153" s="67" t="n">
        <v>0</v>
      </c>
      <c r="CW153" s="71">
        <f>IFERROR(IF(AND(CU153&lt;&gt;"",CV153&lt;&gt;""),ABS(CU153-CV153)/ABS(CU153)*100,""),"")</f>
        <v/>
      </c>
      <c r="CX153" s="69" t="inlineStr">
        <is>
          <t>Claude</t>
        </is>
      </c>
      <c r="CY153" s="68" t="n"/>
      <c r="CZ153" s="68" t="n"/>
      <c r="DA153" s="71">
        <f>IFERROR(IF(AND(CY153&lt;&gt;"",CZ153&lt;&gt;""),ABS(CY153-CZ153)/ABS(CY153)*100,""),"")</f>
        <v/>
      </c>
      <c r="DB153" s="69" t="inlineStr">
        <is>
          <t>ND</t>
        </is>
      </c>
      <c r="DC153" s="68" t="n"/>
      <c r="DD153" s="68" t="n"/>
      <c r="DE153" s="71">
        <f>IFERROR(IF(AND(DC153&lt;&gt;"",DD153&lt;&gt;""),ABS(DC153-DD153)/ABS(DC153)*100,""),"")</f>
        <v/>
      </c>
      <c r="DF153" s="69" t="inlineStr">
        <is>
          <t>ND</t>
        </is>
      </c>
      <c r="DG153" s="68" t="n">
        <v>75.40000000000001</v>
      </c>
      <c r="DH153" s="68" t="n"/>
      <c r="DI153" s="71">
        <f>IFERROR(IF(AND(DG153&lt;&gt;"",DH153&lt;&gt;""),ABS(DG153-DH153)/ABS(DG153)*100,""),"")</f>
        <v/>
      </c>
      <c r="DJ153" s="69" t="inlineStr">
        <is>
          <t>Claude</t>
        </is>
      </c>
      <c r="DK153" s="68" t="n"/>
      <c r="DL153" s="68" t="n"/>
      <c r="DM153" s="71">
        <f>IFERROR(IF(AND(DK153&lt;&gt;"",DL153&lt;&gt;""),ABS(DK153-DL153)/ABS(DK153)*100,""),"")</f>
        <v/>
      </c>
      <c r="DN153" s="69" t="inlineStr">
        <is>
          <t>ND</t>
        </is>
      </c>
      <c r="DO153" s="68" t="n"/>
      <c r="DP153" s="68" t="n"/>
      <c r="DQ153" s="71">
        <f>IFERROR(IF(AND(DO153&lt;&gt;"",DP153&lt;&gt;""),ABS(DO153-DP153)/ABS(DO153)*100,""),"")</f>
        <v/>
      </c>
      <c r="DR153" s="69" t="inlineStr">
        <is>
          <t>ND</t>
        </is>
      </c>
      <c r="DS153" s="68" t="n"/>
      <c r="DT153" s="68" t="n"/>
      <c r="DU153" s="71">
        <f>IFERROR(IF(AND(DS153&lt;&gt;"",DT153&lt;&gt;""),ABS(DS153-DT153)/ABS(DS153)*100,""),"")</f>
        <v/>
      </c>
      <c r="DV153" s="69" t="inlineStr">
        <is>
          <t>ND</t>
        </is>
      </c>
      <c r="DW153" s="70" t="inlineStr">
        <is>
          <t>Claude only (DeepSeek pending). Source=2025 report. Ind.7/8=ND (disability headcount=95, no total workforce). Ind.9=15.1, proxy. **Ind.15 (Training Hours)=na: source found this year's per-employee figure actually reconciles against Training PARTICIPANTS, not Total Employees - a genuine within-report denominator shift, correctly excluded rather than reported as an unverified figure.** **Ind.19=13.2, continues the SHARP UNEXPLAINED SWING from 2022's 23 - see 2022 note, treat this indicator with real caution across all of 2022-2024.** Ind.27=75.4, proxy. || DEEPSEEK RECONCILIATION - MANUAL FLAGS: Ind.1 (Contract Workers%): Claude=8.92, DeepSeek=0.94, Diff=89.5%; Ind.3 (Female Contract%): Claude=11.43, DeepSeek=10.66, Diff=6.7%; Ind.12 (Annual Pay): Claude=103000000, DeepSeek=117257000, Diff=13.8%; Ind.23 (LTIFR): Claude=1.32, DeepSeek=0.4, Diff=69.7% || NOTE: Ind.1 gap continues at ~90% - see 2022 note for context. Ind.23 (LTIFR) gap widening further.</t>
        </is>
      </c>
    </row>
    <row r="154" ht="15.75" customHeight="1" s="43">
      <c r="A154" s="62" t="n"/>
      <c r="B154" s="62" t="n"/>
      <c r="C154" s="62" t="inlineStr">
        <is>
          <t>Industrials</t>
        </is>
      </c>
      <c r="D154" s="62" t="inlineStr">
        <is>
          <t>2024</t>
        </is>
      </c>
      <c r="E154" s="63" t="inlineStr">
        <is>
          <t>Hyundai Rotem 2025 report</t>
        </is>
      </c>
      <c r="F154" s="62" t="n"/>
      <c r="G154" s="64" t="n">
        <v>9.859999999999999</v>
      </c>
      <c r="H154" s="64" t="n">
        <v>0.95</v>
      </c>
      <c r="I154" s="65">
        <f>IFERROR(IF(AND(G154&lt;&gt;"",H154&lt;&gt;""),ABS(G154-H154)/ABS(G154)*100,""),"")</f>
        <v/>
      </c>
      <c r="J154" s="66" t="inlineStr">
        <is>
          <t>MANUAL FLAG</t>
        </is>
      </c>
      <c r="K154" s="67" t="n">
        <v>4.34</v>
      </c>
      <c r="L154" s="67" t="n">
        <v>4.25</v>
      </c>
      <c r="M154" s="65">
        <f>IFERROR(IF(AND(K154&lt;&gt;"",L154&lt;&gt;""),ABS(K154-L154)/ABS(K154)*100,""),"")</f>
        <v/>
      </c>
      <c r="N154" s="62" t="inlineStr">
        <is>
          <t>Claude</t>
        </is>
      </c>
      <c r="O154" s="64" t="n">
        <v>10.9</v>
      </c>
      <c r="P154" s="64" t="n">
        <v>10.28</v>
      </c>
      <c r="Q154" s="65">
        <f>IFERROR(IF(AND(O154&lt;&gt;"",P154&lt;&gt;""),ABS(O154-P154)/ABS(O154)*100,""),"")</f>
        <v/>
      </c>
      <c r="R154" s="66" t="inlineStr">
        <is>
          <t>MANUAL FLAG</t>
        </is>
      </c>
      <c r="S154" s="67" t="n">
        <v>10.91</v>
      </c>
      <c r="T154" s="67" t="n"/>
      <c r="U154" s="65">
        <f>IFERROR(IF(AND(S154&lt;&gt;"",T154&lt;&gt;""),ABS(S154-T154)/ABS(S154)*100,""),"")</f>
        <v/>
      </c>
      <c r="V154" s="62" t="inlineStr">
        <is>
          <t>Claude</t>
        </is>
      </c>
      <c r="W154" s="67" t="n"/>
      <c r="X154" s="67" t="n"/>
      <c r="Y154" s="65">
        <f>IFERROR(IF(AND(W154&lt;&gt;"",X154&lt;&gt;""),ABS(W154-X154)/ABS(W154)*100,""),"")</f>
        <v/>
      </c>
      <c r="Z154" s="62" t="inlineStr">
        <is>
          <t>ND</t>
        </is>
      </c>
      <c r="AA154" s="67" t="n">
        <v>13.35</v>
      </c>
      <c r="AB154" s="67" t="n"/>
      <c r="AC154" s="65">
        <f>IFERROR(IF(AND(AA154&lt;&gt;"",AB154&lt;&gt;""),ABS(AA154-AB154)/ABS(AA154)*100,""),"")</f>
        <v/>
      </c>
      <c r="AD154" s="62" t="inlineStr">
        <is>
          <t>Claude</t>
        </is>
      </c>
      <c r="AE154" s="67" t="n"/>
      <c r="AF154" s="67" t="n"/>
      <c r="AG154" s="65">
        <f>IFERROR(IF(AND(AE154&lt;&gt;"",AF154&lt;&gt;""),ABS(AE154-AF154)/ABS(AE154)*100,""),"")</f>
        <v/>
      </c>
      <c r="AH154" s="62" t="inlineStr">
        <is>
          <t>ND</t>
        </is>
      </c>
      <c r="AI154" s="67" t="n"/>
      <c r="AJ154" s="67" t="n"/>
      <c r="AK154" s="65">
        <f>IFERROR(IF(AND(AI154&lt;&gt;"",AJ154&lt;&gt;""),ABS(AI154-AJ154)/ABS(AI154)*100,""),"")</f>
        <v/>
      </c>
      <c r="AL154" s="62" t="inlineStr">
        <is>
          <t>ND</t>
        </is>
      </c>
      <c r="AM154" s="67" t="n">
        <v>15.7</v>
      </c>
      <c r="AN154" s="67" t="n"/>
      <c r="AO154" s="65">
        <f>IFERROR(IF(AND(AM154&lt;&gt;"",AN154&lt;&gt;""),ABS(AM154-AN154)/ABS(AM154)*100,""),"")</f>
        <v/>
      </c>
      <c r="AP154" s="62" t="inlineStr">
        <is>
          <t>Claude</t>
        </is>
      </c>
      <c r="AQ154" s="67" t="n">
        <v>0</v>
      </c>
      <c r="AR154" s="67" t="n"/>
      <c r="AS154" s="65">
        <f>IFERROR(IF(AND(AQ154&lt;&gt;"",AR154&lt;&gt;""),ABS(AQ154-AR154)/ABS(AQ154)*100,""),"")</f>
        <v/>
      </c>
      <c r="AT154" s="62" t="inlineStr">
        <is>
          <t>Claude</t>
        </is>
      </c>
      <c r="AU154" s="67" t="n">
        <v>14</v>
      </c>
      <c r="AV154" s="67" t="n">
        <v>14.29</v>
      </c>
      <c r="AW154" s="65">
        <f>IFERROR(IF(AND(AU154&lt;&gt;"",AV154&lt;&gt;""),ABS(AU154-AV154)/ABS(AU154)*100,""),"")</f>
        <v/>
      </c>
      <c r="AX154" s="62" t="inlineStr">
        <is>
          <t>Claude</t>
        </is>
      </c>
      <c r="AY154" s="64" t="n">
        <v>120000000</v>
      </c>
      <c r="AZ154" s="64" t="n">
        <v>137709000</v>
      </c>
      <c r="BA154" s="65">
        <f>IFERROR(IF(AND(AY154&lt;&gt;"",AZ154&lt;&gt;""),ABS(AY154-AZ154)/ABS(AY154)*100,""),"")</f>
        <v/>
      </c>
      <c r="BB154" s="66" t="inlineStr">
        <is>
          <t>MANUAL FLAG</t>
        </is>
      </c>
      <c r="BC154" s="67" t="n">
        <v>31.39</v>
      </c>
      <c r="BD154" s="67" t="n"/>
      <c r="BE154" s="65">
        <f>IFERROR(IF(AND(BC154&lt;&gt;"",BD154&lt;&gt;""),ABS(BC154-BD154)/ABS(BC154)*100,""),"")</f>
        <v/>
      </c>
      <c r="BF154" s="62" t="inlineStr">
        <is>
          <t>Claude</t>
        </is>
      </c>
      <c r="BG154" s="67" t="n">
        <v>533000</v>
      </c>
      <c r="BH154" s="67" t="n">
        <v>533000</v>
      </c>
      <c r="BI154" s="65">
        <f>IFERROR(IF(AND(BG154&lt;&gt;"",BH154&lt;&gt;""),ABS(BG154-BH154)/ABS(BG154)*100,""),"")</f>
        <v/>
      </c>
      <c r="BJ154" s="62" t="inlineStr">
        <is>
          <t>Claude</t>
        </is>
      </c>
      <c r="BK154" s="67" t="n"/>
      <c r="BL154" s="67" t="n">
        <v>33.62</v>
      </c>
      <c r="BM154" s="65">
        <f>IFERROR(IF(AND(BK154&lt;&gt;"",BL154&lt;&gt;""),ABS(BK154-BL154)/ABS(BK154)*100,""),"")</f>
        <v/>
      </c>
      <c r="BN154" s="62" t="inlineStr">
        <is>
          <t>DeepSeek</t>
        </is>
      </c>
      <c r="BO154" s="67" t="n">
        <v>5</v>
      </c>
      <c r="BP154" s="67" t="n"/>
      <c r="BQ154" s="65">
        <f>IFERROR(IF(AND(BO154&lt;&gt;"",BP154&lt;&gt;""),ABS(BO154-BP154)/ABS(BO154)*100,""),"")</f>
        <v/>
      </c>
      <c r="BR154" s="62" t="inlineStr">
        <is>
          <t>Claude</t>
        </is>
      </c>
      <c r="BS154" s="67" t="n">
        <v>25</v>
      </c>
      <c r="BT154" s="67" t="n"/>
      <c r="BU154" s="65">
        <f>IFERROR(IF(AND(BS154&lt;&gt;"",BT154&lt;&gt;""),ABS(BS154-BT154)/ABS(BS154)*100,""),"")</f>
        <v/>
      </c>
      <c r="BV154" s="62" t="inlineStr">
        <is>
          <t>Claude</t>
        </is>
      </c>
      <c r="BW154" s="67" t="n"/>
      <c r="BX154" s="67" t="n"/>
      <c r="BY154" s="65">
        <f>IFERROR(IF(AND(BW154&lt;&gt;"",BX154&lt;&gt;""),ABS(BW154-BX154)/ABS(BW154)*100,""),"")</f>
        <v/>
      </c>
      <c r="BZ154" s="62" t="inlineStr">
        <is>
          <t>ND</t>
        </is>
      </c>
      <c r="CA154" s="67" t="n">
        <v>11.6</v>
      </c>
      <c r="CB154" s="67" t="n"/>
      <c r="CC154" s="65">
        <f>IFERROR(IF(AND(CA154&lt;&gt;"",CB154&lt;&gt;""),ABS(CA154-CB154)/ABS(CA154)*100,""),"")</f>
        <v/>
      </c>
      <c r="CD154" s="62" t="inlineStr">
        <is>
          <t>Claude</t>
        </is>
      </c>
      <c r="CE154" s="67" t="n">
        <v>2.05</v>
      </c>
      <c r="CF154" s="67" t="n"/>
      <c r="CG154" s="65">
        <f>IFERROR(IF(AND(CE154&lt;&gt;"",CF154&lt;&gt;""),ABS(CE154-CF154)/ABS(CE154)*100,""),"")</f>
        <v/>
      </c>
      <c r="CH154" s="62" t="inlineStr">
        <is>
          <t>Claude</t>
        </is>
      </c>
      <c r="CI154" s="67" t="n"/>
      <c r="CJ154" s="67" t="n"/>
      <c r="CK154" s="65">
        <f>IFERROR(IF(AND(CI154&lt;&gt;"",CJ154&lt;&gt;""),ABS(CI154-CJ154)/ABS(CI154)*100,""),"")</f>
        <v/>
      </c>
      <c r="CL154" s="62" t="inlineStr">
        <is>
          <t>ND</t>
        </is>
      </c>
      <c r="CM154" s="67" t="n">
        <v>50</v>
      </c>
      <c r="CN154" s="67" t="n"/>
      <c r="CO154" s="65">
        <f>IFERROR(IF(AND(CM154&lt;&gt;"",CN154&lt;&gt;""),ABS(CM154-CN154)/ABS(CM154)*100,""),"")</f>
        <v/>
      </c>
      <c r="CP154" s="62" t="inlineStr">
        <is>
          <t>Claude</t>
        </is>
      </c>
      <c r="CQ154" s="64" t="n">
        <v>1.11</v>
      </c>
      <c r="CR154" s="64" t="n">
        <v>0.12</v>
      </c>
      <c r="CS154" s="65">
        <f>IFERROR(IF(AND(CQ154&lt;&gt;"",CR154&lt;&gt;""),ABS(CQ154-CR154)/ABS(CQ154)*100,""),"")</f>
        <v/>
      </c>
      <c r="CT154" s="66" t="inlineStr">
        <is>
          <t>MANUAL FLAG</t>
        </is>
      </c>
      <c r="CU154" s="67" t="n">
        <v>0</v>
      </c>
      <c r="CV154" s="67" t="n">
        <v>0</v>
      </c>
      <c r="CW154" s="65">
        <f>IFERROR(IF(AND(CU154&lt;&gt;"",CV154&lt;&gt;""),ABS(CU154-CV154)/ABS(CU154)*100,""),"")</f>
        <v/>
      </c>
      <c r="CX154" s="62" t="inlineStr">
        <is>
          <t>Claude</t>
        </is>
      </c>
      <c r="CY154" s="68" t="n"/>
      <c r="CZ154" s="68" t="n"/>
      <c r="DA154" s="65">
        <f>IFERROR(IF(AND(CY154&lt;&gt;"",CZ154&lt;&gt;""),ABS(CY154-CZ154)/ABS(CY154)*100,""),"")</f>
        <v/>
      </c>
      <c r="DB154" s="62" t="inlineStr">
        <is>
          <t>ND</t>
        </is>
      </c>
      <c r="DC154" s="68" t="n"/>
      <c r="DD154" s="68" t="n">
        <v>7</v>
      </c>
      <c r="DE154" s="65">
        <f>IFERROR(IF(AND(DC154&lt;&gt;"",DD154&lt;&gt;""),ABS(DC154-DD154)/ABS(DC154)*100,""),"")</f>
        <v/>
      </c>
      <c r="DF154" s="62" t="inlineStr">
        <is>
          <t>DeepSeek</t>
        </is>
      </c>
      <c r="DG154" s="68" t="n">
        <v>78.40000000000001</v>
      </c>
      <c r="DH154" s="68" t="n"/>
      <c r="DI154" s="65">
        <f>IFERROR(IF(AND(DG154&lt;&gt;"",DH154&lt;&gt;""),ABS(DG154-DH154)/ABS(DG154)*100,""),"")</f>
        <v/>
      </c>
      <c r="DJ154" s="62" t="inlineStr">
        <is>
          <t>Claude</t>
        </is>
      </c>
      <c r="DK154" s="68" t="n"/>
      <c r="DL154" s="68" t="n"/>
      <c r="DM154" s="65">
        <f>IFERROR(IF(AND(DK154&lt;&gt;"",DL154&lt;&gt;""),ABS(DK154-DL154)/ABS(DK154)*100,""),"")</f>
        <v/>
      </c>
      <c r="DN154" s="62" t="inlineStr">
        <is>
          <t>ND</t>
        </is>
      </c>
      <c r="DO154" s="68" t="n"/>
      <c r="DP154" s="68" t="n"/>
      <c r="DQ154" s="65">
        <f>IFERROR(IF(AND(DO154&lt;&gt;"",DP154&lt;&gt;""),ABS(DO154-DP154)/ABS(DO154)*100,""),"")</f>
        <v/>
      </c>
      <c r="DR154" s="62" t="inlineStr">
        <is>
          <t>ND</t>
        </is>
      </c>
      <c r="DS154" s="68" t="inlineStr">
        <is>
          <t>A+</t>
        </is>
      </c>
      <c r="DT154" s="68" t="inlineStr">
        <is>
          <t>A+</t>
        </is>
      </c>
      <c r="DU154" s="65">
        <f>IFERROR(IF(AND(DS154&lt;&gt;"",DT154&lt;&gt;""),ABS(DS154-DT154)/ABS(DS154)*100,""),"")</f>
        <v/>
      </c>
      <c r="DV154" s="62" t="inlineStr">
        <is>
          <t>Claude</t>
        </is>
      </c>
      <c r="DW154" s="63" t="inlineStr">
        <is>
          <t>Claude only (DeepSeek pending). Source=2025 report, only report covering 2024. Ind.7/8=ND (disability headcount=121, no total workforce). Ind.9=15.7, proxy. Ind.15=na, same denominator-shift issue as 2023. Ind.19=11.6, continues the unexplained decline (23→13.2→11.6). **Ind.22 (Union Membership)=50, a SHARP DROP from 2023's 62% - worth flagging as a notable move, not confirmed whether real or a scope/definition change.** Ind.27=78.4, proxy. **Ind.30='A+', a REAL UPGRADE from 'A' (2021) - genuine ESG-rating improvement trend across this company's full history (B+ -&gt; A -&gt; A+), not a data artifact.** || DEEPSEEK RECONCILIATION - MANUAL FLAGS: Ind.1 (Contract Workers%): Claude=9.86, DeepSeek=0.95, Diff=90.4%; Ind.3 (Female Contract%): Claude=10.9, DeepSeek=10.28, Diff=5.7%; Ind.12 (Annual Pay): Claude=120000000, DeepSeek=137709000, Diff=14.8%; Ind.23 (LTIFR): Claude=1.11, DeepSeek=0.12, Diff=89.2% || NOTE: Ind.1 gap continues at ~90% - consistent pattern across all 3 years confirms this is systematic, not random. Ind.23 (LTIFR) gap now at ~89%, the largest yet. Ind.30 KCGS Rating: both models agree on 'A+' for 2024 - good confirmation of the real upgrade trend (matches Claude's own finding of a genuine B+-&gt;A-&gt;A+ trajectory across editions).</t>
        </is>
      </c>
    </row>
    <row r="155" ht="4.5" customHeight="1" s="43">
      <c r="A155" s="72" t="n"/>
      <c r="B155" s="72" t="n"/>
      <c r="C155" s="72" t="n"/>
      <c r="D155" s="72" t="n"/>
      <c r="E155" s="72" t="n"/>
      <c r="F155" s="72" t="n"/>
      <c r="G155" s="72" t="n"/>
      <c r="H155" s="72" t="n"/>
      <c r="I155" s="72" t="n"/>
      <c r="J155" s="72" t="n"/>
      <c r="K155" s="72" t="n"/>
      <c r="L155" s="72" t="n"/>
      <c r="M155" s="72" t="n"/>
      <c r="N155" s="72" t="n"/>
      <c r="O155" s="72" t="n"/>
      <c r="P155" s="72" t="n"/>
      <c r="Q155" s="72" t="n"/>
      <c r="R155" s="72" t="n"/>
      <c r="S155" s="72" t="n"/>
      <c r="T155" s="72" t="n"/>
      <c r="U155" s="72" t="n"/>
      <c r="V155" s="72" t="n"/>
      <c r="W155" s="72" t="n"/>
      <c r="X155" s="72" t="n"/>
      <c r="Y155" s="72" t="n"/>
      <c r="Z155" s="72" t="n"/>
      <c r="AA155" s="72" t="n"/>
      <c r="AB155" s="72" t="n"/>
      <c r="AC155" s="72" t="n"/>
      <c r="AD155" s="72" t="n"/>
      <c r="AE155" s="72" t="n"/>
      <c r="AF155" s="72" t="n"/>
      <c r="AG155" s="72" t="n"/>
      <c r="AH155" s="72" t="n"/>
      <c r="AI155" s="72" t="n"/>
      <c r="AJ155" s="72" t="n"/>
      <c r="AK155" s="72" t="n"/>
      <c r="AL155" s="72" t="n"/>
      <c r="AM155" s="72" t="n"/>
      <c r="AN155" s="72" t="n"/>
      <c r="AO155" s="72" t="n"/>
      <c r="AP155" s="72" t="n"/>
      <c r="AQ155" s="72" t="n"/>
      <c r="AR155" s="72" t="n"/>
      <c r="AS155" s="72" t="n"/>
      <c r="AT155" s="72" t="n"/>
      <c r="AU155" s="72" t="n"/>
      <c r="AV155" s="72" t="n"/>
      <c r="AW155" s="72" t="n"/>
      <c r="AX155" s="72" t="n"/>
      <c r="AY155" s="72" t="n"/>
      <c r="AZ155" s="72" t="n"/>
      <c r="BA155" s="72" t="n"/>
      <c r="BB155" s="72" t="n"/>
      <c r="BC155" s="72" t="n"/>
      <c r="BD155" s="72" t="n"/>
      <c r="BE155" s="72" t="n"/>
      <c r="BF155" s="72" t="n"/>
      <c r="BG155" s="72" t="n"/>
      <c r="BH155" s="72" t="n"/>
      <c r="BI155" s="72" t="n"/>
      <c r="BJ155" s="72" t="n"/>
      <c r="BK155" s="72" t="n"/>
      <c r="BL155" s="72" t="n"/>
      <c r="BM155" s="72" t="n"/>
      <c r="BN155" s="72" t="n"/>
      <c r="BO155" s="72" t="n"/>
      <c r="BP155" s="72" t="n"/>
      <c r="BQ155" s="72" t="n"/>
      <c r="BR155" s="72" t="n"/>
      <c r="BS155" s="72" t="n"/>
      <c r="BT155" s="72" t="n"/>
      <c r="BU155" s="72" t="n"/>
      <c r="BV155" s="72" t="n"/>
      <c r="BW155" s="72" t="n"/>
      <c r="BX155" s="72" t="n"/>
      <c r="BY155" s="72" t="n"/>
      <c r="BZ155" s="72" t="n"/>
      <c r="CA155" s="72" t="n"/>
      <c r="CB155" s="72" t="n"/>
      <c r="CC155" s="72" t="n"/>
      <c r="CD155" s="72" t="n"/>
      <c r="CE155" s="72" t="n"/>
      <c r="CF155" s="72" t="n"/>
      <c r="CG155" s="72" t="n"/>
      <c r="CH155" s="72" t="n"/>
      <c r="CI155" s="72" t="n"/>
      <c r="CJ155" s="72" t="n"/>
      <c r="CK155" s="72" t="n"/>
      <c r="CL155" s="72" t="n"/>
      <c r="CM155" s="72" t="n"/>
      <c r="CN155" s="72" t="n"/>
      <c r="CO155" s="72" t="n"/>
      <c r="CP155" s="72" t="n"/>
      <c r="CQ155" s="72" t="n"/>
      <c r="CR155" s="72" t="n"/>
      <c r="CS155" s="72" t="n"/>
      <c r="CT155" s="72" t="n"/>
      <c r="CU155" s="72" t="n"/>
      <c r="CV155" s="72" t="n"/>
      <c r="CW155" s="72" t="n"/>
      <c r="CX155" s="72" t="n"/>
      <c r="CY155" s="72" t="n"/>
      <c r="CZ155" s="72" t="n"/>
      <c r="DA155" s="72" t="n"/>
      <c r="DB155" s="72" t="n"/>
      <c r="DC155" s="72" t="n"/>
      <c r="DD155" s="72" t="n"/>
      <c r="DE155" s="72" t="n"/>
      <c r="DF155" s="72" t="n"/>
      <c r="DG155" s="72" t="n"/>
      <c r="DH155" s="72" t="n"/>
      <c r="DI155" s="72" t="n"/>
      <c r="DJ155" s="72" t="n"/>
      <c r="DK155" s="72" t="n"/>
      <c r="DL155" s="72" t="n"/>
      <c r="DM155" s="72" t="n"/>
      <c r="DN155" s="72" t="n"/>
      <c r="DO155" s="72" t="n"/>
      <c r="DP155" s="72" t="n"/>
      <c r="DQ155" s="72" t="n"/>
      <c r="DR155" s="72" t="n"/>
      <c r="DS155" s="72" t="n"/>
      <c r="DT155" s="72" t="n"/>
      <c r="DU155" s="72" t="n"/>
      <c r="DV155" s="72" t="n"/>
      <c r="DW155" s="72" t="n"/>
    </row>
    <row r="156" ht="15.75" customHeight="1" s="43">
      <c r="A156" s="73" t="inlineStr">
        <is>
          <t>L&amp;F</t>
        </is>
      </c>
      <c r="B156" s="69" t="inlineStr">
        <is>
          <t>066970</t>
        </is>
      </c>
      <c r="C156" s="69" t="inlineStr">
        <is>
          <t>Materials</t>
        </is>
      </c>
      <c r="D156" s="69" t="inlineStr">
        <is>
          <t>2018</t>
        </is>
      </c>
      <c r="E156" s="70" t="inlineStr">
        <is>
          <t>No data - L&amp;F 2023 ESG Report window is 2021-2023</t>
        </is>
      </c>
      <c r="F156" s="69" t="n"/>
      <c r="G156" s="67" t="n"/>
      <c r="H156" s="67" t="n"/>
      <c r="I156" s="71">
        <f>IFERROR(IF(AND(G156&lt;&gt;"",H156&lt;&gt;""),ABS(G156-H156)/ABS(G156)*100,""),"")</f>
        <v/>
      </c>
      <c r="J156" s="69" t="inlineStr">
        <is>
          <t>ND</t>
        </is>
      </c>
      <c r="K156" s="67" t="n"/>
      <c r="L156" s="67" t="n"/>
      <c r="M156" s="71">
        <f>IFERROR(IF(AND(K156&lt;&gt;"",L156&lt;&gt;""),ABS(K156-L156)/ABS(K156)*100,""),"")</f>
        <v/>
      </c>
      <c r="N156" s="69" t="inlineStr">
        <is>
          <t>ND</t>
        </is>
      </c>
      <c r="O156" s="67" t="n"/>
      <c r="P156" s="67" t="n"/>
      <c r="Q156" s="71">
        <f>IFERROR(IF(AND(O156&lt;&gt;"",P156&lt;&gt;""),ABS(O156-P156)/ABS(O156)*100,""),"")</f>
        <v/>
      </c>
      <c r="R156" s="69" t="inlineStr">
        <is>
          <t>ND</t>
        </is>
      </c>
      <c r="S156" s="67" t="n"/>
      <c r="T156" s="67" t="n"/>
      <c r="U156" s="71">
        <f>IFERROR(IF(AND(S156&lt;&gt;"",T156&lt;&gt;""),ABS(S156-T156)/ABS(S156)*100,""),"")</f>
        <v/>
      </c>
      <c r="V156" s="69" t="inlineStr">
        <is>
          <t>ND</t>
        </is>
      </c>
      <c r="W156" s="67" t="n"/>
      <c r="X156" s="67" t="n"/>
      <c r="Y156" s="71">
        <f>IFERROR(IF(AND(W156&lt;&gt;"",X156&lt;&gt;""),ABS(W156-X156)/ABS(W156)*100,""),"")</f>
        <v/>
      </c>
      <c r="Z156" s="69" t="inlineStr">
        <is>
          <t>ND</t>
        </is>
      </c>
      <c r="AA156" s="67" t="n"/>
      <c r="AB156" s="67" t="n"/>
      <c r="AC156" s="71">
        <f>IFERROR(IF(AND(AA156&lt;&gt;"",AB156&lt;&gt;""),ABS(AA156-AB156)/ABS(AA156)*100,""),"")</f>
        <v/>
      </c>
      <c r="AD156" s="69" t="inlineStr">
        <is>
          <t>ND</t>
        </is>
      </c>
      <c r="AE156" s="67" t="n"/>
      <c r="AF156" s="67" t="n"/>
      <c r="AG156" s="71">
        <f>IFERROR(IF(AND(AE156&lt;&gt;"",AF156&lt;&gt;""),ABS(AE156-AF156)/ABS(AE156)*100,""),"")</f>
        <v/>
      </c>
      <c r="AH156" s="69" t="inlineStr">
        <is>
          <t>ND</t>
        </is>
      </c>
      <c r="AI156" s="67" t="n"/>
      <c r="AJ156" s="67" t="n"/>
      <c r="AK156" s="71">
        <f>IFERROR(IF(AND(AI156&lt;&gt;"",AJ156&lt;&gt;""),ABS(AI156-AJ156)/ABS(AI156)*100,""),"")</f>
        <v/>
      </c>
      <c r="AL156" s="69" t="inlineStr">
        <is>
          <t>ND</t>
        </is>
      </c>
      <c r="AM156" s="67" t="n"/>
      <c r="AN156" s="67" t="n"/>
      <c r="AO156" s="71">
        <f>IFERROR(IF(AND(AM156&lt;&gt;"",AN156&lt;&gt;""),ABS(AM156-AN156)/ABS(AM156)*100,""),"")</f>
        <v/>
      </c>
      <c r="AP156" s="69" t="inlineStr">
        <is>
          <t>ND</t>
        </is>
      </c>
      <c r="AQ156" s="67" t="n"/>
      <c r="AR156" s="67" t="n"/>
      <c r="AS156" s="71">
        <f>IFERROR(IF(AND(AQ156&lt;&gt;"",AR156&lt;&gt;""),ABS(AQ156-AR156)/ABS(AQ156)*100,""),"")</f>
        <v/>
      </c>
      <c r="AT156" s="69" t="inlineStr">
        <is>
          <t>ND</t>
        </is>
      </c>
      <c r="AU156" s="67" t="n"/>
      <c r="AV156" s="67" t="n"/>
      <c r="AW156" s="71">
        <f>IFERROR(IF(AND(AU156&lt;&gt;"",AV156&lt;&gt;""),ABS(AU156-AV156)/ABS(AU156)*100,""),"")</f>
        <v/>
      </c>
      <c r="AX156" s="69" t="inlineStr">
        <is>
          <t>ND</t>
        </is>
      </c>
      <c r="AY156" s="67" t="n"/>
      <c r="AZ156" s="67" t="n"/>
      <c r="BA156" s="71">
        <f>IFERROR(IF(AND(AY156&lt;&gt;"",AZ156&lt;&gt;""),ABS(AY156-AZ156)/ABS(AY156)*100,""),"")</f>
        <v/>
      </c>
      <c r="BB156" s="69" t="inlineStr">
        <is>
          <t>ND</t>
        </is>
      </c>
      <c r="BC156" s="67" t="n"/>
      <c r="BD156" s="67" t="n"/>
      <c r="BE156" s="71">
        <f>IFERROR(IF(AND(BC156&lt;&gt;"",BD156&lt;&gt;""),ABS(BC156-BD156)/ABS(BC156)*100,""),"")</f>
        <v/>
      </c>
      <c r="BF156" s="69" t="inlineStr">
        <is>
          <t>ND</t>
        </is>
      </c>
      <c r="BG156" s="67" t="n"/>
      <c r="BH156" s="67" t="n"/>
      <c r="BI156" s="71">
        <f>IFERROR(IF(AND(BG156&lt;&gt;"",BH156&lt;&gt;""),ABS(BG156-BH156)/ABS(BG156)*100,""),"")</f>
        <v/>
      </c>
      <c r="BJ156" s="69" t="inlineStr">
        <is>
          <t>ND</t>
        </is>
      </c>
      <c r="BK156" s="67" t="n"/>
      <c r="BL156" s="67" t="n"/>
      <c r="BM156" s="71">
        <f>IFERROR(IF(AND(BK156&lt;&gt;"",BL156&lt;&gt;""),ABS(BK156-BL156)/ABS(BK156)*100,""),"")</f>
        <v/>
      </c>
      <c r="BN156" s="69" t="inlineStr">
        <is>
          <t>ND</t>
        </is>
      </c>
      <c r="BO156" s="67" t="n"/>
      <c r="BP156" s="67" t="n"/>
      <c r="BQ156" s="71">
        <f>IFERROR(IF(AND(BO156&lt;&gt;"",BP156&lt;&gt;""),ABS(BO156-BP156)/ABS(BO156)*100,""),"")</f>
        <v/>
      </c>
      <c r="BR156" s="69" t="inlineStr">
        <is>
          <t>ND</t>
        </is>
      </c>
      <c r="BS156" s="67" t="n"/>
      <c r="BT156" s="67" t="n"/>
      <c r="BU156" s="71">
        <f>IFERROR(IF(AND(BS156&lt;&gt;"",BT156&lt;&gt;""),ABS(BS156-BT156)/ABS(BS156)*100,""),"")</f>
        <v/>
      </c>
      <c r="BV156" s="69" t="inlineStr">
        <is>
          <t>ND</t>
        </is>
      </c>
      <c r="BW156" s="67" t="n"/>
      <c r="BX156" s="67" t="n"/>
      <c r="BY156" s="71">
        <f>IFERROR(IF(AND(BW156&lt;&gt;"",BX156&lt;&gt;""),ABS(BW156-BX156)/ABS(BW156)*100,""),"")</f>
        <v/>
      </c>
      <c r="BZ156" s="69" t="inlineStr">
        <is>
          <t>ND</t>
        </is>
      </c>
      <c r="CA156" s="67" t="n"/>
      <c r="CB156" s="67" t="n"/>
      <c r="CC156" s="71">
        <f>IFERROR(IF(AND(CA156&lt;&gt;"",CB156&lt;&gt;""),ABS(CA156-CB156)/ABS(CA156)*100,""),"")</f>
        <v/>
      </c>
      <c r="CD156" s="69" t="inlineStr">
        <is>
          <t>ND</t>
        </is>
      </c>
      <c r="CE156" s="67" t="n"/>
      <c r="CF156" s="67" t="n"/>
      <c r="CG156" s="71">
        <f>IFERROR(IF(AND(CE156&lt;&gt;"",CF156&lt;&gt;""),ABS(CE156-CF156)/ABS(CE156)*100,""),"")</f>
        <v/>
      </c>
      <c r="CH156" s="69" t="inlineStr">
        <is>
          <t>ND</t>
        </is>
      </c>
      <c r="CI156" s="67" t="n"/>
      <c r="CJ156" s="67" t="n"/>
      <c r="CK156" s="71">
        <f>IFERROR(IF(AND(CI156&lt;&gt;"",CJ156&lt;&gt;""),ABS(CI156-CJ156)/ABS(CI156)*100,""),"")</f>
        <v/>
      </c>
      <c r="CL156" s="69" t="inlineStr">
        <is>
          <t>ND</t>
        </is>
      </c>
      <c r="CM156" s="67" t="n"/>
      <c r="CN156" s="67" t="n"/>
      <c r="CO156" s="71">
        <f>IFERROR(IF(AND(CM156&lt;&gt;"",CN156&lt;&gt;""),ABS(CM156-CN156)/ABS(CM156)*100,""),"")</f>
        <v/>
      </c>
      <c r="CP156" s="69" t="inlineStr">
        <is>
          <t>ND</t>
        </is>
      </c>
      <c r="CQ156" s="67" t="n"/>
      <c r="CR156" s="67" t="n"/>
      <c r="CS156" s="71">
        <f>IFERROR(IF(AND(CQ156&lt;&gt;"",CR156&lt;&gt;""),ABS(CQ156-CR156)/ABS(CQ156)*100,""),"")</f>
        <v/>
      </c>
      <c r="CT156" s="69" t="inlineStr">
        <is>
          <t>ND</t>
        </is>
      </c>
      <c r="CU156" s="67" t="n"/>
      <c r="CV156" s="67" t="n"/>
      <c r="CW156" s="71">
        <f>IFERROR(IF(AND(CU156&lt;&gt;"",CV156&lt;&gt;""),ABS(CU156-CV156)/ABS(CU156)*100,""),"")</f>
        <v/>
      </c>
      <c r="CX156" s="69" t="inlineStr">
        <is>
          <t>ND</t>
        </is>
      </c>
      <c r="CY156" s="68" t="n"/>
      <c r="CZ156" s="68" t="n"/>
      <c r="DA156" s="71">
        <f>IFERROR(IF(AND(CY156&lt;&gt;"",CZ156&lt;&gt;""),ABS(CY156-CZ156)/ABS(CY156)*100,""),"")</f>
        <v/>
      </c>
      <c r="DB156" s="69" t="inlineStr">
        <is>
          <t>ND</t>
        </is>
      </c>
      <c r="DC156" s="68" t="n"/>
      <c r="DD156" s="68" t="n"/>
      <c r="DE156" s="71">
        <f>IFERROR(IF(AND(DC156&lt;&gt;"",DD156&lt;&gt;""),ABS(DC156-DD156)/ABS(DC156)*100,""),"")</f>
        <v/>
      </c>
      <c r="DF156" s="69" t="inlineStr">
        <is>
          <t>ND</t>
        </is>
      </c>
      <c r="DG156" s="68" t="n"/>
      <c r="DH156" s="68" t="n"/>
      <c r="DI156" s="71">
        <f>IFERROR(IF(AND(DG156&lt;&gt;"",DH156&lt;&gt;""),ABS(DG156-DH156)/ABS(DG156)*100,""),"")</f>
        <v/>
      </c>
      <c r="DJ156" s="69" t="inlineStr">
        <is>
          <t>ND</t>
        </is>
      </c>
      <c r="DK156" s="68" t="n"/>
      <c r="DL156" s="68" t="n"/>
      <c r="DM156" s="71">
        <f>IFERROR(IF(AND(DK156&lt;&gt;"",DL156&lt;&gt;""),ABS(DK156-DL156)/ABS(DK156)*100,""),"")</f>
        <v/>
      </c>
      <c r="DN156" s="69" t="inlineStr">
        <is>
          <t>ND</t>
        </is>
      </c>
      <c r="DO156" s="68" t="n"/>
      <c r="DP156" s="68" t="n"/>
      <c r="DQ156" s="71">
        <f>IFERROR(IF(AND(DO156&lt;&gt;"",DP156&lt;&gt;""),ABS(DO156-DP156)/ABS(DO156)*100,""),"")</f>
        <v/>
      </c>
      <c r="DR156" s="69" t="inlineStr">
        <is>
          <t>ND</t>
        </is>
      </c>
      <c r="DS156" s="68" t="n"/>
      <c r="DT156" s="68" t="n"/>
      <c r="DU156" s="71">
        <f>IFERROR(IF(AND(DS156&lt;&gt;"",DT156&lt;&gt;""),ABS(DS156-DT156)/ABS(DS156)*100,""),"")</f>
        <v/>
      </c>
      <c r="DV156" s="69" t="inlineStr">
        <is>
          <t>ND</t>
        </is>
      </c>
      <c r="DW156" s="70" t="inlineStr">
        <is>
          <t>No data available - report window is 2021-2023. ND throughout.</t>
        </is>
      </c>
    </row>
    <row r="157" ht="15.75" customHeight="1" s="43">
      <c r="A157" s="62" t="n"/>
      <c r="B157" s="62" t="n"/>
      <c r="C157" s="62" t="inlineStr">
        <is>
          <t>Materials</t>
        </is>
      </c>
      <c r="D157" s="62" t="inlineStr">
        <is>
          <t>2019</t>
        </is>
      </c>
      <c r="E157" s="63" t="inlineStr">
        <is>
          <t>No data - L&amp;F 2023 ESG Report window is 2021-2023</t>
        </is>
      </c>
      <c r="F157" s="62" t="n"/>
      <c r="G157" s="67" t="n"/>
      <c r="H157" s="67" t="n"/>
      <c r="I157" s="65">
        <f>IFERROR(IF(AND(G157&lt;&gt;"",H157&lt;&gt;""),ABS(G157-H157)/ABS(G157)*100,""),"")</f>
        <v/>
      </c>
      <c r="J157" s="62" t="inlineStr">
        <is>
          <t>ND</t>
        </is>
      </c>
      <c r="K157" s="67" t="n"/>
      <c r="L157" s="67" t="n"/>
      <c r="M157" s="65">
        <f>IFERROR(IF(AND(K157&lt;&gt;"",L157&lt;&gt;""),ABS(K157-L157)/ABS(K157)*100,""),"")</f>
        <v/>
      </c>
      <c r="N157" s="62" t="inlineStr">
        <is>
          <t>ND</t>
        </is>
      </c>
      <c r="O157" s="67" t="n"/>
      <c r="P157" s="67" t="n"/>
      <c r="Q157" s="65">
        <f>IFERROR(IF(AND(O157&lt;&gt;"",P157&lt;&gt;""),ABS(O157-P157)/ABS(O157)*100,""),"")</f>
        <v/>
      </c>
      <c r="R157" s="62" t="inlineStr">
        <is>
          <t>ND</t>
        </is>
      </c>
      <c r="S157" s="67" t="n"/>
      <c r="T157" s="67" t="n"/>
      <c r="U157" s="65">
        <f>IFERROR(IF(AND(S157&lt;&gt;"",T157&lt;&gt;""),ABS(S157-T157)/ABS(S157)*100,""),"")</f>
        <v/>
      </c>
      <c r="V157" s="62" t="inlineStr">
        <is>
          <t>ND</t>
        </is>
      </c>
      <c r="W157" s="67" t="n"/>
      <c r="X157" s="67" t="n"/>
      <c r="Y157" s="65">
        <f>IFERROR(IF(AND(W157&lt;&gt;"",X157&lt;&gt;""),ABS(W157-X157)/ABS(W157)*100,""),"")</f>
        <v/>
      </c>
      <c r="Z157" s="62" t="inlineStr">
        <is>
          <t>ND</t>
        </is>
      </c>
      <c r="AA157" s="67" t="n"/>
      <c r="AB157" s="67" t="n"/>
      <c r="AC157" s="65">
        <f>IFERROR(IF(AND(AA157&lt;&gt;"",AB157&lt;&gt;""),ABS(AA157-AB157)/ABS(AA157)*100,""),"")</f>
        <v/>
      </c>
      <c r="AD157" s="62" t="inlineStr">
        <is>
          <t>ND</t>
        </is>
      </c>
      <c r="AE157" s="67" t="n"/>
      <c r="AF157" s="67" t="n"/>
      <c r="AG157" s="65">
        <f>IFERROR(IF(AND(AE157&lt;&gt;"",AF157&lt;&gt;""),ABS(AE157-AF157)/ABS(AE157)*100,""),"")</f>
        <v/>
      </c>
      <c r="AH157" s="62" t="inlineStr">
        <is>
          <t>ND</t>
        </is>
      </c>
      <c r="AI157" s="67" t="n"/>
      <c r="AJ157" s="67" t="n"/>
      <c r="AK157" s="65">
        <f>IFERROR(IF(AND(AI157&lt;&gt;"",AJ157&lt;&gt;""),ABS(AI157-AJ157)/ABS(AI157)*100,""),"")</f>
        <v/>
      </c>
      <c r="AL157" s="62" t="inlineStr">
        <is>
          <t>ND</t>
        </is>
      </c>
      <c r="AM157" s="67" t="n"/>
      <c r="AN157" s="67" t="n"/>
      <c r="AO157" s="65">
        <f>IFERROR(IF(AND(AM157&lt;&gt;"",AN157&lt;&gt;""),ABS(AM157-AN157)/ABS(AM157)*100,""),"")</f>
        <v/>
      </c>
      <c r="AP157" s="62" t="inlineStr">
        <is>
          <t>ND</t>
        </is>
      </c>
      <c r="AQ157" s="67" t="n"/>
      <c r="AR157" s="67" t="n"/>
      <c r="AS157" s="65">
        <f>IFERROR(IF(AND(AQ157&lt;&gt;"",AR157&lt;&gt;""),ABS(AQ157-AR157)/ABS(AQ157)*100,""),"")</f>
        <v/>
      </c>
      <c r="AT157" s="62" t="inlineStr">
        <is>
          <t>ND</t>
        </is>
      </c>
      <c r="AU157" s="67" t="n"/>
      <c r="AV157" s="67" t="n"/>
      <c r="AW157" s="65">
        <f>IFERROR(IF(AND(AU157&lt;&gt;"",AV157&lt;&gt;""),ABS(AU157-AV157)/ABS(AU157)*100,""),"")</f>
        <v/>
      </c>
      <c r="AX157" s="62" t="inlineStr">
        <is>
          <t>ND</t>
        </is>
      </c>
      <c r="AY157" s="67" t="n"/>
      <c r="AZ157" s="67" t="n"/>
      <c r="BA157" s="65">
        <f>IFERROR(IF(AND(AY157&lt;&gt;"",AZ157&lt;&gt;""),ABS(AY157-AZ157)/ABS(AY157)*100,""),"")</f>
        <v/>
      </c>
      <c r="BB157" s="62" t="inlineStr">
        <is>
          <t>ND</t>
        </is>
      </c>
      <c r="BC157" s="67" t="n"/>
      <c r="BD157" s="67" t="n"/>
      <c r="BE157" s="65">
        <f>IFERROR(IF(AND(BC157&lt;&gt;"",BD157&lt;&gt;""),ABS(BC157-BD157)/ABS(BC157)*100,""),"")</f>
        <v/>
      </c>
      <c r="BF157" s="62" t="inlineStr">
        <is>
          <t>ND</t>
        </is>
      </c>
      <c r="BG157" s="67" t="n"/>
      <c r="BH157" s="67" t="n"/>
      <c r="BI157" s="65">
        <f>IFERROR(IF(AND(BG157&lt;&gt;"",BH157&lt;&gt;""),ABS(BG157-BH157)/ABS(BG157)*100,""),"")</f>
        <v/>
      </c>
      <c r="BJ157" s="62" t="inlineStr">
        <is>
          <t>ND</t>
        </is>
      </c>
      <c r="BK157" s="67" t="n"/>
      <c r="BL157" s="67" t="n"/>
      <c r="BM157" s="65">
        <f>IFERROR(IF(AND(BK157&lt;&gt;"",BL157&lt;&gt;""),ABS(BK157-BL157)/ABS(BK157)*100,""),"")</f>
        <v/>
      </c>
      <c r="BN157" s="62" t="inlineStr">
        <is>
          <t>ND</t>
        </is>
      </c>
      <c r="BO157" s="67" t="n"/>
      <c r="BP157" s="67" t="n"/>
      <c r="BQ157" s="65">
        <f>IFERROR(IF(AND(BO157&lt;&gt;"",BP157&lt;&gt;""),ABS(BO157-BP157)/ABS(BO157)*100,""),"")</f>
        <v/>
      </c>
      <c r="BR157" s="62" t="inlineStr">
        <is>
          <t>ND</t>
        </is>
      </c>
      <c r="BS157" s="67" t="n"/>
      <c r="BT157" s="67" t="n"/>
      <c r="BU157" s="65">
        <f>IFERROR(IF(AND(BS157&lt;&gt;"",BT157&lt;&gt;""),ABS(BS157-BT157)/ABS(BS157)*100,""),"")</f>
        <v/>
      </c>
      <c r="BV157" s="62" t="inlineStr">
        <is>
          <t>ND</t>
        </is>
      </c>
      <c r="BW157" s="67" t="n"/>
      <c r="BX157" s="67" t="n"/>
      <c r="BY157" s="65">
        <f>IFERROR(IF(AND(BW157&lt;&gt;"",BX157&lt;&gt;""),ABS(BW157-BX157)/ABS(BW157)*100,""),"")</f>
        <v/>
      </c>
      <c r="BZ157" s="62" t="inlineStr">
        <is>
          <t>ND</t>
        </is>
      </c>
      <c r="CA157" s="67" t="n"/>
      <c r="CB157" s="67" t="n"/>
      <c r="CC157" s="65">
        <f>IFERROR(IF(AND(CA157&lt;&gt;"",CB157&lt;&gt;""),ABS(CA157-CB157)/ABS(CA157)*100,""),"")</f>
        <v/>
      </c>
      <c r="CD157" s="62" t="inlineStr">
        <is>
          <t>ND</t>
        </is>
      </c>
      <c r="CE157" s="67" t="n"/>
      <c r="CF157" s="67" t="n"/>
      <c r="CG157" s="65">
        <f>IFERROR(IF(AND(CE157&lt;&gt;"",CF157&lt;&gt;""),ABS(CE157-CF157)/ABS(CE157)*100,""),"")</f>
        <v/>
      </c>
      <c r="CH157" s="62" t="inlineStr">
        <is>
          <t>ND</t>
        </is>
      </c>
      <c r="CI157" s="67" t="n"/>
      <c r="CJ157" s="67" t="n"/>
      <c r="CK157" s="65">
        <f>IFERROR(IF(AND(CI157&lt;&gt;"",CJ157&lt;&gt;""),ABS(CI157-CJ157)/ABS(CI157)*100,""),"")</f>
        <v/>
      </c>
      <c r="CL157" s="62" t="inlineStr">
        <is>
          <t>ND</t>
        </is>
      </c>
      <c r="CM157" s="67" t="n"/>
      <c r="CN157" s="67" t="n"/>
      <c r="CO157" s="65">
        <f>IFERROR(IF(AND(CM157&lt;&gt;"",CN157&lt;&gt;""),ABS(CM157-CN157)/ABS(CM157)*100,""),"")</f>
        <v/>
      </c>
      <c r="CP157" s="62" t="inlineStr">
        <is>
          <t>ND</t>
        </is>
      </c>
      <c r="CQ157" s="67" t="n"/>
      <c r="CR157" s="67" t="n"/>
      <c r="CS157" s="65">
        <f>IFERROR(IF(AND(CQ157&lt;&gt;"",CR157&lt;&gt;""),ABS(CQ157-CR157)/ABS(CQ157)*100,""),"")</f>
        <v/>
      </c>
      <c r="CT157" s="62" t="inlineStr">
        <is>
          <t>ND</t>
        </is>
      </c>
      <c r="CU157" s="67" t="n"/>
      <c r="CV157" s="67" t="n"/>
      <c r="CW157" s="65">
        <f>IFERROR(IF(AND(CU157&lt;&gt;"",CV157&lt;&gt;""),ABS(CU157-CV157)/ABS(CU157)*100,""),"")</f>
        <v/>
      </c>
      <c r="CX157" s="62" t="inlineStr">
        <is>
          <t>ND</t>
        </is>
      </c>
      <c r="CY157" s="68" t="n"/>
      <c r="CZ157" s="68" t="n"/>
      <c r="DA157" s="65">
        <f>IFERROR(IF(AND(CY157&lt;&gt;"",CZ157&lt;&gt;""),ABS(CY157-CZ157)/ABS(CY157)*100,""),"")</f>
        <v/>
      </c>
      <c r="DB157" s="62" t="inlineStr">
        <is>
          <t>ND</t>
        </is>
      </c>
      <c r="DC157" s="68" t="n"/>
      <c r="DD157" s="68" t="n"/>
      <c r="DE157" s="65">
        <f>IFERROR(IF(AND(DC157&lt;&gt;"",DD157&lt;&gt;""),ABS(DC157-DD157)/ABS(DC157)*100,""),"")</f>
        <v/>
      </c>
      <c r="DF157" s="62" t="inlineStr">
        <is>
          <t>ND</t>
        </is>
      </c>
      <c r="DG157" s="68" t="n"/>
      <c r="DH157" s="68" t="n"/>
      <c r="DI157" s="65">
        <f>IFERROR(IF(AND(DG157&lt;&gt;"",DH157&lt;&gt;""),ABS(DG157-DH157)/ABS(DG157)*100,""),"")</f>
        <v/>
      </c>
      <c r="DJ157" s="62" t="inlineStr">
        <is>
          <t>ND</t>
        </is>
      </c>
      <c r="DK157" s="68" t="n"/>
      <c r="DL157" s="68" t="n"/>
      <c r="DM157" s="65">
        <f>IFERROR(IF(AND(DK157&lt;&gt;"",DL157&lt;&gt;""),ABS(DK157-DL157)/ABS(DK157)*100,""),"")</f>
        <v/>
      </c>
      <c r="DN157" s="62" t="inlineStr">
        <is>
          <t>ND</t>
        </is>
      </c>
      <c r="DO157" s="68" t="n"/>
      <c r="DP157" s="68" t="n"/>
      <c r="DQ157" s="65">
        <f>IFERROR(IF(AND(DO157&lt;&gt;"",DP157&lt;&gt;""),ABS(DO157-DP157)/ABS(DO157)*100,""),"")</f>
        <v/>
      </c>
      <c r="DR157" s="62" t="inlineStr">
        <is>
          <t>ND</t>
        </is>
      </c>
      <c r="DS157" s="68" t="n"/>
      <c r="DT157" s="68" t="n"/>
      <c r="DU157" s="65">
        <f>IFERROR(IF(AND(DS157&lt;&gt;"",DT157&lt;&gt;""),ABS(DS157-DT157)/ABS(DS157)*100,""),"")</f>
        <v/>
      </c>
      <c r="DV157" s="62" t="inlineStr">
        <is>
          <t>ND</t>
        </is>
      </c>
      <c r="DW157" s="63" t="inlineStr">
        <is>
          <t>No data available - see 2018 note.</t>
        </is>
      </c>
    </row>
    <row r="158" ht="15.75" customHeight="1" s="43">
      <c r="A158" s="69" t="n"/>
      <c r="B158" s="69" t="n"/>
      <c r="C158" s="69" t="inlineStr">
        <is>
          <t>Materials</t>
        </is>
      </c>
      <c r="D158" s="69" t="inlineStr">
        <is>
          <t>2020</t>
        </is>
      </c>
      <c r="E158" s="70" t="inlineStr">
        <is>
          <t>No data - L&amp;F 2023 ESG Report window is 2021-2023</t>
        </is>
      </c>
      <c r="F158" s="69" t="n"/>
      <c r="G158" s="67" t="n"/>
      <c r="H158" s="67" t="n"/>
      <c r="I158" s="71">
        <f>IFERROR(IF(AND(G158&lt;&gt;"",H158&lt;&gt;""),ABS(G158-H158)/ABS(G158)*100,""),"")</f>
        <v/>
      </c>
      <c r="J158" s="69" t="inlineStr">
        <is>
          <t>ND</t>
        </is>
      </c>
      <c r="K158" s="67" t="n"/>
      <c r="L158" s="67" t="n"/>
      <c r="M158" s="71">
        <f>IFERROR(IF(AND(K158&lt;&gt;"",L158&lt;&gt;""),ABS(K158-L158)/ABS(K158)*100,""),"")</f>
        <v/>
      </c>
      <c r="N158" s="69" t="inlineStr">
        <is>
          <t>ND</t>
        </is>
      </c>
      <c r="O158" s="67" t="n"/>
      <c r="P158" s="67" t="n"/>
      <c r="Q158" s="71">
        <f>IFERROR(IF(AND(O158&lt;&gt;"",P158&lt;&gt;""),ABS(O158-P158)/ABS(O158)*100,""),"")</f>
        <v/>
      </c>
      <c r="R158" s="69" t="inlineStr">
        <is>
          <t>ND</t>
        </is>
      </c>
      <c r="S158" s="67" t="n"/>
      <c r="T158" s="67" t="n"/>
      <c r="U158" s="71">
        <f>IFERROR(IF(AND(S158&lt;&gt;"",T158&lt;&gt;""),ABS(S158-T158)/ABS(S158)*100,""),"")</f>
        <v/>
      </c>
      <c r="V158" s="69" t="inlineStr">
        <is>
          <t>ND</t>
        </is>
      </c>
      <c r="W158" s="67" t="n"/>
      <c r="X158" s="67" t="n"/>
      <c r="Y158" s="71">
        <f>IFERROR(IF(AND(W158&lt;&gt;"",X158&lt;&gt;""),ABS(W158-X158)/ABS(W158)*100,""),"")</f>
        <v/>
      </c>
      <c r="Z158" s="69" t="inlineStr">
        <is>
          <t>ND</t>
        </is>
      </c>
      <c r="AA158" s="67" t="n"/>
      <c r="AB158" s="67" t="n"/>
      <c r="AC158" s="71">
        <f>IFERROR(IF(AND(AA158&lt;&gt;"",AB158&lt;&gt;""),ABS(AA158-AB158)/ABS(AA158)*100,""),"")</f>
        <v/>
      </c>
      <c r="AD158" s="69" t="inlineStr">
        <is>
          <t>ND</t>
        </is>
      </c>
      <c r="AE158" s="67" t="n"/>
      <c r="AF158" s="67" t="n"/>
      <c r="AG158" s="71">
        <f>IFERROR(IF(AND(AE158&lt;&gt;"",AF158&lt;&gt;""),ABS(AE158-AF158)/ABS(AE158)*100,""),"")</f>
        <v/>
      </c>
      <c r="AH158" s="69" t="inlineStr">
        <is>
          <t>ND</t>
        </is>
      </c>
      <c r="AI158" s="67" t="n"/>
      <c r="AJ158" s="67" t="n"/>
      <c r="AK158" s="71">
        <f>IFERROR(IF(AND(AI158&lt;&gt;"",AJ158&lt;&gt;""),ABS(AI158-AJ158)/ABS(AI158)*100,""),"")</f>
        <v/>
      </c>
      <c r="AL158" s="69" t="inlineStr">
        <is>
          <t>ND</t>
        </is>
      </c>
      <c r="AM158" s="67" t="n"/>
      <c r="AN158" s="67" t="n"/>
      <c r="AO158" s="71">
        <f>IFERROR(IF(AND(AM158&lt;&gt;"",AN158&lt;&gt;""),ABS(AM158-AN158)/ABS(AM158)*100,""),"")</f>
        <v/>
      </c>
      <c r="AP158" s="69" t="inlineStr">
        <is>
          <t>ND</t>
        </is>
      </c>
      <c r="AQ158" s="67" t="n"/>
      <c r="AR158" s="67" t="n"/>
      <c r="AS158" s="71">
        <f>IFERROR(IF(AND(AQ158&lt;&gt;"",AR158&lt;&gt;""),ABS(AQ158-AR158)/ABS(AQ158)*100,""),"")</f>
        <v/>
      </c>
      <c r="AT158" s="69" t="inlineStr">
        <is>
          <t>ND</t>
        </is>
      </c>
      <c r="AU158" s="67" t="n"/>
      <c r="AV158" s="67" t="n"/>
      <c r="AW158" s="71">
        <f>IFERROR(IF(AND(AU158&lt;&gt;"",AV158&lt;&gt;""),ABS(AU158-AV158)/ABS(AU158)*100,""),"")</f>
        <v/>
      </c>
      <c r="AX158" s="69" t="inlineStr">
        <is>
          <t>ND</t>
        </is>
      </c>
      <c r="AY158" s="67" t="n"/>
      <c r="AZ158" s="67" t="n"/>
      <c r="BA158" s="71">
        <f>IFERROR(IF(AND(AY158&lt;&gt;"",AZ158&lt;&gt;""),ABS(AY158-AZ158)/ABS(AY158)*100,""),"")</f>
        <v/>
      </c>
      <c r="BB158" s="69" t="inlineStr">
        <is>
          <t>ND</t>
        </is>
      </c>
      <c r="BC158" s="67" t="n"/>
      <c r="BD158" s="67" t="n"/>
      <c r="BE158" s="71">
        <f>IFERROR(IF(AND(BC158&lt;&gt;"",BD158&lt;&gt;""),ABS(BC158-BD158)/ABS(BC158)*100,""),"")</f>
        <v/>
      </c>
      <c r="BF158" s="69" t="inlineStr">
        <is>
          <t>ND</t>
        </is>
      </c>
      <c r="BG158" s="67" t="n"/>
      <c r="BH158" s="67" t="n"/>
      <c r="BI158" s="71">
        <f>IFERROR(IF(AND(BG158&lt;&gt;"",BH158&lt;&gt;""),ABS(BG158-BH158)/ABS(BG158)*100,""),"")</f>
        <v/>
      </c>
      <c r="BJ158" s="69" t="inlineStr">
        <is>
          <t>ND</t>
        </is>
      </c>
      <c r="BK158" s="67" t="n"/>
      <c r="BL158" s="67" t="n"/>
      <c r="BM158" s="71">
        <f>IFERROR(IF(AND(BK158&lt;&gt;"",BL158&lt;&gt;""),ABS(BK158-BL158)/ABS(BK158)*100,""),"")</f>
        <v/>
      </c>
      <c r="BN158" s="69" t="inlineStr">
        <is>
          <t>ND</t>
        </is>
      </c>
      <c r="BO158" s="67" t="n"/>
      <c r="BP158" s="67" t="n"/>
      <c r="BQ158" s="71">
        <f>IFERROR(IF(AND(BO158&lt;&gt;"",BP158&lt;&gt;""),ABS(BO158-BP158)/ABS(BO158)*100,""),"")</f>
        <v/>
      </c>
      <c r="BR158" s="69" t="inlineStr">
        <is>
          <t>ND</t>
        </is>
      </c>
      <c r="BS158" s="67" t="n"/>
      <c r="BT158" s="67" t="n"/>
      <c r="BU158" s="71">
        <f>IFERROR(IF(AND(BS158&lt;&gt;"",BT158&lt;&gt;""),ABS(BS158-BT158)/ABS(BS158)*100,""),"")</f>
        <v/>
      </c>
      <c r="BV158" s="69" t="inlineStr">
        <is>
          <t>ND</t>
        </is>
      </c>
      <c r="BW158" s="67" t="n"/>
      <c r="BX158" s="67" t="n"/>
      <c r="BY158" s="71">
        <f>IFERROR(IF(AND(BW158&lt;&gt;"",BX158&lt;&gt;""),ABS(BW158-BX158)/ABS(BW158)*100,""),"")</f>
        <v/>
      </c>
      <c r="BZ158" s="69" t="inlineStr">
        <is>
          <t>ND</t>
        </is>
      </c>
      <c r="CA158" s="67" t="n"/>
      <c r="CB158" s="67" t="n"/>
      <c r="CC158" s="71">
        <f>IFERROR(IF(AND(CA158&lt;&gt;"",CB158&lt;&gt;""),ABS(CA158-CB158)/ABS(CA158)*100,""),"")</f>
        <v/>
      </c>
      <c r="CD158" s="69" t="inlineStr">
        <is>
          <t>ND</t>
        </is>
      </c>
      <c r="CE158" s="67" t="n"/>
      <c r="CF158" s="67" t="n"/>
      <c r="CG158" s="71">
        <f>IFERROR(IF(AND(CE158&lt;&gt;"",CF158&lt;&gt;""),ABS(CE158-CF158)/ABS(CE158)*100,""),"")</f>
        <v/>
      </c>
      <c r="CH158" s="69" t="inlineStr">
        <is>
          <t>ND</t>
        </is>
      </c>
      <c r="CI158" s="67" t="n"/>
      <c r="CJ158" s="67" t="n"/>
      <c r="CK158" s="71">
        <f>IFERROR(IF(AND(CI158&lt;&gt;"",CJ158&lt;&gt;""),ABS(CI158-CJ158)/ABS(CI158)*100,""),"")</f>
        <v/>
      </c>
      <c r="CL158" s="69" t="inlineStr">
        <is>
          <t>ND</t>
        </is>
      </c>
      <c r="CM158" s="67" t="n"/>
      <c r="CN158" s="67" t="n"/>
      <c r="CO158" s="71">
        <f>IFERROR(IF(AND(CM158&lt;&gt;"",CN158&lt;&gt;""),ABS(CM158-CN158)/ABS(CM158)*100,""),"")</f>
        <v/>
      </c>
      <c r="CP158" s="69" t="inlineStr">
        <is>
          <t>ND</t>
        </is>
      </c>
      <c r="CQ158" s="67" t="n"/>
      <c r="CR158" s="67" t="n"/>
      <c r="CS158" s="71">
        <f>IFERROR(IF(AND(CQ158&lt;&gt;"",CR158&lt;&gt;""),ABS(CQ158-CR158)/ABS(CQ158)*100,""),"")</f>
        <v/>
      </c>
      <c r="CT158" s="69" t="inlineStr">
        <is>
          <t>ND</t>
        </is>
      </c>
      <c r="CU158" s="67" t="n"/>
      <c r="CV158" s="67" t="n"/>
      <c r="CW158" s="71">
        <f>IFERROR(IF(AND(CU158&lt;&gt;"",CV158&lt;&gt;""),ABS(CU158-CV158)/ABS(CU158)*100,""),"")</f>
        <v/>
      </c>
      <c r="CX158" s="69" t="inlineStr">
        <is>
          <t>ND</t>
        </is>
      </c>
      <c r="CY158" s="68" t="n"/>
      <c r="CZ158" s="68" t="n"/>
      <c r="DA158" s="71">
        <f>IFERROR(IF(AND(CY158&lt;&gt;"",CZ158&lt;&gt;""),ABS(CY158-CZ158)/ABS(CY158)*100,""),"")</f>
        <v/>
      </c>
      <c r="DB158" s="69" t="inlineStr">
        <is>
          <t>ND</t>
        </is>
      </c>
      <c r="DC158" s="68" t="n"/>
      <c r="DD158" s="68" t="n"/>
      <c r="DE158" s="71">
        <f>IFERROR(IF(AND(DC158&lt;&gt;"",DD158&lt;&gt;""),ABS(DC158-DD158)/ABS(DC158)*100,""),"")</f>
        <v/>
      </c>
      <c r="DF158" s="69" t="inlineStr">
        <is>
          <t>ND</t>
        </is>
      </c>
      <c r="DG158" s="68" t="n"/>
      <c r="DH158" s="68" t="n"/>
      <c r="DI158" s="71">
        <f>IFERROR(IF(AND(DG158&lt;&gt;"",DH158&lt;&gt;""),ABS(DG158-DH158)/ABS(DG158)*100,""),"")</f>
        <v/>
      </c>
      <c r="DJ158" s="69" t="inlineStr">
        <is>
          <t>ND</t>
        </is>
      </c>
      <c r="DK158" s="68" t="n"/>
      <c r="DL158" s="68" t="n"/>
      <c r="DM158" s="71">
        <f>IFERROR(IF(AND(DK158&lt;&gt;"",DL158&lt;&gt;""),ABS(DK158-DL158)/ABS(DK158)*100,""),"")</f>
        <v/>
      </c>
      <c r="DN158" s="69" t="inlineStr">
        <is>
          <t>ND</t>
        </is>
      </c>
      <c r="DO158" s="68" t="n"/>
      <c r="DP158" s="68" t="n"/>
      <c r="DQ158" s="71">
        <f>IFERROR(IF(AND(DO158&lt;&gt;"",DP158&lt;&gt;""),ABS(DO158-DP158)/ABS(DO158)*100,""),"")</f>
        <v/>
      </c>
      <c r="DR158" s="69" t="inlineStr">
        <is>
          <t>ND</t>
        </is>
      </c>
      <c r="DS158" s="68" t="n"/>
      <c r="DT158" s="68" t="n"/>
      <c r="DU158" s="71">
        <f>IFERROR(IF(AND(DS158&lt;&gt;"",DT158&lt;&gt;""),ABS(DS158-DT158)/ABS(DS158)*100,""),"")</f>
        <v/>
      </c>
      <c r="DV158" s="69" t="inlineStr">
        <is>
          <t>ND</t>
        </is>
      </c>
      <c r="DW158" s="70" t="inlineStr">
        <is>
          <t>No data available - see 2018 note.</t>
        </is>
      </c>
    </row>
    <row r="159" ht="15.75" customHeight="1" s="43">
      <c r="A159" s="62" t="n"/>
      <c r="B159" s="62" t="n"/>
      <c r="C159" s="62" t="inlineStr">
        <is>
          <t>Materials</t>
        </is>
      </c>
      <c r="D159" s="62" t="inlineStr">
        <is>
          <t>2021</t>
        </is>
      </c>
      <c r="E159" s="63" t="inlineStr">
        <is>
          <t>L&amp;F 2023 ESG Report (only report covering 2021)</t>
        </is>
      </c>
      <c r="F159" s="62" t="n"/>
      <c r="G159" s="67" t="n">
        <v>0</v>
      </c>
      <c r="H159" s="67" t="n">
        <v>0</v>
      </c>
      <c r="I159" s="65">
        <f>IFERROR(IF(AND(G159&lt;&gt;"",H159&lt;&gt;""),ABS(G159-H159)/ABS(G159)*100,""),"")</f>
        <v/>
      </c>
      <c r="J159" s="62" t="inlineStr">
        <is>
          <t>Claude</t>
        </is>
      </c>
      <c r="K159" s="67" t="n">
        <v>7.8</v>
      </c>
      <c r="L159" s="67" t="n">
        <v>7.8</v>
      </c>
      <c r="M159" s="65">
        <f>IFERROR(IF(AND(K159&lt;&gt;"",L159&lt;&gt;""),ABS(K159-L159)/ABS(K159)*100,""),"")</f>
        <v/>
      </c>
      <c r="N159" s="62" t="inlineStr">
        <is>
          <t>Claude</t>
        </is>
      </c>
      <c r="O159" s="67" t="n"/>
      <c r="P159" s="67" t="n"/>
      <c r="Q159" s="65">
        <f>IFERROR(IF(AND(O159&lt;&gt;"",P159&lt;&gt;""),ABS(O159-P159)/ABS(O159)*100,""),"")</f>
        <v/>
      </c>
      <c r="R159" s="62" t="inlineStr">
        <is>
          <t>ND</t>
        </is>
      </c>
      <c r="S159" s="67" t="n">
        <v>67.72</v>
      </c>
      <c r="T159" s="67" t="n">
        <v>67.73</v>
      </c>
      <c r="U159" s="65">
        <f>IFERROR(IF(AND(S159&lt;&gt;"",T159&lt;&gt;""),ABS(S159-T159)/ABS(S159)*100,""),"")</f>
        <v/>
      </c>
      <c r="V159" s="62" t="inlineStr">
        <is>
          <t>Claude</t>
        </is>
      </c>
      <c r="W159" s="67" t="n"/>
      <c r="X159" s="67" t="n">
        <v>0</v>
      </c>
      <c r="Y159" s="65">
        <f>IFERROR(IF(AND(W159&lt;&gt;"",X159&lt;&gt;""),ABS(W159-X159)/ABS(W159)*100,""),"")</f>
        <v/>
      </c>
      <c r="Z159" s="62" t="inlineStr">
        <is>
          <t>DeepSeek</t>
        </is>
      </c>
      <c r="AA159" s="67" t="n">
        <v>5.26</v>
      </c>
      <c r="AB159" s="67" t="n">
        <v>5.26</v>
      </c>
      <c r="AC159" s="65">
        <f>IFERROR(IF(AND(AA159&lt;&gt;"",AB159&lt;&gt;""),ABS(AA159-AB159)/ABS(AA159)*100,""),"")</f>
        <v/>
      </c>
      <c r="AD159" s="62" t="inlineStr">
        <is>
          <t>Claude</t>
        </is>
      </c>
      <c r="AE159" s="67" t="n"/>
      <c r="AF159" s="67" t="n"/>
      <c r="AG159" s="65">
        <f>IFERROR(IF(AND(AE159&lt;&gt;"",AF159&lt;&gt;""),ABS(AE159-AF159)/ABS(AE159)*100,""),"")</f>
        <v/>
      </c>
      <c r="AH159" s="62" t="inlineStr">
        <is>
          <t>ND</t>
        </is>
      </c>
      <c r="AI159" s="67" t="n">
        <v>0</v>
      </c>
      <c r="AJ159" s="67" t="n">
        <v>0</v>
      </c>
      <c r="AK159" s="65">
        <f>IFERROR(IF(AND(AI159&lt;&gt;"",AJ159&lt;&gt;""),ABS(AI159-AJ159)/ABS(AI159)*100,""),"")</f>
        <v/>
      </c>
      <c r="AL159" s="62" t="inlineStr">
        <is>
          <t>Claude</t>
        </is>
      </c>
      <c r="AM159" s="67" t="n"/>
      <c r="AN159" s="67" t="n"/>
      <c r="AO159" s="65">
        <f>IFERROR(IF(AND(AM159&lt;&gt;"",AN159&lt;&gt;""),ABS(AM159-AN159)/ABS(AM159)*100,""),"")</f>
        <v/>
      </c>
      <c r="AP159" s="62" t="inlineStr">
        <is>
          <t>ND</t>
        </is>
      </c>
      <c r="AQ159" s="67" t="n"/>
      <c r="AR159" s="67" t="n"/>
      <c r="AS159" s="65">
        <f>IFERROR(IF(AND(AQ159&lt;&gt;"",AR159&lt;&gt;""),ABS(AQ159-AR159)/ABS(AQ159)*100,""),"")</f>
        <v/>
      </c>
      <c r="AT159" s="62" t="inlineStr">
        <is>
          <t>ND</t>
        </is>
      </c>
      <c r="AU159" s="67" t="n">
        <v>0</v>
      </c>
      <c r="AV159" s="67" t="n">
        <v>0</v>
      </c>
      <c r="AW159" s="65">
        <f>IFERROR(IF(AND(AU159&lt;&gt;"",AV159&lt;&gt;""),ABS(AU159-AV159)/ABS(AU159)*100,""),"")</f>
        <v/>
      </c>
      <c r="AX159" s="62" t="inlineStr">
        <is>
          <t>Claude</t>
        </is>
      </c>
      <c r="AY159" s="67" t="n">
        <v>42000000</v>
      </c>
      <c r="AZ159" s="67" t="n">
        <v>41607900</v>
      </c>
      <c r="BA159" s="65">
        <f>IFERROR(IF(AND(AY159&lt;&gt;"",AZ159&lt;&gt;""),ABS(AY159-AZ159)/ABS(AY159)*100,""),"")</f>
        <v/>
      </c>
      <c r="BB159" s="62" t="inlineStr">
        <is>
          <t>Claude</t>
        </is>
      </c>
      <c r="BC159" s="67" t="n">
        <v>-6</v>
      </c>
      <c r="BD159" s="67" t="n"/>
      <c r="BE159" s="65">
        <f>IFERROR(IF(AND(BC159&lt;&gt;"",BD159&lt;&gt;""),ABS(BC159-BD159)/ABS(BC159)*100,""),"")</f>
        <v/>
      </c>
      <c r="BF159" s="62" t="inlineStr">
        <is>
          <t>Claude</t>
        </is>
      </c>
      <c r="BG159" s="67" t="n">
        <v>9508</v>
      </c>
      <c r="BH159" s="67" t="n">
        <v>9508</v>
      </c>
      <c r="BI159" s="65">
        <f>IFERROR(IF(AND(BG159&lt;&gt;"",BH159&lt;&gt;""),ABS(BG159-BH159)/ABS(BG159)*100,""),"")</f>
        <v/>
      </c>
      <c r="BJ159" s="62" t="inlineStr">
        <is>
          <t>Claude</t>
        </is>
      </c>
      <c r="BK159" s="67" t="n">
        <v>15</v>
      </c>
      <c r="BL159" s="67" t="n">
        <v>15</v>
      </c>
      <c r="BM159" s="65">
        <f>IFERROR(IF(AND(BK159&lt;&gt;"",BL159&lt;&gt;""),ABS(BK159-BL159)/ABS(BK159)*100,""),"")</f>
        <v/>
      </c>
      <c r="BN159" s="62" t="inlineStr">
        <is>
          <t>Claude</t>
        </is>
      </c>
      <c r="BO159" s="67" t="n">
        <v>3</v>
      </c>
      <c r="BP159" s="67" t="n">
        <v>3</v>
      </c>
      <c r="BQ159" s="65">
        <f>IFERROR(IF(AND(BO159&lt;&gt;"",BP159&lt;&gt;""),ABS(BO159-BP159)/ABS(BO159)*100,""),"")</f>
        <v/>
      </c>
      <c r="BR159" s="62" t="inlineStr">
        <is>
          <t>Claude</t>
        </is>
      </c>
      <c r="BS159" s="67" t="n">
        <v>0</v>
      </c>
      <c r="BT159" s="67" t="n">
        <v>0</v>
      </c>
      <c r="BU159" s="65">
        <f>IFERROR(IF(AND(BS159&lt;&gt;"",BT159&lt;&gt;""),ABS(BS159-BT159)/ABS(BS159)*100,""),"")</f>
        <v/>
      </c>
      <c r="BV159" s="62" t="inlineStr">
        <is>
          <t>Claude</t>
        </is>
      </c>
      <c r="BW159" s="67" t="n">
        <v>100</v>
      </c>
      <c r="BX159" s="67" t="n">
        <v>100</v>
      </c>
      <c r="BY159" s="65">
        <f>IFERROR(IF(AND(BW159&lt;&gt;"",BX159&lt;&gt;""),ABS(BW159-BX159)/ABS(BW159)*100,""),"")</f>
        <v/>
      </c>
      <c r="BZ159" s="62" t="inlineStr">
        <is>
          <t>Claude</t>
        </is>
      </c>
      <c r="CA159" s="67" t="n">
        <v>0.67</v>
      </c>
      <c r="CB159" s="67" t="n">
        <v>0.67</v>
      </c>
      <c r="CC159" s="65">
        <f>IFERROR(IF(AND(CA159&lt;&gt;"",CB159&lt;&gt;""),ABS(CA159-CB159)/ABS(CA159)*100,""),"")</f>
        <v/>
      </c>
      <c r="CD159" s="62" t="inlineStr">
        <is>
          <t>Claude</t>
        </is>
      </c>
      <c r="CE159" s="67" t="n">
        <v>31</v>
      </c>
      <c r="CF159" s="67" t="n">
        <v>31</v>
      </c>
      <c r="CG159" s="65">
        <f>IFERROR(IF(AND(CE159&lt;&gt;"",CF159&lt;&gt;""),ABS(CE159-CF159)/ABS(CE159)*100,""),"")</f>
        <v/>
      </c>
      <c r="CH159" s="62" t="inlineStr">
        <is>
          <t>Claude</t>
        </is>
      </c>
      <c r="CI159" s="67" t="n"/>
      <c r="CJ159" s="67" t="n"/>
      <c r="CK159" s="65">
        <f>IFERROR(IF(AND(CI159&lt;&gt;"",CJ159&lt;&gt;""),ABS(CI159-CJ159)/ABS(CI159)*100,""),"")</f>
        <v/>
      </c>
      <c r="CL159" s="62" t="inlineStr">
        <is>
          <t>ND</t>
        </is>
      </c>
      <c r="CM159" s="67" t="n">
        <v>0</v>
      </c>
      <c r="CN159" s="67" t="n">
        <v>0</v>
      </c>
      <c r="CO159" s="65">
        <f>IFERROR(IF(AND(CM159&lt;&gt;"",CN159&lt;&gt;""),ABS(CM159-CN159)/ABS(CM159)*100,""),"")</f>
        <v/>
      </c>
      <c r="CP159" s="62" t="inlineStr">
        <is>
          <t>Claude</t>
        </is>
      </c>
      <c r="CQ159" s="67" t="n"/>
      <c r="CR159" s="67" t="n"/>
      <c r="CS159" s="65">
        <f>IFERROR(IF(AND(CQ159&lt;&gt;"",CR159&lt;&gt;""),ABS(CQ159-CR159)/ABS(CQ159)*100,""),"")</f>
        <v/>
      </c>
      <c r="CT159" s="62" t="inlineStr">
        <is>
          <t>ND</t>
        </is>
      </c>
      <c r="CU159" s="67" t="n">
        <v>0</v>
      </c>
      <c r="CV159" s="67" t="n">
        <v>0</v>
      </c>
      <c r="CW159" s="65">
        <f>IFERROR(IF(AND(CU159&lt;&gt;"",CV159&lt;&gt;""),ABS(CU159-CV159)/ABS(CU159)*100,""),"")</f>
        <v/>
      </c>
      <c r="CX159" s="62" t="inlineStr">
        <is>
          <t>Claude</t>
        </is>
      </c>
      <c r="CY159" s="68" t="n"/>
      <c r="CZ159" s="68" t="n">
        <v>1</v>
      </c>
      <c r="DA159" s="65">
        <f>IFERROR(IF(AND(CY159&lt;&gt;"",CZ159&lt;&gt;""),ABS(CY159-CZ159)/ABS(CY159)*100,""),"")</f>
        <v/>
      </c>
      <c r="DB159" s="62" t="inlineStr">
        <is>
          <t>DeepSeek</t>
        </is>
      </c>
      <c r="DC159" s="68" t="n"/>
      <c r="DD159" s="68" t="n"/>
      <c r="DE159" s="65">
        <f>IFERROR(IF(AND(DC159&lt;&gt;"",DD159&lt;&gt;""),ABS(DC159-DD159)/ABS(DC159)*100,""),"")</f>
        <v/>
      </c>
      <c r="DF159" s="62" t="inlineStr">
        <is>
          <t>ND</t>
        </is>
      </c>
      <c r="DG159" s="68" t="n"/>
      <c r="DH159" s="68" t="n"/>
      <c r="DI159" s="65">
        <f>IFERROR(IF(AND(DG159&lt;&gt;"",DH159&lt;&gt;""),ABS(DG159-DH159)/ABS(DG159)*100,""),"")</f>
        <v/>
      </c>
      <c r="DJ159" s="62" t="inlineStr">
        <is>
          <t>ND</t>
        </is>
      </c>
      <c r="DK159" s="68" t="n"/>
      <c r="DL159" s="68" t="n"/>
      <c r="DM159" s="65">
        <f>IFERROR(IF(AND(DK159&lt;&gt;"",DL159&lt;&gt;""),ABS(DK159-DL159)/ABS(DK159)*100,""),"")</f>
        <v/>
      </c>
      <c r="DN159" s="62" t="inlineStr">
        <is>
          <t>ND</t>
        </is>
      </c>
      <c r="DO159" s="68" t="n"/>
      <c r="DP159" s="68" t="n"/>
      <c r="DQ159" s="65">
        <f>IFERROR(IF(AND(DO159&lt;&gt;"",DP159&lt;&gt;""),ABS(DO159-DP159)/ABS(DO159)*100,""),"")</f>
        <v/>
      </c>
      <c r="DR159" s="62" t="inlineStr">
        <is>
          <t>ND</t>
        </is>
      </c>
      <c r="DS159" s="68" t="n"/>
      <c r="DT159" s="68" t="n"/>
      <c r="DU159" s="65">
        <f>IFERROR(IF(AND(DS159&lt;&gt;"",DT159&lt;&gt;""),ABS(DS159-DT159)/ABS(DS159)*100,""),"")</f>
        <v/>
      </c>
      <c r="DV159" s="62" t="inlineStr">
        <is>
          <t>ND</t>
        </is>
      </c>
      <c r="DW159" s="63" t="inlineStr">
        <is>
          <t>Claude only (DeepSeek pending). Ind.1=0.00%, no contract workers disclosed at all this year - plausible but worth verifying. Ind.3=na (consistent with Ind.1=0, may be inherently undefined rather than a disclosure gap). Ind.4(New Hire Rate)=67.72, PROXY (denominator uses year-end total employees, may double-count new hires already in that headcount). Ind.7/8=%Disabled=ND (headcount 20, no total workforce given); %Foreign=0.00 (headcount is 0, so % is 0 regardless of denominator - safely computable). Ind.13=-6.00, NEGATIVE gap: women earn MORE than men on average this year - a real, notable finding, not an error. Ind.19=0.67, PROXY: source itself flags ambiguity - this 'Average years of service' figure sits in the report's Turnover sub-section, unclear if it reflects current-workforce tenure or departing-employee tenure specifically. Very low value plausible for a fast-growing company with many recent hires.</t>
        </is>
      </c>
    </row>
    <row r="160" ht="15.75" customHeight="1" s="43">
      <c r="A160" s="69" t="n"/>
      <c r="B160" s="69" t="n"/>
      <c r="C160" s="69" t="inlineStr">
        <is>
          <t>Materials</t>
        </is>
      </c>
      <c r="D160" s="69" t="inlineStr">
        <is>
          <t>2022</t>
        </is>
      </c>
      <c r="E160" s="70" t="inlineStr">
        <is>
          <t>L&amp;F 2023 ESG Report (only report covering 2022)</t>
        </is>
      </c>
      <c r="F160" s="69" t="n"/>
      <c r="G160" s="67" t="n">
        <v>0</v>
      </c>
      <c r="H160" s="67" t="n">
        <v>0</v>
      </c>
      <c r="I160" s="71">
        <f>IFERROR(IF(AND(G160&lt;&gt;"",H160&lt;&gt;""),ABS(G160-H160)/ABS(G160)*100,""),"")</f>
        <v/>
      </c>
      <c r="J160" s="69" t="inlineStr">
        <is>
          <t>Claude</t>
        </is>
      </c>
      <c r="K160" s="67" t="n">
        <v>7.33</v>
      </c>
      <c r="L160" s="67" t="n">
        <v>7.33</v>
      </c>
      <c r="M160" s="71">
        <f>IFERROR(IF(AND(K160&lt;&gt;"",L160&lt;&gt;""),ABS(K160-L160)/ABS(K160)*100,""),"")</f>
        <v/>
      </c>
      <c r="N160" s="69" t="inlineStr">
        <is>
          <t>Claude</t>
        </is>
      </c>
      <c r="O160" s="67" t="n"/>
      <c r="P160" s="67" t="n"/>
      <c r="Q160" s="71">
        <f>IFERROR(IF(AND(O160&lt;&gt;"",P160&lt;&gt;""),ABS(O160-P160)/ABS(O160)*100,""),"")</f>
        <v/>
      </c>
      <c r="R160" s="69" t="inlineStr">
        <is>
          <t>ND</t>
        </is>
      </c>
      <c r="S160" s="67" t="n">
        <v>47.98</v>
      </c>
      <c r="T160" s="67" t="n">
        <v>47.98</v>
      </c>
      <c r="U160" s="71">
        <f>IFERROR(IF(AND(S160&lt;&gt;"",T160&lt;&gt;""),ABS(S160-T160)/ABS(S160)*100,""),"")</f>
        <v/>
      </c>
      <c r="V160" s="69" t="inlineStr">
        <is>
          <t>Claude</t>
        </is>
      </c>
      <c r="W160" s="67" t="n"/>
      <c r="X160" s="67" t="n">
        <v>0</v>
      </c>
      <c r="Y160" s="71">
        <f>IFERROR(IF(AND(W160&lt;&gt;"",X160&lt;&gt;""),ABS(W160-X160)/ABS(W160)*100,""),"")</f>
        <v/>
      </c>
      <c r="Z160" s="69" t="inlineStr">
        <is>
          <t>DeepSeek</t>
        </is>
      </c>
      <c r="AA160" s="67" t="n">
        <v>5.04</v>
      </c>
      <c r="AB160" s="67" t="n">
        <v>5.04</v>
      </c>
      <c r="AC160" s="71">
        <f>IFERROR(IF(AND(AA160&lt;&gt;"",AB160&lt;&gt;""),ABS(AA160-AB160)/ABS(AA160)*100,""),"")</f>
        <v/>
      </c>
      <c r="AD160" s="69" t="inlineStr">
        <is>
          <t>Claude</t>
        </is>
      </c>
      <c r="AE160" s="67" t="n"/>
      <c r="AF160" s="67" t="n"/>
      <c r="AG160" s="71">
        <f>IFERROR(IF(AND(AE160&lt;&gt;"",AF160&lt;&gt;""),ABS(AE160-AF160)/ABS(AE160)*100,""),"")</f>
        <v/>
      </c>
      <c r="AH160" s="69" t="inlineStr">
        <is>
          <t>ND</t>
        </is>
      </c>
      <c r="AI160" s="67" t="n">
        <v>0</v>
      </c>
      <c r="AJ160" s="67" t="n">
        <v>0</v>
      </c>
      <c r="AK160" s="71">
        <f>IFERROR(IF(AND(AI160&lt;&gt;"",AJ160&lt;&gt;""),ABS(AI160-AJ160)/ABS(AI160)*100,""),"")</f>
        <v/>
      </c>
      <c r="AL160" s="69" t="inlineStr">
        <is>
          <t>Claude</t>
        </is>
      </c>
      <c r="AM160" s="67" t="n"/>
      <c r="AN160" s="67" t="n"/>
      <c r="AO160" s="71">
        <f>IFERROR(IF(AND(AM160&lt;&gt;"",AN160&lt;&gt;""),ABS(AM160-AN160)/ABS(AM160)*100,""),"")</f>
        <v/>
      </c>
      <c r="AP160" s="69" t="inlineStr">
        <is>
          <t>ND</t>
        </is>
      </c>
      <c r="AQ160" s="67" t="n"/>
      <c r="AR160" s="67" t="n"/>
      <c r="AS160" s="71">
        <f>IFERROR(IF(AND(AQ160&lt;&gt;"",AR160&lt;&gt;""),ABS(AQ160-AR160)/ABS(AQ160)*100,""),"")</f>
        <v/>
      </c>
      <c r="AT160" s="69" t="inlineStr">
        <is>
          <t>ND</t>
        </is>
      </c>
      <c r="AU160" s="67" t="n">
        <v>0</v>
      </c>
      <c r="AV160" s="67" t="n">
        <v>0</v>
      </c>
      <c r="AW160" s="71">
        <f>IFERROR(IF(AND(AU160&lt;&gt;"",AV160&lt;&gt;""),ABS(AU160-AV160)/ABS(AU160)*100,""),"")</f>
        <v/>
      </c>
      <c r="AX160" s="69" t="inlineStr">
        <is>
          <t>Claude</t>
        </is>
      </c>
      <c r="AY160" s="64" t="n">
        <v>76000000</v>
      </c>
      <c r="AZ160" s="64" t="n">
        <v>53520296</v>
      </c>
      <c r="BA160" s="71">
        <f>IFERROR(IF(AND(AY160&lt;&gt;"",AZ160&lt;&gt;""),ABS(AY160-AZ160)/ABS(AY160)*100,""),"")</f>
        <v/>
      </c>
      <c r="BB160" s="66" t="inlineStr">
        <is>
          <t>MANUAL FLAG</t>
        </is>
      </c>
      <c r="BC160" s="67" t="n">
        <v>-13</v>
      </c>
      <c r="BD160" s="67" t="n"/>
      <c r="BE160" s="71">
        <f>IFERROR(IF(AND(BC160&lt;&gt;"",BD160&lt;&gt;""),ABS(BC160-BD160)/ABS(BC160)*100,""),"")</f>
        <v/>
      </c>
      <c r="BF160" s="69" t="inlineStr">
        <is>
          <t>Claude</t>
        </is>
      </c>
      <c r="BG160" s="67" t="n">
        <v>11682</v>
      </c>
      <c r="BH160" s="67" t="n">
        <v>11682</v>
      </c>
      <c r="BI160" s="71">
        <f>IFERROR(IF(AND(BG160&lt;&gt;"",BH160&lt;&gt;""),ABS(BG160-BH160)/ABS(BG160)*100,""),"")</f>
        <v/>
      </c>
      <c r="BJ160" s="69" t="inlineStr">
        <is>
          <t>Claude</t>
        </is>
      </c>
      <c r="BK160" s="67" t="n">
        <v>18</v>
      </c>
      <c r="BL160" s="67" t="n">
        <v>18</v>
      </c>
      <c r="BM160" s="71">
        <f>IFERROR(IF(AND(BK160&lt;&gt;"",BL160&lt;&gt;""),ABS(BK160-BL160)/ABS(BK160)*100,""),"")</f>
        <v/>
      </c>
      <c r="BN160" s="69" t="inlineStr">
        <is>
          <t>Claude</t>
        </is>
      </c>
      <c r="BO160" s="67" t="n">
        <v>5</v>
      </c>
      <c r="BP160" s="67" t="n">
        <v>5</v>
      </c>
      <c r="BQ160" s="71">
        <f>IFERROR(IF(AND(BO160&lt;&gt;"",BP160&lt;&gt;""),ABS(BO160-BP160)/ABS(BO160)*100,""),"")</f>
        <v/>
      </c>
      <c r="BR160" s="69" t="inlineStr">
        <is>
          <t>Claude</t>
        </is>
      </c>
      <c r="BS160" s="67" t="n">
        <v>3</v>
      </c>
      <c r="BT160" s="67" t="n">
        <v>3</v>
      </c>
      <c r="BU160" s="71">
        <f>IFERROR(IF(AND(BS160&lt;&gt;"",BT160&lt;&gt;""),ABS(BS160-BT160)/ABS(BS160)*100,""),"")</f>
        <v/>
      </c>
      <c r="BV160" s="69" t="inlineStr">
        <is>
          <t>Claude</t>
        </is>
      </c>
      <c r="BW160" s="67" t="n">
        <v>100</v>
      </c>
      <c r="BX160" s="67" t="n">
        <v>100</v>
      </c>
      <c r="BY160" s="71">
        <f>IFERROR(IF(AND(BW160&lt;&gt;"",BX160&lt;&gt;""),ABS(BW160-BX160)/ABS(BW160)*100,""),"")</f>
        <v/>
      </c>
      <c r="BZ160" s="69" t="inlineStr">
        <is>
          <t>Claude</t>
        </is>
      </c>
      <c r="CA160" s="67" t="n">
        <v>0.75</v>
      </c>
      <c r="CB160" s="67" t="n">
        <v>0.75</v>
      </c>
      <c r="CC160" s="71">
        <f>IFERROR(IF(AND(CA160&lt;&gt;"",CB160&lt;&gt;""),ABS(CA160-CB160)/ABS(CA160)*100,""),"")</f>
        <v/>
      </c>
      <c r="CD160" s="69" t="inlineStr">
        <is>
          <t>Claude</t>
        </is>
      </c>
      <c r="CE160" s="67" t="n">
        <v>18</v>
      </c>
      <c r="CF160" s="67" t="n">
        <v>18</v>
      </c>
      <c r="CG160" s="71">
        <f>IFERROR(IF(AND(CE160&lt;&gt;"",CF160&lt;&gt;""),ABS(CE160-CF160)/ABS(CE160)*100,""),"")</f>
        <v/>
      </c>
      <c r="CH160" s="69" t="inlineStr">
        <is>
          <t>Claude</t>
        </is>
      </c>
      <c r="CI160" s="67" t="n"/>
      <c r="CJ160" s="67" t="n"/>
      <c r="CK160" s="71">
        <f>IFERROR(IF(AND(CI160&lt;&gt;"",CJ160&lt;&gt;""),ABS(CI160-CJ160)/ABS(CI160)*100,""),"")</f>
        <v/>
      </c>
      <c r="CL160" s="69" t="inlineStr">
        <is>
          <t>ND</t>
        </is>
      </c>
      <c r="CM160" s="67" t="n">
        <v>0</v>
      </c>
      <c r="CN160" s="67" t="n">
        <v>0</v>
      </c>
      <c r="CO160" s="71">
        <f>IFERROR(IF(AND(CM160&lt;&gt;"",CN160&lt;&gt;""),ABS(CM160-CN160)/ABS(CM160)*100,""),"")</f>
        <v/>
      </c>
      <c r="CP160" s="69" t="inlineStr">
        <is>
          <t>Claude</t>
        </is>
      </c>
      <c r="CQ160" s="67" t="n"/>
      <c r="CR160" s="67" t="n"/>
      <c r="CS160" s="71">
        <f>IFERROR(IF(AND(CQ160&lt;&gt;"",CR160&lt;&gt;""),ABS(CQ160-CR160)/ABS(CQ160)*100,""),"")</f>
        <v/>
      </c>
      <c r="CT160" s="69" t="inlineStr">
        <is>
          <t>ND</t>
        </is>
      </c>
      <c r="CU160" s="67" t="n">
        <v>0</v>
      </c>
      <c r="CV160" s="67" t="n">
        <v>0</v>
      </c>
      <c r="CW160" s="71">
        <f>IFERROR(IF(AND(CU160&lt;&gt;"",CV160&lt;&gt;""),ABS(CU160-CV160)/ABS(CU160)*100,""),"")</f>
        <v/>
      </c>
      <c r="CX160" s="69" t="inlineStr">
        <is>
          <t>Claude</t>
        </is>
      </c>
      <c r="CY160" s="68" t="n"/>
      <c r="CZ160" s="68" t="n">
        <v>1</v>
      </c>
      <c r="DA160" s="71">
        <f>IFERROR(IF(AND(CY160&lt;&gt;"",CZ160&lt;&gt;""),ABS(CY160-CZ160)/ABS(CY160)*100,""),"")</f>
        <v/>
      </c>
      <c r="DB160" s="69" t="inlineStr">
        <is>
          <t>DeepSeek</t>
        </is>
      </c>
      <c r="DC160" s="68" t="n"/>
      <c r="DD160" s="68" t="n"/>
      <c r="DE160" s="71">
        <f>IFERROR(IF(AND(DC160&lt;&gt;"",DD160&lt;&gt;""),ABS(DC160-DD160)/ABS(DC160)*100,""),"")</f>
        <v/>
      </c>
      <c r="DF160" s="69" t="inlineStr">
        <is>
          <t>ND</t>
        </is>
      </c>
      <c r="DG160" s="68" t="n"/>
      <c r="DH160" s="68" t="n"/>
      <c r="DI160" s="71">
        <f>IFERROR(IF(AND(DG160&lt;&gt;"",DH160&lt;&gt;""),ABS(DG160-DH160)/ABS(DG160)*100,""),"")</f>
        <v/>
      </c>
      <c r="DJ160" s="69" t="inlineStr">
        <is>
          <t>ND</t>
        </is>
      </c>
      <c r="DK160" s="68" t="n"/>
      <c r="DL160" s="68" t="n"/>
      <c r="DM160" s="71">
        <f>IFERROR(IF(AND(DK160&lt;&gt;"",DL160&lt;&gt;""),ABS(DK160-DL160)/ABS(DK160)*100,""),"")</f>
        <v/>
      </c>
      <c r="DN160" s="69" t="inlineStr">
        <is>
          <t>ND</t>
        </is>
      </c>
      <c r="DO160" s="68" t="n"/>
      <c r="DP160" s="68" t="n"/>
      <c r="DQ160" s="71">
        <f>IFERROR(IF(AND(DO160&lt;&gt;"",DP160&lt;&gt;""),ABS(DO160-DP160)/ABS(DO160)*100,""),"")</f>
        <v/>
      </c>
      <c r="DR160" s="69" t="inlineStr">
        <is>
          <t>ND</t>
        </is>
      </c>
      <c r="DS160" s="68" t="n"/>
      <c r="DT160" s="68" t="n"/>
      <c r="DU160" s="71">
        <f>IFERROR(IF(AND(DS160&lt;&gt;"",DT160&lt;&gt;""),ABS(DS160-DT160)/ABS(DS160)*100,""),"")</f>
        <v/>
      </c>
      <c r="DV160" s="69" t="inlineStr">
        <is>
          <t>ND</t>
        </is>
      </c>
      <c r="DW160" s="70" t="inlineStr">
        <is>
          <t>Claude only (DeepSeek pending). Ind.4=47.98, PROXY (same denominator caveat). Ind.7/8: %Disabled=ND (headcount 27); %Foreign=0.00 (headcount 0). Ind.12=76,000,000 - nearly DOUBLES from 2021's 42,000,000, plausible for a rapidly growing company but worth noting the magnitude. Ind.13=-13.00, negative gap continues. Ind.19=0.75, same proxy ambiguity as 2021. || DEEPSEEK RECONCILIATION - MANUAL FLAGS: Ind.12 (Annual Pay): Claude=76000000, DeepSeek=53520296, Diff=29.6%</t>
        </is>
      </c>
    </row>
    <row r="161" ht="15.75" customHeight="1" s="43">
      <c r="A161" s="62" t="n"/>
      <c r="B161" s="62" t="n"/>
      <c r="C161" s="62" t="inlineStr">
        <is>
          <t>Materials</t>
        </is>
      </c>
      <c r="D161" s="62" t="inlineStr">
        <is>
          <t>2023</t>
        </is>
      </c>
      <c r="E161" s="63" t="inlineStr">
        <is>
          <t>L&amp;F 2023 ESG Report (only report covering 2023)</t>
        </is>
      </c>
      <c r="F161" s="62" t="n"/>
      <c r="G161" s="67" t="n">
        <v>0</v>
      </c>
      <c r="H161" s="67" t="n">
        <v>0</v>
      </c>
      <c r="I161" s="65">
        <f>IFERROR(IF(AND(G161&lt;&gt;"",H161&lt;&gt;""),ABS(G161-H161)/ABS(G161)*100,""),"")</f>
        <v/>
      </c>
      <c r="J161" s="62" t="inlineStr">
        <is>
          <t>Claude</t>
        </is>
      </c>
      <c r="K161" s="67" t="n">
        <v>8.220000000000001</v>
      </c>
      <c r="L161" s="67" t="n">
        <v>8.221500000000001</v>
      </c>
      <c r="M161" s="65">
        <f>IFERROR(IF(AND(K161&lt;&gt;"",L161&lt;&gt;""),ABS(K161-L161)/ABS(K161)*100,""),"")</f>
        <v/>
      </c>
      <c r="N161" s="62" t="inlineStr">
        <is>
          <t>Claude</t>
        </is>
      </c>
      <c r="O161" s="67" t="n"/>
      <c r="P161" s="67" t="n"/>
      <c r="Q161" s="65">
        <f>IFERROR(IF(AND(O161&lt;&gt;"",P161&lt;&gt;""),ABS(O161-P161)/ABS(O161)*100,""),"")</f>
        <v/>
      </c>
      <c r="R161" s="62" t="inlineStr">
        <is>
          <t>ND</t>
        </is>
      </c>
      <c r="S161" s="67" t="n">
        <v>31.26</v>
      </c>
      <c r="T161" s="67" t="n">
        <v>31.26</v>
      </c>
      <c r="U161" s="65">
        <f>IFERROR(IF(AND(S161&lt;&gt;"",T161&lt;&gt;""),ABS(S161-T161)/ABS(S161)*100,""),"")</f>
        <v/>
      </c>
      <c r="V161" s="62" t="inlineStr">
        <is>
          <t>Claude</t>
        </is>
      </c>
      <c r="W161" s="67" t="n"/>
      <c r="X161" s="67" t="n"/>
      <c r="Y161" s="65">
        <f>IFERROR(IF(AND(W161&lt;&gt;"",X161&lt;&gt;""),ABS(W161-X161)/ABS(W161)*100,""),"")</f>
        <v/>
      </c>
      <c r="Z161" s="62" t="inlineStr">
        <is>
          <t>ND</t>
        </is>
      </c>
      <c r="AA161" s="67" t="n">
        <v>10.02</v>
      </c>
      <c r="AB161" s="67" t="n">
        <v>10.02</v>
      </c>
      <c r="AC161" s="65">
        <f>IFERROR(IF(AND(AA161&lt;&gt;"",AB161&lt;&gt;""),ABS(AA161-AB161)/ABS(AA161)*100,""),"")</f>
        <v/>
      </c>
      <c r="AD161" s="62" t="inlineStr">
        <is>
          <t>Claude</t>
        </is>
      </c>
      <c r="AE161" s="67" t="n"/>
      <c r="AF161" s="67" t="n"/>
      <c r="AG161" s="65">
        <f>IFERROR(IF(AND(AE161&lt;&gt;"",AF161&lt;&gt;""),ABS(AE161-AF161)/ABS(AE161)*100,""),"")</f>
        <v/>
      </c>
      <c r="AH161" s="62" t="inlineStr">
        <is>
          <t>ND</t>
        </is>
      </c>
      <c r="AI161" s="67" t="n">
        <v>0</v>
      </c>
      <c r="AJ161" s="67" t="n">
        <v>0</v>
      </c>
      <c r="AK161" s="65">
        <f>IFERROR(IF(AND(AI161&lt;&gt;"",AJ161&lt;&gt;""),ABS(AI161-AJ161)/ABS(AI161)*100,""),"")</f>
        <v/>
      </c>
      <c r="AL161" s="62" t="inlineStr">
        <is>
          <t>Claude</t>
        </is>
      </c>
      <c r="AM161" s="67" t="n"/>
      <c r="AN161" s="67" t="n">
        <v>7.59</v>
      </c>
      <c r="AO161" s="65">
        <f>IFERROR(IF(AND(AM161&lt;&gt;"",AN161&lt;&gt;""),ABS(AM161-AN161)/ABS(AM161)*100,""),"")</f>
        <v/>
      </c>
      <c r="AP161" s="62" t="inlineStr">
        <is>
          <t>DeepSeek</t>
        </is>
      </c>
      <c r="AQ161" s="67" t="n"/>
      <c r="AR161" s="67" t="n">
        <v>3.85</v>
      </c>
      <c r="AS161" s="65">
        <f>IFERROR(IF(AND(AQ161&lt;&gt;"",AR161&lt;&gt;""),ABS(AQ161-AR161)/ABS(AQ161)*100,""),"")</f>
        <v/>
      </c>
      <c r="AT161" s="62" t="inlineStr">
        <is>
          <t>DeepSeek</t>
        </is>
      </c>
      <c r="AU161" s="64" t="n">
        <v>12.5</v>
      </c>
      <c r="AV161" s="64" t="n">
        <v>37.5</v>
      </c>
      <c r="AW161" s="65">
        <f>IFERROR(IF(AND(AU161&lt;&gt;"",AV161&lt;&gt;""),ABS(AU161-AV161)/ABS(AU161)*100,""),"")</f>
        <v/>
      </c>
      <c r="AX161" s="66" t="inlineStr">
        <is>
          <t>MANUAL FLAG</t>
        </is>
      </c>
      <c r="AY161" s="64" t="n">
        <v>78000000</v>
      </c>
      <c r="AZ161" s="64" t="n">
        <v>45253000</v>
      </c>
      <c r="BA161" s="65">
        <f>IFERROR(IF(AND(AY161&lt;&gt;"",AZ161&lt;&gt;""),ABS(AY161-AZ161)/ABS(AY161)*100,""),"")</f>
        <v/>
      </c>
      <c r="BB161" s="66" t="inlineStr">
        <is>
          <t>MANUAL FLAG</t>
        </is>
      </c>
      <c r="BC161" s="64" t="n">
        <v>-11</v>
      </c>
      <c r="BD161" s="64" t="n">
        <v>56</v>
      </c>
      <c r="BE161" s="65">
        <f>IFERROR(IF(AND(BC161&lt;&gt;"",BD161&lt;&gt;""),ABS(BC161-BD161)/ABS(BC161)*100,""),"")</f>
        <v/>
      </c>
      <c r="BF161" s="66" t="inlineStr">
        <is>
          <t>MANUAL FLAG</t>
        </is>
      </c>
      <c r="BG161" s="64" t="n">
        <v>85624</v>
      </c>
      <c r="BH161" s="64" t="n">
        <v>197428</v>
      </c>
      <c r="BI161" s="65">
        <f>IFERROR(IF(AND(BG161&lt;&gt;"",BH161&lt;&gt;""),ABS(BG161-BH161)/ABS(BG161)*100,""),"")</f>
        <v/>
      </c>
      <c r="BJ161" s="66" t="inlineStr">
        <is>
          <t>MANUAL FLAG</t>
        </is>
      </c>
      <c r="BK161" s="67" t="n">
        <v>16</v>
      </c>
      <c r="BL161" s="67" t="n"/>
      <c r="BM161" s="65">
        <f>IFERROR(IF(AND(BK161&lt;&gt;"",BL161&lt;&gt;""),ABS(BK161-BL161)/ABS(BK161)*100,""),"")</f>
        <v/>
      </c>
      <c r="BN161" s="62" t="inlineStr">
        <is>
          <t>Claude</t>
        </is>
      </c>
      <c r="BO161" s="64" t="n">
        <v>8</v>
      </c>
      <c r="BP161" s="64" t="n">
        <v>11</v>
      </c>
      <c r="BQ161" s="65">
        <f>IFERROR(IF(AND(BO161&lt;&gt;"",BP161&lt;&gt;""),ABS(BO161-BP161)/ABS(BO161)*100,""),"")</f>
        <v/>
      </c>
      <c r="BR161" s="66" t="inlineStr">
        <is>
          <t>MANUAL FLAG</t>
        </is>
      </c>
      <c r="BS161" s="64" t="n">
        <v>5</v>
      </c>
      <c r="BT161" s="64" t="n">
        <v>206</v>
      </c>
      <c r="BU161" s="65">
        <f>IFERROR(IF(AND(BS161&lt;&gt;"",BT161&lt;&gt;""),ABS(BS161-BT161)/ABS(BS161)*100,""),"")</f>
        <v/>
      </c>
      <c r="BV161" s="66" t="inlineStr">
        <is>
          <t>MANUAL FLAG</t>
        </is>
      </c>
      <c r="BW161" s="67" t="n">
        <v>100</v>
      </c>
      <c r="BX161" s="67" t="n">
        <v>100</v>
      </c>
      <c r="BY161" s="65">
        <f>IFERROR(IF(AND(BW161&lt;&gt;"",BX161&lt;&gt;""),ABS(BW161-BX161)/ABS(BW161)*100,""),"")</f>
        <v/>
      </c>
      <c r="BZ161" s="62" t="inlineStr">
        <is>
          <t>Claude</t>
        </is>
      </c>
      <c r="CA161" s="67" t="n">
        <v>1.67</v>
      </c>
      <c r="CB161" s="67" t="n">
        <v>1.67</v>
      </c>
      <c r="CC161" s="65">
        <f>IFERROR(IF(AND(CA161&lt;&gt;"",CB161&lt;&gt;""),ABS(CA161-CB161)/ABS(CA161)*100,""),"")</f>
        <v/>
      </c>
      <c r="CD161" s="62" t="inlineStr">
        <is>
          <t>Claude</t>
        </is>
      </c>
      <c r="CE161" s="67" t="n">
        <v>15</v>
      </c>
      <c r="CF161" s="67" t="n">
        <v>15</v>
      </c>
      <c r="CG161" s="65">
        <f>IFERROR(IF(AND(CE161&lt;&gt;"",CF161&lt;&gt;""),ABS(CE161-CF161)/ABS(CE161)*100,""),"")</f>
        <v/>
      </c>
      <c r="CH161" s="62" t="inlineStr">
        <is>
          <t>Claude</t>
        </is>
      </c>
      <c r="CI161" s="67" t="n"/>
      <c r="CJ161" s="67" t="n">
        <v>0</v>
      </c>
      <c r="CK161" s="65">
        <f>IFERROR(IF(AND(CI161&lt;&gt;"",CJ161&lt;&gt;""),ABS(CI161-CJ161)/ABS(CI161)*100,""),"")</f>
        <v/>
      </c>
      <c r="CL161" s="62" t="inlineStr">
        <is>
          <t>DeepSeek</t>
        </is>
      </c>
      <c r="CM161" s="67" t="n">
        <v>0</v>
      </c>
      <c r="CN161" s="67" t="n"/>
      <c r="CO161" s="65">
        <f>IFERROR(IF(AND(CM161&lt;&gt;"",CN161&lt;&gt;""),ABS(CM161-CN161)/ABS(CM161)*100,""),"")</f>
        <v/>
      </c>
      <c r="CP161" s="62" t="inlineStr">
        <is>
          <t>Claude</t>
        </is>
      </c>
      <c r="CQ161" s="67" t="n"/>
      <c r="CR161" s="67" t="n">
        <v>0.51</v>
      </c>
      <c r="CS161" s="65">
        <f>IFERROR(IF(AND(CQ161&lt;&gt;"",CR161&lt;&gt;""),ABS(CQ161-CR161)/ABS(CQ161)*100,""),"")</f>
        <v/>
      </c>
      <c r="CT161" s="62" t="inlineStr">
        <is>
          <t>DeepSeek</t>
        </is>
      </c>
      <c r="CU161" s="67" t="n">
        <v>0</v>
      </c>
      <c r="CV161" s="67" t="n">
        <v>0</v>
      </c>
      <c r="CW161" s="65">
        <f>IFERROR(IF(AND(CU161&lt;&gt;"",CV161&lt;&gt;""),ABS(CU161-CV161)/ABS(CU161)*100,""),"")</f>
        <v/>
      </c>
      <c r="CX161" s="62" t="inlineStr">
        <is>
          <t>Claude</t>
        </is>
      </c>
      <c r="CY161" s="68" t="n"/>
      <c r="CZ161" s="68" t="n"/>
      <c r="DA161" s="65">
        <f>IFERROR(IF(AND(CY161&lt;&gt;"",CZ161&lt;&gt;""),ABS(CY161-CZ161)/ABS(CY161)*100,""),"")</f>
        <v/>
      </c>
      <c r="DB161" s="62" t="inlineStr">
        <is>
          <t>ND</t>
        </is>
      </c>
      <c r="DC161" s="68" t="n"/>
      <c r="DD161" s="68" t="n">
        <v>5</v>
      </c>
      <c r="DE161" s="65">
        <f>IFERROR(IF(AND(DC161&lt;&gt;"",DD161&lt;&gt;""),ABS(DC161-DD161)/ABS(DC161)*100,""),"")</f>
        <v/>
      </c>
      <c r="DF161" s="62" t="inlineStr">
        <is>
          <t>DeepSeek</t>
        </is>
      </c>
      <c r="DG161" s="68" t="n"/>
      <c r="DH161" s="68" t="n"/>
      <c r="DI161" s="65">
        <f>IFERROR(IF(AND(DG161&lt;&gt;"",DH161&lt;&gt;""),ABS(DG161-DH161)/ABS(DG161)*100,""),"")</f>
        <v/>
      </c>
      <c r="DJ161" s="62" t="inlineStr">
        <is>
          <t>ND</t>
        </is>
      </c>
      <c r="DK161" s="68" t="n"/>
      <c r="DL161" s="68" t="n"/>
      <c r="DM161" s="65">
        <f>IFERROR(IF(AND(DK161&lt;&gt;"",DL161&lt;&gt;""),ABS(DK161-DL161)/ABS(DK161)*100,""),"")</f>
        <v/>
      </c>
      <c r="DN161" s="62" t="inlineStr">
        <is>
          <t>ND</t>
        </is>
      </c>
      <c r="DO161" s="68" t="n"/>
      <c r="DP161" s="68" t="n"/>
      <c r="DQ161" s="65">
        <f>IFERROR(IF(AND(DO161&lt;&gt;"",DP161&lt;&gt;""),ABS(DO161-DP161)/ABS(DO161)*100,""),"")</f>
        <v/>
      </c>
      <c r="DR161" s="62" t="inlineStr">
        <is>
          <t>ND</t>
        </is>
      </c>
      <c r="DS161" s="68" t="n"/>
      <c r="DT161" s="68" t="n"/>
      <c r="DU161" s="65">
        <f>IFERROR(IF(AND(DS161&lt;&gt;"",DT161&lt;&gt;""),ABS(DS161-DT161)/ABS(DS161)*100,""),"")</f>
        <v/>
      </c>
      <c r="DV161" s="62" t="inlineStr">
        <is>
          <t>ND</t>
        </is>
      </c>
      <c r="DW161" s="63" t="inlineStr">
        <is>
          <t>Claude only (DeepSeek pending). Ind.4=31.26, PROXY. Ind.7/8: %Disabled=ND (headcount 32); %Foreign=0.00 (headcount 0). Ind.11=12.50, first year with nonzero board-gender data (0% in 2021/2022). **Ind.14 (Training Budget)=85,624 - a ~7.3x JUMP from 2022's 11,682 - worth flagging for magnitude, plausible but notable.** Ind.19=1.67, PROXY, same ambiguity, continuing an upward trend from 0.67/0.75 - plausible as workforce matures. || DEEPSEEK RECONCILIATION - MANUAL FLAGS: Ind.11 (Female Board Directors): Claude=12.5, DeepSeek=37.5, Diff=200.0%; Ind.12 (Annual Pay): Claude=78000000, DeepSeek=45253000, Diff=42.0%; Ind.13 (Gender Pay Gap): Claude=-11, DeepSeek=56, Diff=609.1%; Ind.14 (Training Budget/Employee): Claude=85624, DeepSeek=197428, Diff=130.6%; Ind.16 (Parental Leave F): Claude=8, DeepSeek=11, Diff=37.5%; Ind.17 (Parental Leave M): Claude=5, DeepSeek=206, Diff=4020.0% || NOTE: Ind.17 (Parental Leave Male) DeepSeek value of 206 for 2023 is IMPLAUSIBLE for this company's small workforce size (compare Female=11 same year, and Claude's own value of 5) - very likely a DeepSeek extraction error (possibly confused with a different metric or company-wide headcount figure). Ind.13 (Gender Pay Gap) also shows a SIGN FLIP: Claude found -11% (women earn more), DeepSeek found +56% (men earn much more) - this is a serious, not just magnitude, disagreement worth priority manual verification. Ind.11 (Female Board Directors) conflict may stem from DeepSeek using a different board-reference table (per its own note, it used a tabulated page-79 figure of 3 female directors rather than a more current listing).</t>
        </is>
      </c>
    </row>
    <row r="162" ht="15.75" customHeight="1" s="43">
      <c r="A162" s="69" t="n"/>
      <c r="B162" s="69" t="n"/>
      <c r="C162" s="69" t="inlineStr">
        <is>
          <t>Materials</t>
        </is>
      </c>
      <c r="D162" s="69" t="inlineStr">
        <is>
          <t>2024</t>
        </is>
      </c>
      <c r="E162" s="70" t="inlineStr">
        <is>
          <t>No data - L&amp;F 2023 ESG Report window is 2021-2023</t>
        </is>
      </c>
      <c r="F162" s="69" t="n"/>
      <c r="G162" s="67" t="n"/>
      <c r="H162" s="67" t="n">
        <v>0</v>
      </c>
      <c r="I162" s="71">
        <f>IFERROR(IF(AND(G162&lt;&gt;"",H162&lt;&gt;""),ABS(G162-H162)/ABS(G162)*100,""),"")</f>
        <v/>
      </c>
      <c r="J162" s="69" t="inlineStr">
        <is>
          <t>DeepSeek</t>
        </is>
      </c>
      <c r="K162" s="67" t="n"/>
      <c r="L162" s="67" t="n">
        <v>9.4339</v>
      </c>
      <c r="M162" s="71">
        <f>IFERROR(IF(AND(K162&lt;&gt;"",L162&lt;&gt;""),ABS(K162-L162)/ABS(K162)*100,""),"")</f>
        <v/>
      </c>
      <c r="N162" s="69" t="inlineStr">
        <is>
          <t>DeepSeek</t>
        </is>
      </c>
      <c r="O162" s="67" t="n"/>
      <c r="P162" s="67" t="n"/>
      <c r="Q162" s="71">
        <f>IFERROR(IF(AND(O162&lt;&gt;"",P162&lt;&gt;""),ABS(O162-P162)/ABS(O162)*100,""),"")</f>
        <v/>
      </c>
      <c r="R162" s="69" t="inlineStr">
        <is>
          <t>ND</t>
        </is>
      </c>
      <c r="S162" s="67" t="n"/>
      <c r="T162" s="67" t="n">
        <v>8.949999999999999</v>
      </c>
      <c r="U162" s="71">
        <f>IFERROR(IF(AND(S162&lt;&gt;"",T162&lt;&gt;""),ABS(S162-T162)/ABS(S162)*100,""),"")</f>
        <v/>
      </c>
      <c r="V162" s="69" t="inlineStr">
        <is>
          <t>DeepSeek</t>
        </is>
      </c>
      <c r="W162" s="67" t="n"/>
      <c r="X162" s="67" t="n"/>
      <c r="Y162" s="71">
        <f>IFERROR(IF(AND(W162&lt;&gt;"",X162&lt;&gt;""),ABS(W162-X162)/ABS(W162)*100,""),"")</f>
        <v/>
      </c>
      <c r="Z162" s="69" t="inlineStr">
        <is>
          <t>ND</t>
        </is>
      </c>
      <c r="AA162" s="67" t="n"/>
      <c r="AB162" s="67" t="n">
        <v>21.77</v>
      </c>
      <c r="AC162" s="71">
        <f>IFERROR(IF(AND(AA162&lt;&gt;"",AB162&lt;&gt;""),ABS(AA162-AB162)/ABS(AA162)*100,""),"")</f>
        <v/>
      </c>
      <c r="AD162" s="69" t="inlineStr">
        <is>
          <t>DeepSeek</t>
        </is>
      </c>
      <c r="AE162" s="67" t="n"/>
      <c r="AF162" s="67" t="n"/>
      <c r="AG162" s="71">
        <f>IFERROR(IF(AND(AE162&lt;&gt;"",AF162&lt;&gt;""),ABS(AE162-AF162)/ABS(AE162)*100,""),"")</f>
        <v/>
      </c>
      <c r="AH162" s="69" t="inlineStr">
        <is>
          <t>ND</t>
        </is>
      </c>
      <c r="AI162" s="67" t="n"/>
      <c r="AJ162" s="67" t="n">
        <v>0</v>
      </c>
      <c r="AK162" s="71">
        <f>IFERROR(IF(AND(AI162&lt;&gt;"",AJ162&lt;&gt;""),ABS(AI162-AJ162)/ABS(AI162)*100,""),"")</f>
        <v/>
      </c>
      <c r="AL162" s="69" t="inlineStr">
        <is>
          <t>DeepSeek</t>
        </is>
      </c>
      <c r="AM162" s="67" t="n"/>
      <c r="AN162" s="67" t="n">
        <v>7.17</v>
      </c>
      <c r="AO162" s="71">
        <f>IFERROR(IF(AND(AM162&lt;&gt;"",AN162&lt;&gt;""),ABS(AM162-AN162)/ABS(AM162)*100,""),"")</f>
        <v/>
      </c>
      <c r="AP162" s="69" t="inlineStr">
        <is>
          <t>DeepSeek</t>
        </is>
      </c>
      <c r="AQ162" s="67" t="n"/>
      <c r="AR162" s="67" t="n">
        <v>3.45</v>
      </c>
      <c r="AS162" s="71">
        <f>IFERROR(IF(AND(AQ162&lt;&gt;"",AR162&lt;&gt;""),ABS(AQ162-AR162)/ABS(AQ162)*100,""),"")</f>
        <v/>
      </c>
      <c r="AT162" s="69" t="inlineStr">
        <is>
          <t>DeepSeek</t>
        </is>
      </c>
      <c r="AU162" s="67" t="n"/>
      <c r="AV162" s="67" t="n">
        <v>37.5</v>
      </c>
      <c r="AW162" s="71">
        <f>IFERROR(IF(AND(AU162&lt;&gt;"",AV162&lt;&gt;""),ABS(AU162-AV162)/ABS(AU162)*100,""),"")</f>
        <v/>
      </c>
      <c r="AX162" s="69" t="inlineStr">
        <is>
          <t>DeepSeek</t>
        </is>
      </c>
      <c r="AY162" s="67" t="n"/>
      <c r="AZ162" s="67" t="n">
        <v>51080000</v>
      </c>
      <c r="BA162" s="71">
        <f>IFERROR(IF(AND(AY162&lt;&gt;"",AZ162&lt;&gt;""),ABS(AY162-AZ162)/ABS(AY162)*100,""),"")</f>
        <v/>
      </c>
      <c r="BB162" s="69" t="inlineStr">
        <is>
          <t>DeepSeek</t>
        </is>
      </c>
      <c r="BC162" s="67" t="n"/>
      <c r="BD162" s="67" t="n">
        <v>51</v>
      </c>
      <c r="BE162" s="71">
        <f>IFERROR(IF(AND(BC162&lt;&gt;"",BD162&lt;&gt;""),ABS(BC162-BD162)/ABS(BC162)*100,""),"")</f>
        <v/>
      </c>
      <c r="BF162" s="69" t="inlineStr">
        <is>
          <t>DeepSeek</t>
        </is>
      </c>
      <c r="BG162" s="67" t="n"/>
      <c r="BH162" s="67" t="n">
        <v>180767</v>
      </c>
      <c r="BI162" s="71">
        <f>IFERROR(IF(AND(BG162&lt;&gt;"",BH162&lt;&gt;""),ABS(BG162-BH162)/ABS(BG162)*100,""),"")</f>
        <v/>
      </c>
      <c r="BJ162" s="69" t="inlineStr">
        <is>
          <t>DeepSeek</t>
        </is>
      </c>
      <c r="BK162" s="67" t="n"/>
      <c r="BL162" s="67" t="n"/>
      <c r="BM162" s="71">
        <f>IFERROR(IF(AND(BK162&lt;&gt;"",BL162&lt;&gt;""),ABS(BK162-BL162)/ABS(BK162)*100,""),"")</f>
        <v/>
      </c>
      <c r="BN162" s="69" t="inlineStr">
        <is>
          <t>ND</t>
        </is>
      </c>
      <c r="BO162" s="67" t="n"/>
      <c r="BP162" s="67" t="n">
        <v>15</v>
      </c>
      <c r="BQ162" s="71">
        <f>IFERROR(IF(AND(BO162&lt;&gt;"",BP162&lt;&gt;""),ABS(BO162-BP162)/ABS(BO162)*100,""),"")</f>
        <v/>
      </c>
      <c r="BR162" s="69" t="inlineStr">
        <is>
          <t>DeepSeek</t>
        </is>
      </c>
      <c r="BS162" s="67" t="n"/>
      <c r="BT162" s="67" t="n">
        <v>212</v>
      </c>
      <c r="BU162" s="71">
        <f>IFERROR(IF(AND(BS162&lt;&gt;"",BT162&lt;&gt;""),ABS(BS162-BT162)/ABS(BS162)*100,""),"")</f>
        <v/>
      </c>
      <c r="BV162" s="69" t="inlineStr">
        <is>
          <t>DeepSeek</t>
        </is>
      </c>
      <c r="BW162" s="67" t="n"/>
      <c r="BX162" s="67" t="n">
        <v>100</v>
      </c>
      <c r="BY162" s="71">
        <f>IFERROR(IF(AND(BW162&lt;&gt;"",BX162&lt;&gt;""),ABS(BW162-BX162)/ABS(BW162)*100,""),"")</f>
        <v/>
      </c>
      <c r="BZ162" s="69" t="inlineStr">
        <is>
          <t>DeepSeek</t>
        </is>
      </c>
      <c r="CA162" s="67" t="n"/>
      <c r="CB162" s="67" t="n">
        <v>2.33</v>
      </c>
      <c r="CC162" s="71">
        <f>IFERROR(IF(AND(CA162&lt;&gt;"",CB162&lt;&gt;""),ABS(CA162-CB162)/ABS(CA162)*100,""),"")</f>
        <v/>
      </c>
      <c r="CD162" s="69" t="inlineStr">
        <is>
          <t>DeepSeek</t>
        </is>
      </c>
      <c r="CE162" s="67" t="n"/>
      <c r="CF162" s="67" t="n">
        <v>14</v>
      </c>
      <c r="CG162" s="71">
        <f>IFERROR(IF(AND(CE162&lt;&gt;"",CF162&lt;&gt;""),ABS(CE162-CF162)/ABS(CE162)*100,""),"")</f>
        <v/>
      </c>
      <c r="CH162" s="69" t="inlineStr">
        <is>
          <t>DeepSeek</t>
        </is>
      </c>
      <c r="CI162" s="67" t="n"/>
      <c r="CJ162" s="67" t="n">
        <v>0.06</v>
      </c>
      <c r="CK162" s="71">
        <f>IFERROR(IF(AND(CI162&lt;&gt;"",CJ162&lt;&gt;""),ABS(CI162-CJ162)/ABS(CI162)*100,""),"")</f>
        <v/>
      </c>
      <c r="CL162" s="69" t="inlineStr">
        <is>
          <t>DeepSeek</t>
        </is>
      </c>
      <c r="CM162" s="67" t="n"/>
      <c r="CN162" s="67" t="n"/>
      <c r="CO162" s="71">
        <f>IFERROR(IF(AND(CM162&lt;&gt;"",CN162&lt;&gt;""),ABS(CM162-CN162)/ABS(CM162)*100,""),"")</f>
        <v/>
      </c>
      <c r="CP162" s="69" t="inlineStr">
        <is>
          <t>ND</t>
        </is>
      </c>
      <c r="CQ162" s="67" t="n"/>
      <c r="CR162" s="67" t="n">
        <v>0.84</v>
      </c>
      <c r="CS162" s="71">
        <f>IFERROR(IF(AND(CQ162&lt;&gt;"",CR162&lt;&gt;""),ABS(CQ162-CR162)/ABS(CQ162)*100,""),"")</f>
        <v/>
      </c>
      <c r="CT162" s="69" t="inlineStr">
        <is>
          <t>DeepSeek</t>
        </is>
      </c>
      <c r="CU162" s="67" t="n"/>
      <c r="CV162" s="67" t="n">
        <v>0</v>
      </c>
      <c r="CW162" s="71">
        <f>IFERROR(IF(AND(CU162&lt;&gt;"",CV162&lt;&gt;""),ABS(CU162-CV162)/ABS(CU162)*100,""),"")</f>
        <v/>
      </c>
      <c r="CX162" s="69" t="inlineStr">
        <is>
          <t>DeepSeek</t>
        </is>
      </c>
      <c r="CY162" s="68" t="n"/>
      <c r="CZ162" s="68" t="n"/>
      <c r="DA162" s="71">
        <f>IFERROR(IF(AND(CY162&lt;&gt;"",CZ162&lt;&gt;""),ABS(CY162-CZ162)/ABS(CY162)*100,""),"")</f>
        <v/>
      </c>
      <c r="DB162" s="69" t="inlineStr">
        <is>
          <t>ND</t>
        </is>
      </c>
      <c r="DC162" s="68" t="n"/>
      <c r="DD162" s="68" t="n">
        <v>5</v>
      </c>
      <c r="DE162" s="71">
        <f>IFERROR(IF(AND(DC162&lt;&gt;"",DD162&lt;&gt;""),ABS(DC162-DD162)/ABS(DC162)*100,""),"")</f>
        <v/>
      </c>
      <c r="DF162" s="69" t="inlineStr">
        <is>
          <t>DeepSeek</t>
        </is>
      </c>
      <c r="DG162" s="68" t="n"/>
      <c r="DH162" s="68" t="n"/>
      <c r="DI162" s="71">
        <f>IFERROR(IF(AND(DG162&lt;&gt;"",DH162&lt;&gt;""),ABS(DG162-DH162)/ABS(DG162)*100,""),"")</f>
        <v/>
      </c>
      <c r="DJ162" s="69" t="inlineStr">
        <is>
          <t>ND</t>
        </is>
      </c>
      <c r="DK162" s="68" t="n"/>
      <c r="DL162" s="68" t="n"/>
      <c r="DM162" s="71">
        <f>IFERROR(IF(AND(DK162&lt;&gt;"",DL162&lt;&gt;""),ABS(DK162-DL162)/ABS(DK162)*100,""),"")</f>
        <v/>
      </c>
      <c r="DN162" s="69" t="inlineStr">
        <is>
          <t>ND</t>
        </is>
      </c>
      <c r="DO162" s="68" t="n"/>
      <c r="DP162" s="68" t="n"/>
      <c r="DQ162" s="71">
        <f>IFERROR(IF(AND(DO162&lt;&gt;"",DP162&lt;&gt;""),ABS(DO162-DP162)/ABS(DO162)*100,""),"")</f>
        <v/>
      </c>
      <c r="DR162" s="69" t="inlineStr">
        <is>
          <t>ND</t>
        </is>
      </c>
      <c r="DS162" s="68" t="n"/>
      <c r="DT162" s="68" t="n"/>
      <c r="DU162" s="71">
        <f>IFERROR(IF(AND(DS162&lt;&gt;"",DT162&lt;&gt;""),ABS(DS162-DT162)/ABS(DS162)*100,""),"")</f>
        <v/>
      </c>
      <c r="DV162" s="69" t="inlineStr">
        <is>
          <t>ND</t>
        </is>
      </c>
      <c r="DW162" s="70" t="inlineStr">
        <is>
          <t>No data available - report window is 2021-2023, does not extend to 2024. ND throughout.</t>
        </is>
      </c>
    </row>
    <row r="163" ht="4.5" customHeight="1" s="43">
      <c r="A163" s="72" t="n"/>
      <c r="B163" s="72" t="n"/>
      <c r="C163" s="72" t="n"/>
      <c r="D163" s="72" t="n"/>
      <c r="E163" s="72" t="n"/>
      <c r="F163" s="72" t="n"/>
      <c r="G163" s="72" t="n"/>
      <c r="H163" s="72" t="n"/>
      <c r="I163" s="72" t="n"/>
      <c r="J163" s="72" t="n"/>
      <c r="K163" s="72" t="n"/>
      <c r="L163" s="72" t="n"/>
      <c r="M163" s="72" t="n"/>
      <c r="N163" s="72" t="n"/>
      <c r="O163" s="72" t="n"/>
      <c r="P163" s="72" t="n"/>
      <c r="Q163" s="72" t="n"/>
      <c r="R163" s="72" t="n"/>
      <c r="S163" s="72" t="n"/>
      <c r="T163" s="72" t="n"/>
      <c r="U163" s="72" t="n"/>
      <c r="V163" s="72" t="n"/>
      <c r="W163" s="72" t="n"/>
      <c r="X163" s="72" t="n"/>
      <c r="Y163" s="72" t="n"/>
      <c r="Z163" s="72" t="n"/>
      <c r="AA163" s="72" t="n"/>
      <c r="AB163" s="72" t="n"/>
      <c r="AC163" s="72" t="n"/>
      <c r="AD163" s="72" t="n"/>
      <c r="AE163" s="72" t="n"/>
      <c r="AF163" s="72" t="n"/>
      <c r="AG163" s="72" t="n"/>
      <c r="AH163" s="72" t="n"/>
      <c r="AI163" s="72" t="n"/>
      <c r="AJ163" s="72" t="n"/>
      <c r="AK163" s="72" t="n"/>
      <c r="AL163" s="72" t="n"/>
      <c r="AM163" s="72" t="n"/>
      <c r="AN163" s="72" t="n"/>
      <c r="AO163" s="72" t="n"/>
      <c r="AP163" s="72" t="n"/>
      <c r="AQ163" s="72" t="n"/>
      <c r="AR163" s="72" t="n"/>
      <c r="AS163" s="72" t="n"/>
      <c r="AT163" s="72" t="n"/>
      <c r="AU163" s="72" t="n"/>
      <c r="AV163" s="72" t="n"/>
      <c r="AW163" s="72" t="n"/>
      <c r="AX163" s="72" t="n"/>
      <c r="AY163" s="72" t="n"/>
      <c r="AZ163" s="72" t="n"/>
      <c r="BA163" s="72" t="n"/>
      <c r="BB163" s="72" t="n"/>
      <c r="BC163" s="72" t="n"/>
      <c r="BD163" s="72" t="n"/>
      <c r="BE163" s="72" t="n"/>
      <c r="BF163" s="72" t="n"/>
      <c r="BG163" s="72" t="n"/>
      <c r="BH163" s="72" t="n"/>
      <c r="BI163" s="72" t="n"/>
      <c r="BJ163" s="72" t="n"/>
      <c r="BK163" s="72" t="n"/>
      <c r="BL163" s="72" t="n"/>
      <c r="BM163" s="72" t="n"/>
      <c r="BN163" s="72" t="n"/>
      <c r="BO163" s="72" t="n"/>
      <c r="BP163" s="72" t="n"/>
      <c r="BQ163" s="72" t="n"/>
      <c r="BR163" s="72" t="n"/>
      <c r="BS163" s="72" t="n"/>
      <c r="BT163" s="72" t="n"/>
      <c r="BU163" s="72" t="n"/>
      <c r="BV163" s="72" t="n"/>
      <c r="BW163" s="72" t="n"/>
      <c r="BX163" s="72" t="n"/>
      <c r="BY163" s="72" t="n"/>
      <c r="BZ163" s="72" t="n"/>
      <c r="CA163" s="72" t="n"/>
      <c r="CB163" s="72" t="n"/>
      <c r="CC163" s="72" t="n"/>
      <c r="CD163" s="72" t="n"/>
      <c r="CE163" s="72" t="n"/>
      <c r="CF163" s="72" t="n"/>
      <c r="CG163" s="72" t="n"/>
      <c r="CH163" s="72" t="n"/>
      <c r="CI163" s="72" t="n"/>
      <c r="CJ163" s="72" t="n"/>
      <c r="CK163" s="72" t="n"/>
      <c r="CL163" s="72" t="n"/>
      <c r="CM163" s="72" t="n"/>
      <c r="CN163" s="72" t="n"/>
      <c r="CO163" s="72" t="n"/>
      <c r="CP163" s="72" t="n"/>
      <c r="CQ163" s="72" t="n"/>
      <c r="CR163" s="72" t="n"/>
      <c r="CS163" s="72" t="n"/>
      <c r="CT163" s="72" t="n"/>
      <c r="CU163" s="72" t="n"/>
      <c r="CV163" s="72" t="n"/>
      <c r="CW163" s="72" t="n"/>
      <c r="CX163" s="72" t="n"/>
      <c r="CY163" s="72" t="n"/>
      <c r="CZ163" s="72" t="n"/>
      <c r="DA163" s="72" t="n"/>
      <c r="DB163" s="72" t="n"/>
      <c r="DC163" s="72" t="n"/>
      <c r="DD163" s="72" t="n"/>
      <c r="DE163" s="72" t="n"/>
      <c r="DF163" s="72" t="n"/>
      <c r="DG163" s="72" t="n"/>
      <c r="DH163" s="72" t="n"/>
      <c r="DI163" s="72" t="n"/>
      <c r="DJ163" s="72" t="n"/>
      <c r="DK163" s="72" t="n"/>
      <c r="DL163" s="72" t="n"/>
      <c r="DM163" s="72" t="n"/>
      <c r="DN163" s="72" t="n"/>
      <c r="DO163" s="72" t="n"/>
      <c r="DP163" s="72" t="n"/>
      <c r="DQ163" s="72" t="n"/>
      <c r="DR163" s="72" t="n"/>
      <c r="DS163" s="72" t="n"/>
      <c r="DT163" s="72" t="n"/>
      <c r="DU163" s="72" t="n"/>
      <c r="DV163" s="72" t="n"/>
      <c r="DW163" s="72" t="n"/>
    </row>
  </sheetData>
  <mergeCells count="32">
    <mergeCell ref="AQ1:AT1"/>
    <mergeCell ref="CE1:CH1"/>
    <mergeCell ref="CQ1:CT1"/>
    <mergeCell ref="AY1:BB1"/>
    <mergeCell ref="CY1:DB1"/>
    <mergeCell ref="DK1:DN1"/>
    <mergeCell ref="G1:J1"/>
    <mergeCell ref="BC1:BF1"/>
    <mergeCell ref="DC1:DF1"/>
    <mergeCell ref="S1:V1"/>
    <mergeCell ref="BK1:BN1"/>
    <mergeCell ref="BO1:BR1"/>
    <mergeCell ref="DO1:DR1"/>
    <mergeCell ref="BW1:BZ1"/>
    <mergeCell ref="DS1:DV1"/>
    <mergeCell ref="AA1:AD1"/>
    <mergeCell ref="CA1:CD1"/>
    <mergeCell ref="AI1:AL1"/>
    <mergeCell ref="AU1:AX1"/>
    <mergeCell ref="CI1:CL1"/>
    <mergeCell ref="A3:DW3"/>
    <mergeCell ref="CU1:CX1"/>
    <mergeCell ref="DG1:DJ1"/>
    <mergeCell ref="K1:N1"/>
    <mergeCell ref="W1:Z1"/>
    <mergeCell ref="BG1:BJ1"/>
    <mergeCell ref="O1:R1"/>
    <mergeCell ref="AE1:AH1"/>
    <mergeCell ref="BS1:BV1"/>
    <mergeCell ref="AM1:AP1"/>
    <mergeCell ref="A1:F1"/>
    <mergeCell ref="CM1:CP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K14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0" customWidth="1" style="42" min="1" max="4"/>
    <col width="12" customWidth="1" style="42" min="5" max="36"/>
  </cols>
  <sheetData>
    <row r="1" ht="27.75" customHeight="1" s="43">
      <c r="A1" s="50" t="inlineStr">
        <is>
          <t>Master Analysis Dataset — 20 Companies x 2018-2024  |  Populate from Extraction Log  |  Import to R</t>
        </is>
      </c>
    </row>
    <row r="2" ht="39.75" customHeight="1" s="43">
      <c r="A2" s="74" t="inlineStr">
        <is>
          <t>Company</t>
        </is>
      </c>
      <c r="B2" s="74" t="inlineStr">
        <is>
          <t>Issue_Code</t>
        </is>
      </c>
      <c r="C2" s="74" t="inlineStr">
        <is>
          <t>Sector</t>
        </is>
      </c>
      <c r="D2" s="74" t="inlineStr">
        <is>
          <t>Year</t>
        </is>
      </c>
      <c r="E2" s="55" t="inlineStr">
        <is>
          <t>Ind_01_pct_Contract_Non_reg</t>
        </is>
      </c>
      <c r="F2" s="55" t="inlineStr">
        <is>
          <t>Ind_02_pct_Female_Permanent</t>
        </is>
      </c>
      <c r="G2" s="55" t="inlineStr">
        <is>
          <t>Ind_03_pct_Female_Contract_</t>
        </is>
      </c>
      <c r="H2" s="55" t="inlineStr">
        <is>
          <t>Ind_04_pct_New_Hire_Rate</t>
        </is>
      </c>
      <c r="I2" s="55" t="inlineStr">
        <is>
          <t>Ind_05_pct_New_Hires___Cont</t>
        </is>
      </c>
      <c r="J2" s="55" t="inlineStr">
        <is>
          <t>Ind_06_pct_New_Hires___Fema</t>
        </is>
      </c>
      <c r="K2" s="55" t="inlineStr">
        <is>
          <t>Ind_07_pct_Workers_with_Dis</t>
        </is>
      </c>
      <c r="L2" s="55" t="inlineStr">
        <is>
          <t>Ind_08_pct_Foreign_Workers</t>
        </is>
      </c>
      <c r="M2" s="55" t="inlineStr">
        <is>
          <t>Ind_09_pct_Female_Middle_Ma</t>
        </is>
      </c>
      <c r="N2" s="55" t="inlineStr">
        <is>
          <t>Ind_10_pct_Female_Executive</t>
        </is>
      </c>
      <c r="O2" s="55" t="inlineStr">
        <is>
          <t>Ind_11_pct_Female_Board_Dir</t>
        </is>
      </c>
      <c r="P2" s="55" t="inlineStr">
        <is>
          <t>Ind_12_Average_Salary</t>
        </is>
      </c>
      <c r="Q2" s="55" t="inlineStr">
        <is>
          <t>Ind_13_Gender_Pay_Gap_100=p</t>
        </is>
      </c>
      <c r="R2" s="55" t="inlineStr">
        <is>
          <t>Ind_14_Training_Spend_per_E</t>
        </is>
      </c>
      <c r="S2" s="55" t="inlineStr">
        <is>
          <t>Ind_15_Training_Hours_per_E</t>
        </is>
      </c>
      <c r="T2" s="55" t="inlineStr">
        <is>
          <t>Ind_16_Female_Parental_Leav</t>
        </is>
      </c>
      <c r="U2" s="55" t="inlineStr">
        <is>
          <t>Ind_17_Male_Parental_Leave_</t>
        </is>
      </c>
      <c r="V2" s="55" t="inlineStr">
        <is>
          <t>Ind_18_Parental_Leave_Retur</t>
        </is>
      </c>
      <c r="W2" s="55" t="inlineStr">
        <is>
          <t>Ind_19_Avg_Length_of_Servic</t>
        </is>
      </c>
      <c r="X2" s="55" t="inlineStr">
        <is>
          <t>Ind_20_Voluntary_Turnover_R</t>
        </is>
      </c>
      <c r="Y2" s="55" t="inlineStr">
        <is>
          <t>Ind_21_Involuntary_Turnover</t>
        </is>
      </c>
      <c r="Z2" s="55" t="inlineStr">
        <is>
          <t>Ind_22_Union_Membership_Rat</t>
        </is>
      </c>
      <c r="AA2" s="55" t="inlineStr">
        <is>
          <t>Ind_23_Lost_Time_Injury_Rat</t>
        </is>
      </c>
      <c r="AB2" s="55" t="inlineStr">
        <is>
          <t>Ind_24_Workplace_Fatalities</t>
        </is>
      </c>
      <c r="AC2" s="57" t="inlineStr">
        <is>
          <t>Ind_25_Covid_Response_Polic</t>
        </is>
      </c>
      <c r="AD2" s="57" t="inlineStr">
        <is>
          <t>Ind_26_Workplace_Policy_Sco</t>
        </is>
      </c>
      <c r="AE2" s="57" t="inlineStr">
        <is>
          <t>Ind_27_Employee_Engagement_</t>
        </is>
      </c>
      <c r="AF2" s="57" t="inlineStr">
        <is>
          <t>Ind_28_Media_Commentary_Sco</t>
        </is>
      </c>
      <c r="AG2" s="57" t="inlineStr">
        <is>
          <t>Ind_29_Sustainalytics_ESG_S</t>
        </is>
      </c>
      <c r="AH2" s="57" t="inlineStr">
        <is>
          <t>Ind_30_KCGS_ESG_Rating</t>
        </is>
      </c>
      <c r="AI2" s="55" t="inlineStr">
        <is>
          <t>Source_LLM</t>
        </is>
      </c>
      <c r="AJ2" s="55" t="inlineStr">
        <is>
          <t>Notes</t>
        </is>
      </c>
    </row>
    <row r="3" ht="15" customHeight="1" s="43">
      <c r="A3" s="75" t="inlineStr">
        <is>
          <t>COWAY</t>
        </is>
      </c>
      <c r="B3" s="75" t="inlineStr">
        <is>
          <t>021240</t>
        </is>
      </c>
      <c r="C3" s="76" t="inlineStr">
        <is>
          <t>Consumer Discretionary</t>
        </is>
      </c>
      <c r="D3" s="76" t="inlineStr">
        <is>
          <t>2018</t>
        </is>
      </c>
      <c r="E3" s="77" t="n">
        <v>5.5</v>
      </c>
      <c r="F3" s="77" t="n">
        <v>30.51</v>
      </c>
      <c r="G3" s="77" t="n">
        <v>8.66</v>
      </c>
      <c r="H3" s="77" t="n">
        <v>13.52</v>
      </c>
      <c r="I3" s="77" t="n"/>
      <c r="J3" s="77" t="n">
        <v>61.84</v>
      </c>
      <c r="K3" s="77" t="n">
        <v>0</v>
      </c>
      <c r="L3" s="77" t="n">
        <v>0.102</v>
      </c>
      <c r="M3" s="77" t="n"/>
      <c r="N3" s="77" t="n">
        <v>8</v>
      </c>
      <c r="O3" s="77" t="n">
        <v>0</v>
      </c>
      <c r="P3" s="77" t="n">
        <v>56882000</v>
      </c>
      <c r="Q3" s="77" t="n"/>
      <c r="R3" s="77" t="n"/>
      <c r="S3" s="77" t="n"/>
      <c r="T3" s="77" t="n">
        <v>93</v>
      </c>
      <c r="U3" s="77" t="n">
        <v>17</v>
      </c>
      <c r="V3" s="77" t="n">
        <v>100</v>
      </c>
      <c r="W3" s="77" t="n">
        <v>7.5</v>
      </c>
      <c r="X3" s="77" t="n">
        <v>7.09</v>
      </c>
      <c r="Y3" s="77" t="n">
        <v>0.31</v>
      </c>
      <c r="Z3" s="77" t="n"/>
      <c r="AA3" s="77" t="n">
        <v>0.23</v>
      </c>
      <c r="AB3" s="77" t="n">
        <v>0</v>
      </c>
      <c r="AC3" s="78" t="n"/>
      <c r="AD3" s="78" t="n">
        <v>7</v>
      </c>
      <c r="AE3" s="78" t="n"/>
      <c r="AF3" s="78" t="n"/>
      <c r="AG3" s="78" t="n"/>
      <c r="AH3" s="78" t="n"/>
      <c r="AI3" s="77" t="n"/>
      <c r="AJ3" s="77" t="inlineStr">
        <is>
          <t>Claude + DeepSeek (see Extraction Log for per-cell decisions) | Verified against COWAY_2022.pdf (ESG Data / Social pp.94, 96) during manual flag review; Claude values confirmed correct for Ind01 (Contract Workers%), Ind14 (Training Spend/Employee), Ind20 (Voluntary Turnover%), Ind21 (Involuntary Turnover%). DeepSeek's values for these cells traced to a report-label composition-share confusion (turnover) and a company-wide-vs-HRD-team scope mismatch (training spend).</t>
        </is>
      </c>
      <c r="AK3" s="42" t="inlineStr">
        <is>
          <t>MANUAL FLAG cells use Claude value as placeholder pending manual review - see Extraction Log Notes for full discrepancy list</t>
        </is>
      </c>
    </row>
    <row r="4" ht="15" customHeight="1" s="43">
      <c r="A4" s="79" t="n"/>
      <c r="B4" s="79" t="n"/>
      <c r="C4" s="79" t="inlineStr">
        <is>
          <t>Consumer Discretionary</t>
        </is>
      </c>
      <c r="D4" s="79" t="inlineStr">
        <is>
          <t>2019</t>
        </is>
      </c>
      <c r="E4" s="77" t="n">
        <v>4.5</v>
      </c>
      <c r="F4" s="77" t="n">
        <v>30.64</v>
      </c>
      <c r="G4" s="77" t="n">
        <v>12.16</v>
      </c>
      <c r="H4" s="77" t="n">
        <v>11.88</v>
      </c>
      <c r="I4" s="77" t="n"/>
      <c r="J4" s="77" t="n">
        <v>63.16</v>
      </c>
      <c r="K4" s="77" t="n">
        <v>0</v>
      </c>
      <c r="L4" s="77" t="n">
        <v>0.101</v>
      </c>
      <c r="M4" s="77" t="n"/>
      <c r="N4" s="77" t="n">
        <v>4</v>
      </c>
      <c r="O4" s="77" t="n">
        <v>0</v>
      </c>
      <c r="P4" s="77" t="n">
        <v>60697000</v>
      </c>
      <c r="Q4" s="77" t="n"/>
      <c r="R4" s="77" t="n">
        <v>1221331</v>
      </c>
      <c r="S4" s="77" t="n">
        <v>88</v>
      </c>
      <c r="T4" s="77" t="n">
        <v>106</v>
      </c>
      <c r="U4" s="77" t="n">
        <v>8</v>
      </c>
      <c r="V4" s="77" t="n">
        <v>100</v>
      </c>
      <c r="W4" s="77" t="n">
        <v>8.1</v>
      </c>
      <c r="X4" s="77" t="n">
        <v>9.960000000000001</v>
      </c>
      <c r="Y4" s="77" t="n">
        <v>0.83</v>
      </c>
      <c r="Z4" s="77" t="n"/>
      <c r="AA4" s="77" t="n">
        <v>0.18</v>
      </c>
      <c r="AB4" s="77" t="n">
        <v>0</v>
      </c>
      <c r="AC4" s="78" t="n"/>
      <c r="AD4" s="78" t="n">
        <v>7</v>
      </c>
      <c r="AE4" s="78" t="n"/>
      <c r="AF4" s="78" t="n"/>
      <c r="AG4" s="78" t="n"/>
      <c r="AH4" s="78" t="n"/>
      <c r="AI4" s="77" t="n"/>
      <c r="AJ4" s="77" t="inlineStr">
        <is>
          <t>Claude + DeepSeek (see Extraction Log for per-cell decisions) | Verified against COWAY_2022.pdf (ESG Data / Social pp.94, 96) during manual flag review; Claude values confirmed correct for Ind01 (Contract Workers%), Ind14 (Training Spend/Employee), Ind20 (Voluntary Turnover%), Ind21 (Involuntary Turnover%). DeepSeek's values for these cells traced to a report-label composition-share confusion (turnover) and a company-wide-vs-HRD-team scope mismatch (training spend).</t>
        </is>
      </c>
      <c r="AK4" s="42" t="inlineStr">
        <is>
          <t>MANUAL FLAG cells use Claude value as placeholder pending manual review - see Extraction Log Notes for full discrepancy list</t>
        </is>
      </c>
    </row>
    <row r="5" ht="15" customHeight="1" s="43">
      <c r="A5" s="76" t="n"/>
      <c r="B5" s="76" t="n"/>
      <c r="C5" s="76" t="inlineStr">
        <is>
          <t>Consumer Discretionary</t>
        </is>
      </c>
      <c r="D5" s="76" t="inlineStr">
        <is>
          <t>2020</t>
        </is>
      </c>
      <c r="E5" s="77" t="n">
        <v>2.1</v>
      </c>
      <c r="F5" s="77" t="n">
        <v>27.26</v>
      </c>
      <c r="G5" s="77" t="n">
        <v>23.63</v>
      </c>
      <c r="H5" s="77" t="n">
        <v>30.3</v>
      </c>
      <c r="I5" s="77" t="n"/>
      <c r="J5" s="77" t="n">
        <v>13.85</v>
      </c>
      <c r="K5" s="77" t="n">
        <v>1.068</v>
      </c>
      <c r="L5" s="77" t="n">
        <v>0.155</v>
      </c>
      <c r="M5" s="77" t="n"/>
      <c r="N5" s="77" t="n">
        <v>17.14</v>
      </c>
      <c r="O5" s="77" t="n">
        <v>0</v>
      </c>
      <c r="P5" s="77" t="n">
        <v>52427000</v>
      </c>
      <c r="Q5" s="77" t="n"/>
      <c r="R5" s="77" t="n">
        <v>432624</v>
      </c>
      <c r="S5" s="77" t="n">
        <v>77</v>
      </c>
      <c r="T5" s="77" t="n">
        <v>97</v>
      </c>
      <c r="U5" s="77" t="n">
        <v>12</v>
      </c>
      <c r="V5" s="77" t="n">
        <v>100</v>
      </c>
      <c r="W5" s="77" t="n">
        <v>6.8</v>
      </c>
      <c r="X5" s="77" t="n">
        <v>5.36</v>
      </c>
      <c r="Y5" s="77" t="n">
        <v>0.42</v>
      </c>
      <c r="Z5" s="77" t="n"/>
      <c r="AA5" s="77" t="n">
        <v>2.21</v>
      </c>
      <c r="AB5" s="77" t="n">
        <v>0</v>
      </c>
      <c r="AC5" s="78" t="n"/>
      <c r="AD5" s="78" t="n">
        <v>7</v>
      </c>
      <c r="AE5" s="78" t="n"/>
      <c r="AF5" s="78" t="n"/>
      <c r="AG5" s="78" t="n"/>
      <c r="AH5" s="78" t="n"/>
      <c r="AI5" s="77" t="n"/>
      <c r="AJ5" s="77" t="inlineStr">
        <is>
          <t>Claude + DeepSeek (see Extraction Log for per-cell decisions) | Verified against COWAY_2022.pdf (ESG Data / Social pp.94, 96) during manual flag review; Claude values confirmed correct for Ind01 (Contract Workers%), Ind14 (Training Spend/Employee), Ind20 (Voluntary Turnover%), Ind21 (Involuntary Turnover%). DeepSeek's values for these cells traced to a report-label composition-share confusion (turnover) and a company-wide-vs-HRD-team scope mismatch (training spend).</t>
        </is>
      </c>
      <c r="AK5" s="42" t="inlineStr">
        <is>
          <t>MANUAL FLAG cells use Claude value as placeholder pending manual review - see Extraction Log Notes for full discrepancy list</t>
        </is>
      </c>
    </row>
    <row r="6" ht="15" customHeight="1" s="43">
      <c r="A6" s="79" t="n"/>
      <c r="B6" s="79" t="n"/>
      <c r="C6" s="79" t="inlineStr">
        <is>
          <t>Consumer Discretionary</t>
        </is>
      </c>
      <c r="D6" s="79" t="inlineStr">
        <is>
          <t>2021</t>
        </is>
      </c>
      <c r="E6" s="77" t="n">
        <v>2</v>
      </c>
      <c r="F6" s="77" t="n">
        <v>25.8</v>
      </c>
      <c r="G6" s="77" t="n">
        <v>59.12</v>
      </c>
      <c r="H6" s="77" t="n">
        <v>10.34</v>
      </c>
      <c r="I6" s="77" t="n"/>
      <c r="J6" s="77" t="n">
        <v>40.69</v>
      </c>
      <c r="K6" s="77" t="n">
        <v>1.233</v>
      </c>
      <c r="L6" s="77" t="n">
        <v>0.154</v>
      </c>
      <c r="M6" s="77" t="n"/>
      <c r="N6" s="77" t="n">
        <v>19.35</v>
      </c>
      <c r="O6" s="77" t="n">
        <v>0</v>
      </c>
      <c r="P6" s="77" t="n">
        <v>55353000</v>
      </c>
      <c r="Q6" s="77" t="n"/>
      <c r="R6" s="77" t="n">
        <v>342438</v>
      </c>
      <c r="S6" s="77" t="n">
        <v>62</v>
      </c>
      <c r="T6" s="77" t="n">
        <v>95</v>
      </c>
      <c r="U6" s="77" t="n">
        <v>34</v>
      </c>
      <c r="V6" s="77" t="n">
        <v>100</v>
      </c>
      <c r="W6" s="77" t="n">
        <v>6.9</v>
      </c>
      <c r="X6" s="77" t="n">
        <v>10.12</v>
      </c>
      <c r="Y6" s="77" t="n">
        <v>0.86</v>
      </c>
      <c r="Z6" s="77" t="n">
        <v>19.8</v>
      </c>
      <c r="AA6" s="77" t="n">
        <v>5.23</v>
      </c>
      <c r="AB6" s="77" t="n">
        <v>0</v>
      </c>
      <c r="AC6" s="78" t="n"/>
      <c r="AD6" s="78" t="n">
        <v>7</v>
      </c>
      <c r="AE6" s="78" t="n"/>
      <c r="AF6" s="78" t="n"/>
      <c r="AG6" s="78" t="n"/>
      <c r="AH6" s="78" t="n"/>
      <c r="AI6" s="77" t="n"/>
      <c r="AJ6" s="77" t="inlineStr">
        <is>
          <t>Claude + DeepSeek (see Extraction Log for per-cell decisions) | Verified against COWAY_2022.pdf (ESG Data / Social pp.94, 96) during manual flag review; Claude values confirmed correct for Ind01 (Contract Workers%), Ind14 (Training Spend/Employee), Ind20 (Voluntary Turnover%), Ind21 (Involuntary Turnover%). DeepSeek's values for these cells traced to a report-label composition-share confusion (turnover) and a company-wide-vs-HRD-team scope mismatch (training spend).</t>
        </is>
      </c>
      <c r="AK6" s="42" t="inlineStr">
        <is>
          <t>MANUAL FLAG cells use Claude value as placeholder pending manual review - see Extraction Log Notes for full discrepancy list</t>
        </is>
      </c>
    </row>
    <row r="7" ht="15" customHeight="1" s="43">
      <c r="A7" s="76" t="n"/>
      <c r="B7" s="76" t="n"/>
      <c r="C7" s="76" t="inlineStr">
        <is>
          <t>Consumer Discretionary</t>
        </is>
      </c>
      <c r="D7" s="76" t="inlineStr">
        <is>
          <t>2022</t>
        </is>
      </c>
      <c r="E7" s="77" t="n">
        <v>2.58</v>
      </c>
      <c r="F7" s="77" t="n">
        <v>45.11</v>
      </c>
      <c r="G7" s="77" t="n">
        <v>63.86</v>
      </c>
      <c r="H7" s="77" t="n">
        <v>6.63</v>
      </c>
      <c r="I7" s="77" t="n"/>
      <c r="J7" s="77" t="n">
        <v>36.5</v>
      </c>
      <c r="K7" s="77" t="n">
        <v>1.816</v>
      </c>
      <c r="L7" s="77" t="n">
        <v>0.155</v>
      </c>
      <c r="M7" s="77" t="n">
        <v>18.5</v>
      </c>
      <c r="N7" s="77" t="n"/>
      <c r="O7" s="77" t="n">
        <v>12.5</v>
      </c>
      <c r="P7" s="77" t="n">
        <v>59950000</v>
      </c>
      <c r="Q7" s="77" t="n"/>
      <c r="R7" s="77" t="n">
        <v>132288</v>
      </c>
      <c r="S7" s="77" t="n">
        <v>20</v>
      </c>
      <c r="T7" s="77" t="n">
        <v>62</v>
      </c>
      <c r="U7" s="77" t="n">
        <v>87</v>
      </c>
      <c r="V7" s="77" t="n">
        <v>100</v>
      </c>
      <c r="W7" s="77" t="n"/>
      <c r="X7" s="77" t="n">
        <v>6.4</v>
      </c>
      <c r="Y7" s="77" t="n">
        <v>0.65</v>
      </c>
      <c r="Z7" s="77" t="n">
        <v>34.3</v>
      </c>
      <c r="AA7" s="77" t="n">
        <v>1.03</v>
      </c>
      <c r="AB7" s="77" t="n">
        <v>0</v>
      </c>
      <c r="AC7" s="78" t="n">
        <v>0</v>
      </c>
      <c r="AD7" s="78" t="n"/>
      <c r="AE7" s="78" t="n"/>
      <c r="AF7" s="78" t="n"/>
      <c r="AG7" s="78" t="n"/>
      <c r="AH7" s="78" t="n"/>
      <c r="AI7" s="77" t="n"/>
      <c r="AJ7" s="77" t="inlineStr">
        <is>
          <t>Claude + DeepSeek (see Extraction Log for per-cell decisions) | Verified against COWAY_2025.pdf (ESG Data / Social pp.106-107, 109, 114) during manual flag review; Claude values confirmed correct for Ind01 (Contract Workers%), Ind02 (Female Permanent%), Ind03 (Female Contract%), Ind04 (New Hire Rate%), Ind06 (New Hires Female%), Ind12 (Annual Pay), Ind15 (Training Hours/Employee), Ind20 (Voluntary Turnover%), Ind21 (Involuntary Turnover%, computed as residual of total/voluntary). DeepSeek's values traced to mismatched denominators/scope (e.g. personnel-related expense vs. per-employee compensation) rather than a correct alternative reading.</t>
        </is>
      </c>
      <c r="AK7" s="42" t="inlineStr">
        <is>
          <t>MANUAL FLAG cells use Claude value as placeholder pending manual review - see Extraction Log Notes for full discrepancy list</t>
        </is>
      </c>
    </row>
    <row r="8" ht="15" customHeight="1" s="43">
      <c r="A8" s="79" t="n"/>
      <c r="B8" s="79" t="n"/>
      <c r="C8" s="79" t="inlineStr">
        <is>
          <t>Consumer Discretionary</t>
        </is>
      </c>
      <c r="D8" s="79" t="inlineStr">
        <is>
          <t>2023</t>
        </is>
      </c>
      <c r="E8" s="77" t="n">
        <v>3.11</v>
      </c>
      <c r="F8" s="77" t="n">
        <v>43.84</v>
      </c>
      <c r="G8" s="77" t="n">
        <v>60.51</v>
      </c>
      <c r="H8" s="77" t="n">
        <v>5.25</v>
      </c>
      <c r="I8" s="77" t="n"/>
      <c r="J8" s="77" t="n">
        <v>55.6</v>
      </c>
      <c r="K8" s="77" t="n">
        <v>2.2</v>
      </c>
      <c r="L8" s="77" t="n">
        <v>0.128</v>
      </c>
      <c r="M8" s="77" t="n">
        <v>20</v>
      </c>
      <c r="N8" s="77" t="n"/>
      <c r="O8" s="77" t="n">
        <v>14.3</v>
      </c>
      <c r="P8" s="77" t="n">
        <v>63256000</v>
      </c>
      <c r="Q8" s="77" t="n"/>
      <c r="R8" s="77" t="n">
        <v>147498</v>
      </c>
      <c r="S8" s="77" t="n">
        <v>21</v>
      </c>
      <c r="T8" s="77" t="n">
        <v>70</v>
      </c>
      <c r="U8" s="77" t="n">
        <v>64</v>
      </c>
      <c r="V8" s="77" t="n">
        <v>98.5</v>
      </c>
      <c r="W8" s="77" t="n"/>
      <c r="X8" s="77" t="n">
        <v>4.7</v>
      </c>
      <c r="Y8" s="77" t="n">
        <v>4.05</v>
      </c>
      <c r="Z8" s="77" t="n">
        <v>34.3</v>
      </c>
      <c r="AA8" s="77" t="n">
        <v>1.22</v>
      </c>
      <c r="AB8" s="77" t="n">
        <v>0</v>
      </c>
      <c r="AC8" s="78" t="n">
        <v>0</v>
      </c>
      <c r="AD8" s="78" t="n"/>
      <c r="AE8" s="78" t="n"/>
      <c r="AF8" s="78" t="n"/>
      <c r="AG8" s="78" t="n"/>
      <c r="AH8" s="78" t="n"/>
      <c r="AI8" s="77" t="n"/>
      <c r="AJ8" s="77" t="inlineStr">
        <is>
          <t>Claude + DeepSeek (see Extraction Log for per-cell decisions) | Verified against COWAY_2025.pdf (ESG Data / Social pp.106-107, 109, 114) during manual flag review; Claude values confirmed correct for Ind01 (Contract Workers%), Ind02 (Female Permanent%), Ind03 (Female Contract%), Ind04 (New Hire Rate%), Ind06 (New Hires Female%), Ind12 (Annual Pay), Ind15 (Training Hours/Employee), Ind20 (Voluntary Turnover%), Ind21 (Involuntary Turnover%, computed as residual of total/voluntary). DeepSeek's values traced to mismatched denominators/scope (e.g. personnel-related expense vs. per-employee compensation) rather than a correct alternative reading.</t>
        </is>
      </c>
      <c r="AK8" s="42" t="inlineStr">
        <is>
          <t>MANUAL FLAG cells use Claude value as placeholder pending manual review - see Extraction Log Notes for full discrepancy list</t>
        </is>
      </c>
    </row>
    <row r="9" ht="15" customHeight="1" s="43">
      <c r="A9" s="76" t="n"/>
      <c r="B9" s="76" t="n"/>
      <c r="C9" s="76" t="inlineStr">
        <is>
          <t>Consumer Discretionary</t>
        </is>
      </c>
      <c r="D9" s="76" t="inlineStr">
        <is>
          <t>2024</t>
        </is>
      </c>
      <c r="E9" s="77" t="n">
        <v>4.35</v>
      </c>
      <c r="F9" s="77" t="n">
        <v>43.24</v>
      </c>
      <c r="G9" s="77" t="n">
        <v>53.11</v>
      </c>
      <c r="H9" s="77" t="n">
        <v>8.18</v>
      </c>
      <c r="I9" s="77" t="n"/>
      <c r="J9" s="77" t="n">
        <v>43.8</v>
      </c>
      <c r="K9" s="77" t="n">
        <v>1.958</v>
      </c>
      <c r="L9" s="77" t="n">
        <v>0.127</v>
      </c>
      <c r="M9" s="77" t="n">
        <v>23.2</v>
      </c>
      <c r="N9" s="77" t="n"/>
      <c r="O9" s="77" t="n">
        <v>14.3</v>
      </c>
      <c r="P9" s="77" t="n">
        <v>64033000</v>
      </c>
      <c r="Q9" s="77" t="n"/>
      <c r="R9" s="77" t="n">
        <v>148248</v>
      </c>
      <c r="S9" s="77" t="n">
        <v>20</v>
      </c>
      <c r="T9" s="77" t="n">
        <v>65</v>
      </c>
      <c r="U9" s="77" t="n">
        <v>77</v>
      </c>
      <c r="V9" s="77" t="n">
        <v>98</v>
      </c>
      <c r="W9" s="77" t="n"/>
      <c r="X9" s="77" t="n">
        <v>4.9</v>
      </c>
      <c r="Y9" s="77" t="n">
        <v>3.28</v>
      </c>
      <c r="Z9" s="77" t="n">
        <v>33.6</v>
      </c>
      <c r="AA9" s="77" t="n">
        <v>1.06</v>
      </c>
      <c r="AB9" s="77" t="n">
        <v>0</v>
      </c>
      <c r="AC9" s="78" t="n">
        <v>0</v>
      </c>
      <c r="AD9" s="78" t="n"/>
      <c r="AE9" s="78" t="n"/>
      <c r="AF9" s="78" t="n"/>
      <c r="AG9" s="78" t="n"/>
      <c r="AH9" s="78" t="n"/>
      <c r="AI9" s="77" t="n"/>
      <c r="AJ9" s="77" t="inlineStr">
        <is>
          <t>Claude + DeepSeek (see Extraction Log for per-cell decisions) | Verified against COWAY_2025.pdf (ESG Data / Social pp.106-107, 109, 114) during manual flag review; Claude values confirmed correct for Ind01 (Contract Workers%), Ind02 (Female Permanent%), Ind03 (Female Contract%), Ind04 (New Hire Rate%), Ind06 (New Hires Female%), Ind12 (Annual Pay), Ind15 (Training Hours/Employee), Ind20 (Voluntary Turnover%), Ind21 (Involuntary Turnover%, computed as residual of total/voluntary). DeepSeek's values traced to mismatched denominators/scope (e.g. personnel-related expense vs. per-employee compensation) rather than a correct alternative reading.</t>
        </is>
      </c>
      <c r="AK9" s="42" t="inlineStr">
        <is>
          <t>MANUAL FLAG cells use Claude value as placeholder pending manual review - see Extraction Log Notes for full discrepancy list</t>
        </is>
      </c>
    </row>
    <row r="10" ht="15" customHeight="1" s="43">
      <c r="A10" s="80" t="inlineStr">
        <is>
          <t>YUHAN</t>
        </is>
      </c>
      <c r="B10" s="80" t="inlineStr">
        <is>
          <t>000100</t>
        </is>
      </c>
      <c r="C10" s="79" t="inlineStr">
        <is>
          <t>Health Care</t>
        </is>
      </c>
      <c r="D10" s="79" t="inlineStr">
        <is>
          <t>2018</t>
        </is>
      </c>
      <c r="E10" s="77" t="n"/>
      <c r="F10" s="77" t="n"/>
      <c r="G10" s="77" t="n"/>
      <c r="H10" s="77" t="n"/>
      <c r="I10" s="77" t="n"/>
      <c r="J10" s="77" t="n"/>
      <c r="K10" s="77" t="n"/>
      <c r="L10" s="77" t="n"/>
      <c r="M10" s="77" t="n"/>
      <c r="N10" s="77" t="n"/>
      <c r="O10" s="77" t="n"/>
      <c r="P10" s="77" t="n"/>
      <c r="Q10" s="77" t="n"/>
      <c r="R10" s="77" t="n"/>
      <c r="S10" s="77" t="n"/>
      <c r="T10" s="77" t="n"/>
      <c r="U10" s="77" t="n"/>
      <c r="V10" s="77" t="n"/>
      <c r="W10" s="77" t="n"/>
      <c r="X10" s="77" t="n"/>
      <c r="Y10" s="77" t="n"/>
      <c r="Z10" s="77" t="n"/>
      <c r="AA10" s="77" t="n"/>
      <c r="AB10" s="77" t="n"/>
      <c r="AC10" s="78" t="n"/>
      <c r="AD10" s="78" t="n"/>
      <c r="AE10" s="78" t="n"/>
      <c r="AF10" s="78" t="n"/>
      <c r="AG10" s="78" t="n"/>
      <c r="AH10" s="78" t="n"/>
      <c r="AI10" s="77" t="n"/>
      <c r="AJ10" s="77" t="inlineStr">
        <is>
          <t>Claude + DeepSeek (see Extraction Log for per-cell decisions)</t>
        </is>
      </c>
      <c r="AK10" s="42" t="inlineStr">
        <is>
          <t>See Extraction Log Notes (proxy flags, Ind.7/8 ND - no total workforce disclosed to compute %, Ind.18 2019 implausible &gt;100% value) | MANUAL FLAG cells use Claude value as placeholder pending manual review</t>
        </is>
      </c>
    </row>
    <row r="11" ht="15" customHeight="1" s="43">
      <c r="A11" s="76" t="n"/>
      <c r="B11" s="76" t="n"/>
      <c r="C11" s="76" t="inlineStr">
        <is>
          <t>Health Care</t>
        </is>
      </c>
      <c r="D11" s="76" t="inlineStr">
        <is>
          <t>2019</t>
        </is>
      </c>
      <c r="E11" s="77" t="n">
        <v>1.6</v>
      </c>
      <c r="F11" s="77" t="n">
        <v>23.28</v>
      </c>
      <c r="G11" s="77" t="n">
        <v>34.48</v>
      </c>
      <c r="H11" s="77" t="n">
        <v>7.32</v>
      </c>
      <c r="I11" s="77" t="n"/>
      <c r="J11" s="77" t="n">
        <v>35.34</v>
      </c>
      <c r="K11" s="77" t="n"/>
      <c r="L11" s="77" t="n"/>
      <c r="M11" s="77" t="n">
        <v>10.9</v>
      </c>
      <c r="N11" s="77" t="n">
        <v>5</v>
      </c>
      <c r="O11" s="77" t="n">
        <v>0</v>
      </c>
      <c r="P11" s="77" t="n"/>
      <c r="Q11" s="77" t="n"/>
      <c r="R11" s="77" t="n">
        <v>1250000</v>
      </c>
      <c r="S11" s="77" t="n">
        <v>59.4</v>
      </c>
      <c r="T11" s="77" t="n">
        <v>17</v>
      </c>
      <c r="U11" s="77" t="n">
        <v>2</v>
      </c>
      <c r="V11" s="77" t="n">
        <v>110.53</v>
      </c>
      <c r="W11" s="77" t="n">
        <v>11.4</v>
      </c>
      <c r="X11" s="77" t="n">
        <v>4.54</v>
      </c>
      <c r="Y11" s="77" t="n">
        <v>1.98</v>
      </c>
      <c r="Z11" s="77" t="n"/>
      <c r="AA11" s="77" t="n">
        <v>0</v>
      </c>
      <c r="AB11" s="77" t="n">
        <v>0</v>
      </c>
      <c r="AC11" s="78" t="n">
        <v>6</v>
      </c>
      <c r="AD11" s="78" t="n">
        <v>5</v>
      </c>
      <c r="AE11" s="78" t="n"/>
      <c r="AF11" s="78" t="n"/>
      <c r="AG11" s="78" t="n"/>
      <c r="AH11" s="78" t="n"/>
      <c r="AI11" s="77" t="n"/>
      <c r="AJ11" s="77" t="inlineStr">
        <is>
          <t>Claude + DeepSeek (see Extraction Log for per-cell decisions) | Verified against YUHAN_2021-2022_ESG.pdf (p.114 'Employee Diversity' table; p.73 'Female Manager Overview' table) during manual flag review; Claude values confirmed correct for Ind01 (Contract Workers% = 1.6), Ind03 (Female Contract% = 34.48), Ind09 (Female Middle Managers% = 10.9). DeepSeek's values traced to using the wrong denominator/base for the part-timer ratios. Ind25 (Covid Response) remains UNRESOLVED - see Flags to Review sheet for explanation (analyst-coded score, not a literal report figure).</t>
        </is>
      </c>
      <c r="AK11" s="42" t="inlineStr">
        <is>
          <t>See Extraction Log Notes (proxy flags, Ind.7/8 ND - no total workforce disclosed to compute %, Ind.18 2019 implausible &gt;100% value) | MANUAL FLAG cells use Claude value as placeholder pending manual review | Ind.'COVID-19 Response': manual verification inconclusive/unavailable in source per Notes - Claude value (6) retained as final per user decision.</t>
        </is>
      </c>
    </row>
    <row r="12" ht="15" customHeight="1" s="43">
      <c r="A12" s="79" t="n"/>
      <c r="B12" s="79" t="n"/>
      <c r="C12" s="79" t="inlineStr">
        <is>
          <t>Health Care</t>
        </is>
      </c>
      <c r="D12" s="79" t="inlineStr">
        <is>
          <t>2020</t>
        </is>
      </c>
      <c r="E12" s="77" t="n">
        <v>1.67</v>
      </c>
      <c r="F12" s="77" t="n">
        <v>23.85</v>
      </c>
      <c r="G12" s="77" t="n">
        <v>48.39</v>
      </c>
      <c r="H12" s="77" t="n">
        <v>5.77</v>
      </c>
      <c r="I12" s="77" t="n"/>
      <c r="J12" s="77" t="n">
        <v>41.12</v>
      </c>
      <c r="K12" s="77" t="n"/>
      <c r="L12" s="77" t="n"/>
      <c r="M12" s="77" t="n">
        <v>12.4</v>
      </c>
      <c r="N12" s="77" t="n">
        <v>9.09</v>
      </c>
      <c r="O12" s="77" t="n">
        <v>0</v>
      </c>
      <c r="P12" s="77" t="n"/>
      <c r="Q12" s="77" t="n"/>
      <c r="R12" s="77" t="n">
        <v>870000</v>
      </c>
      <c r="S12" s="77" t="n">
        <v>60.3</v>
      </c>
      <c r="T12" s="77" t="n">
        <v>19</v>
      </c>
      <c r="U12" s="77" t="n">
        <v>3</v>
      </c>
      <c r="V12" s="77" t="n">
        <v>81.81999999999999</v>
      </c>
      <c r="W12" s="77" t="n">
        <v>12.3</v>
      </c>
      <c r="X12" s="77" t="n">
        <v>2.12</v>
      </c>
      <c r="Y12" s="77" t="n">
        <v>1.28</v>
      </c>
      <c r="Z12" s="77" t="n"/>
      <c r="AA12" s="77" t="n">
        <v>0</v>
      </c>
      <c r="AB12" s="77" t="n">
        <v>0</v>
      </c>
      <c r="AC12" s="78" t="n">
        <v>6</v>
      </c>
      <c r="AD12" s="78" t="n">
        <v>5</v>
      </c>
      <c r="AE12" s="78" t="n"/>
      <c r="AF12" s="78" t="n"/>
      <c r="AG12" s="78" t="n"/>
      <c r="AH12" s="78" t="n"/>
      <c r="AI12" s="77" t="n"/>
      <c r="AJ12" s="77" t="inlineStr">
        <is>
          <t>Claude + DeepSeek (see Extraction Log for per-cell decisions) | Verified against YUHAN_2021-2022_ESG.pdf (p.114 'Employee Diversity' table; p.73 'Female Manager Overview' table) during manual flag review; Claude values confirmed correct for Ind01 (Contract Workers% = 1.67), Ind03 (Female Contract% = 48.39), Ind09 (Female Middle Managers% = 12.4). Ind25 (Covid Response) remains UNRESOLVED - see Flags to Review sheet.</t>
        </is>
      </c>
      <c r="AK12" s="42" t="inlineStr">
        <is>
          <t>See Extraction Log Notes (proxy flags, Ind.7/8 ND - no total workforce disclosed to compute %, Ind.18 2019 implausible &gt;100% value) | MANUAL FLAG cells use Claude value as placeholder pending manual review | Ind.'COVID-19 Response': manual verification inconclusive/unavailable in source per Notes - Claude value (6) retained as final per user decision.</t>
        </is>
      </c>
    </row>
    <row r="13" ht="15" customHeight="1" s="43">
      <c r="A13" s="76" t="n"/>
      <c r="B13" s="76" t="n"/>
      <c r="C13" s="76" t="inlineStr">
        <is>
          <t>Health Care</t>
        </is>
      </c>
      <c r="D13" s="76" t="inlineStr">
        <is>
          <t>2021</t>
        </is>
      </c>
      <c r="E13" s="77" t="n">
        <v>1.54</v>
      </c>
      <c r="F13" s="77" t="n">
        <v>24.45</v>
      </c>
      <c r="G13" s="77" t="n">
        <v>44.83</v>
      </c>
      <c r="H13" s="77" t="n">
        <v>6.66</v>
      </c>
      <c r="I13" s="77" t="n"/>
      <c r="J13" s="77" t="n">
        <v>42.4</v>
      </c>
      <c r="K13" s="77" t="n"/>
      <c r="L13" s="77" t="n"/>
      <c r="M13" s="77" t="n">
        <v>14.6</v>
      </c>
      <c r="N13" s="77" t="n">
        <v>14.29</v>
      </c>
      <c r="O13" s="77" t="n">
        <v>12.5</v>
      </c>
      <c r="P13" s="77" t="n"/>
      <c r="Q13" s="77" t="n"/>
      <c r="R13" s="77" t="n">
        <v>1070000</v>
      </c>
      <c r="S13" s="77" t="n">
        <v>55.2</v>
      </c>
      <c r="T13" s="77" t="n">
        <v>25</v>
      </c>
      <c r="U13" s="77" t="n">
        <v>8</v>
      </c>
      <c r="V13" s="77" t="n">
        <v>63.64</v>
      </c>
      <c r="W13" s="77" t="n">
        <v>12.7</v>
      </c>
      <c r="X13" s="77" t="n">
        <v>3.77</v>
      </c>
      <c r="Y13" s="77" t="n">
        <v>2.07</v>
      </c>
      <c r="Z13" s="77" t="n">
        <v>44.3</v>
      </c>
      <c r="AA13" s="77" t="n">
        <v>0</v>
      </c>
      <c r="AB13" s="77" t="n">
        <v>0</v>
      </c>
      <c r="AC13" s="78" t="n">
        <v>6</v>
      </c>
      <c r="AD13" s="78" t="n">
        <v>5</v>
      </c>
      <c r="AE13" s="78" t="n"/>
      <c r="AF13" s="78" t="n"/>
      <c r="AG13" s="78" t="n"/>
      <c r="AH13" s="78" t="n"/>
      <c r="AI13" s="77" t="n"/>
      <c r="AJ13" s="77" t="inlineStr">
        <is>
          <t>Claude + DeepSeek (see Extraction Log for per-cell decisions) | Verified against YUHAN_2021-2022_ESG.pdf (p.114 'Employee Diversity' table) during manual flag review; Claude values confirmed correct for Ind01 (Contract Workers% = 1.54), Ind03 (Female Contract% = 44.83). Ind25 (Covid Response) remains UNRESOLVED - see Flags to Review sheet.</t>
        </is>
      </c>
      <c r="AK13" s="42" t="inlineStr">
        <is>
          <t>See Extraction Log Notes (proxy flags, Ind.7/8 ND - no total workforce disclosed to compute %, Ind.18 2019 implausible &gt;100% value) | MANUAL FLAG cells use Claude value as placeholder pending manual review | Ind.'COVID-19 Response': manual verification inconclusive/unavailable in source per Notes - Claude value (6) retained as final per user decision.</t>
        </is>
      </c>
    </row>
    <row r="14" ht="15" customHeight="1" s="43">
      <c r="A14" s="79" t="n"/>
      <c r="B14" s="79" t="n"/>
      <c r="C14" s="79" t="inlineStr">
        <is>
          <t>Health Care</t>
        </is>
      </c>
      <c r="D14" s="79" t="inlineStr">
        <is>
          <t>2022</t>
        </is>
      </c>
      <c r="E14" s="77" t="n">
        <v>2.22</v>
      </c>
      <c r="F14" s="77" t="n">
        <v>24.7</v>
      </c>
      <c r="G14" s="77" t="n">
        <v>60.47</v>
      </c>
      <c r="H14" s="77" t="n">
        <v>8.5</v>
      </c>
      <c r="I14" s="77" t="n"/>
      <c r="J14" s="77" t="n">
        <v>40.56</v>
      </c>
      <c r="K14" s="77" t="n"/>
      <c r="L14" s="77" t="n"/>
      <c r="M14" s="77" t="n"/>
      <c r="N14" s="77" t="n">
        <v>18.18</v>
      </c>
      <c r="O14" s="77" t="n">
        <v>12.5</v>
      </c>
      <c r="P14" s="77" t="n">
        <v>91000000</v>
      </c>
      <c r="Q14" s="77" t="n">
        <v>35</v>
      </c>
      <c r="R14" s="77" t="n">
        <v>1400000</v>
      </c>
      <c r="S14" s="77" t="n">
        <v>57.9</v>
      </c>
      <c r="T14" s="77" t="n">
        <v>35</v>
      </c>
      <c r="U14" s="77" t="n">
        <v>5</v>
      </c>
      <c r="V14" s="77" t="n"/>
      <c r="W14" s="77" t="n"/>
      <c r="X14" s="77" t="n">
        <v>5.1</v>
      </c>
      <c r="Y14" s="77" t="n">
        <v>1.2</v>
      </c>
      <c r="Z14" s="77" t="n">
        <v>44.4</v>
      </c>
      <c r="AA14" s="77" t="n">
        <v>0</v>
      </c>
      <c r="AB14" s="77" t="n">
        <v>0</v>
      </c>
      <c r="AC14" s="78" t="n"/>
      <c r="AD14" s="78" t="n"/>
      <c r="AE14" s="78" t="n"/>
      <c r="AF14" s="78" t="n"/>
      <c r="AG14" s="78" t="n"/>
      <c r="AH14" s="78" t="n"/>
      <c r="AI14" s="77" t="n"/>
      <c r="AJ14" s="77" t="inlineStr">
        <is>
          <t>Claude + DeepSeek (see Extraction Log for per-cell decisions) | Verified against Yuhan Sustainability Report 2024-2025 (p.144 'Labor Union' table) during manual flag review; Claude value confirmed correct for Ind22 (Union Membership Rate% = 44.4, i.e. 392 members / 882 eligible). DeepSeek's value (20.23) traced to dividing by total employees (1,938) instead of employees eligible for union membership.</t>
        </is>
      </c>
      <c r="AK14" s="42" t="inlineStr">
        <is>
          <t>See Extraction Log Notes (proxy flags, Ind.7/8 ND - no total workforce disclosed to compute %, Ind.18 2019 implausible &gt;100% value) | MANUAL FLAG cells use Claude value as placeholder pending manual review</t>
        </is>
      </c>
    </row>
    <row r="15" ht="15" customHeight="1" s="43">
      <c r="A15" s="76" t="n"/>
      <c r="B15" s="76" t="n"/>
      <c r="C15" s="76" t="inlineStr">
        <is>
          <t>Health Care</t>
        </is>
      </c>
      <c r="D15" s="76" t="inlineStr">
        <is>
          <t>2023</t>
        </is>
      </c>
      <c r="E15" s="77" t="n">
        <v>2.75</v>
      </c>
      <c r="F15" s="77" t="n">
        <v>25.32</v>
      </c>
      <c r="G15" s="77" t="n">
        <v>45.45</v>
      </c>
      <c r="H15" s="77" t="n">
        <v>8.630000000000001</v>
      </c>
      <c r="I15" s="77" t="n"/>
      <c r="J15" s="77" t="n">
        <v>38.62</v>
      </c>
      <c r="K15" s="77" t="n"/>
      <c r="L15" s="77" t="n"/>
      <c r="M15" s="77" t="n"/>
      <c r="N15" s="77" t="n">
        <v>18.52</v>
      </c>
      <c r="O15" s="77" t="n">
        <v>14.29</v>
      </c>
      <c r="P15" s="77" t="n">
        <v>95000000</v>
      </c>
      <c r="Q15" s="77" t="n">
        <v>31.07</v>
      </c>
      <c r="R15" s="77" t="n">
        <v>1640000</v>
      </c>
      <c r="S15" s="77" t="n">
        <v>60.1</v>
      </c>
      <c r="T15" s="77" t="n">
        <v>21</v>
      </c>
      <c r="U15" s="77" t="n">
        <v>8</v>
      </c>
      <c r="V15" s="77" t="n"/>
      <c r="W15" s="77" t="n"/>
      <c r="X15" s="77" t="n">
        <v>4.7</v>
      </c>
      <c r="Y15" s="77" t="n">
        <v>1.2</v>
      </c>
      <c r="Z15" s="77" t="n">
        <v>43.2</v>
      </c>
      <c r="AA15" s="77" t="n">
        <v>0</v>
      </c>
      <c r="AB15" s="77" t="n">
        <v>0</v>
      </c>
      <c r="AC15" s="78" t="n"/>
      <c r="AD15" s="78" t="n"/>
      <c r="AE15" s="78" t="n"/>
      <c r="AF15" s="78" t="n"/>
      <c r="AG15" s="78" t="n"/>
      <c r="AH15" s="78" t="n"/>
      <c r="AI15" s="77" t="n"/>
      <c r="AJ15" s="77" t="inlineStr">
        <is>
          <t>Claude + DeepSeek (see Extraction Log for per-cell decisions) | Verified against Yuhan Sustainability Report 2024-2025 (p.144 'Labor Union' table) during manual flag review; Claude value confirmed correct for Ind22 (Union Membership Rate% = 43.2, i.e. 388 members / 899 eligible). DeepSeek's value (19.36) traced to the same wrong-denominator error (388/2,004 total employees).</t>
        </is>
      </c>
      <c r="AK15" s="42" t="inlineStr">
        <is>
          <t>See Extraction Log Notes (proxy flags, Ind.7/8 ND - no total workforce disclosed to compute %, Ind.18 2019 implausible &gt;100% value) | MANUAL FLAG cells use Claude value as placeholder pending manual review</t>
        </is>
      </c>
    </row>
    <row r="16" ht="15" customHeight="1" s="43">
      <c r="A16" s="79" t="n"/>
      <c r="B16" s="79" t="n"/>
      <c r="C16" s="79" t="inlineStr">
        <is>
          <t>Health Care</t>
        </is>
      </c>
      <c r="D16" s="79" t="inlineStr">
        <is>
          <t>2024</t>
        </is>
      </c>
      <c r="E16" s="77" t="n">
        <v>2.88</v>
      </c>
      <c r="F16" s="77" t="n">
        <v>25.63</v>
      </c>
      <c r="G16" s="77" t="n">
        <v>63.93</v>
      </c>
      <c r="H16" s="77" t="n">
        <v>9.76</v>
      </c>
      <c r="I16" s="77" t="n"/>
      <c r="J16" s="77" t="n">
        <v>39.74</v>
      </c>
      <c r="K16" s="77" t="n"/>
      <c r="L16" s="77" t="n"/>
      <c r="M16" s="77" t="n">
        <v>15.44</v>
      </c>
      <c r="N16" s="77" t="n">
        <v>16.13</v>
      </c>
      <c r="O16" s="77" t="n">
        <v>14.29</v>
      </c>
      <c r="P16" s="77" t="n">
        <v>97000000</v>
      </c>
      <c r="Q16" s="77" t="n">
        <v>30.19</v>
      </c>
      <c r="R16" s="77" t="n">
        <v>1620000</v>
      </c>
      <c r="S16" s="77" t="n">
        <v>60.7</v>
      </c>
      <c r="T16" s="77" t="n">
        <v>34</v>
      </c>
      <c r="U16" s="77" t="n">
        <v>10</v>
      </c>
      <c r="V16" s="77" t="n"/>
      <c r="W16" s="77" t="n">
        <v>12.58</v>
      </c>
      <c r="X16" s="77" t="n">
        <v>4.1</v>
      </c>
      <c r="Y16" s="77" t="n">
        <v>1.7</v>
      </c>
      <c r="Z16" s="77" t="n">
        <v>43.2</v>
      </c>
      <c r="AA16" s="77" t="n">
        <v>0</v>
      </c>
      <c r="AB16" s="77" t="n">
        <v>0</v>
      </c>
      <c r="AC16" s="78" t="n"/>
      <c r="AD16" s="78" t="n"/>
      <c r="AE16" s="78" t="n"/>
      <c r="AF16" s="78" t="n"/>
      <c r="AG16" s="78" t="n"/>
      <c r="AH16" s="78" t="n"/>
      <c r="AI16" s="77" t="n"/>
      <c r="AJ16" s="77" t="inlineStr">
        <is>
          <t>Claude + DeepSeek (see Extraction Log for per-cell decisions) | Verified against Yuhan Sustainability Report 2024-2025 (p.142 'Turnover (Resignation)' table; p.147 'Board of Directors' table) during manual flag review; Claude values confirmed correct for Ind11 (Female Board Directors% = 14.29, i.e. 1/7), Ind20 (Voluntary Turnover% = 4.1), Ind21 (Involuntary Turnover% = 1.7). DeepSeek's Ind11 value (12.5) used the prior (2022) board size of 8 rather than 2024's 7; DeepSeek's Ind21 value (1.2) matches 2023's figure, suggesting a wrong-year lookup; DeepSeek's Ind20 value (51) does not match any figure in the report.</t>
        </is>
      </c>
      <c r="AK16" s="42" t="inlineStr">
        <is>
          <t>See Extraction Log Notes (proxy flags, Ind.7/8 ND - no total workforce disclosed to compute %, Ind.18 2019 implausible &gt;100% value) | MANUAL FLAG cells use Claude value as placeholder pending manual review</t>
        </is>
      </c>
    </row>
    <row r="17" ht="15" customHeight="1" s="43">
      <c r="A17" s="75" t="inlineStr">
        <is>
          <t>SKBP</t>
        </is>
      </c>
      <c r="B17" s="75" t="inlineStr">
        <is>
          <t>326030</t>
        </is>
      </c>
      <c r="C17" s="76" t="inlineStr">
        <is>
          <t>Health Care</t>
        </is>
      </c>
      <c r="D17" s="76" t="inlineStr">
        <is>
          <t>2018</t>
        </is>
      </c>
      <c r="E17" s="77" t="n">
        <v>1.16</v>
      </c>
      <c r="F17" s="77" t="n">
        <v>56.14</v>
      </c>
      <c r="G17" s="77" t="n"/>
      <c r="H17" s="77" t="n">
        <v>27.75</v>
      </c>
      <c r="I17" s="77" t="n"/>
      <c r="J17" s="77" t="n"/>
      <c r="K17" s="77" t="n">
        <v>0.578</v>
      </c>
      <c r="L17" s="77" t="n"/>
      <c r="M17" s="77" t="n">
        <v>25</v>
      </c>
      <c r="N17" s="77" t="n">
        <v>25</v>
      </c>
      <c r="O17" s="77" t="n"/>
      <c r="P17" s="77" t="n"/>
      <c r="Q17" s="77" t="n"/>
      <c r="R17" s="77" t="n"/>
      <c r="S17" s="77" t="n"/>
      <c r="T17" s="77" t="n"/>
      <c r="U17" s="77" t="n"/>
      <c r="V17" s="77" t="n"/>
      <c r="W17" s="77" t="n"/>
      <c r="X17" s="77" t="n">
        <v>83</v>
      </c>
      <c r="Y17" s="77" t="n">
        <v>17</v>
      </c>
      <c r="Z17" s="77" t="n"/>
      <c r="AA17" s="77" t="n">
        <v>0</v>
      </c>
      <c r="AB17" s="77" t="n">
        <v>0</v>
      </c>
      <c r="AC17" s="78" t="n"/>
      <c r="AD17" s="78" t="n"/>
      <c r="AE17" s="78" t="n"/>
      <c r="AF17" s="78" t="n"/>
      <c r="AG17" s="78" t="n"/>
      <c r="AH17" s="78" t="n"/>
      <c r="AI17" s="77" t="n"/>
      <c r="AJ17" s="77" t="inlineStr">
        <is>
          <t>Claude + DeepSeek (see Extraction Log for per-cell decisions)</t>
        </is>
      </c>
      <c r="AK17" s="42" t="inlineStr">
        <is>
          <t>See Extraction Log Notes - definitional/scope conflicts across report editions for Ind.9/20/21/25; Ind.13/18 have only breakdown figures, no company-wide value, recorded in Notes only | MANUAL FLAG cells use Claude value as placeholder pending manual review</t>
        </is>
      </c>
    </row>
    <row r="18" ht="15" customHeight="1" s="43">
      <c r="A18" s="79" t="n"/>
      <c r="B18" s="79" t="n"/>
      <c r="C18" s="79" t="inlineStr">
        <is>
          <t>Health Care</t>
        </is>
      </c>
      <c r="D18" s="79" t="inlineStr">
        <is>
          <t>2019</t>
        </is>
      </c>
      <c r="E18" s="77" t="n">
        <v>3.74</v>
      </c>
      <c r="F18" s="77" t="n"/>
      <c r="G18" s="77" t="n"/>
      <c r="H18" s="77" t="n">
        <v>21.96</v>
      </c>
      <c r="I18" s="77" t="n"/>
      <c r="J18" s="77" t="n">
        <v>51.06</v>
      </c>
      <c r="K18" s="77" t="n">
        <v>0.957</v>
      </c>
      <c r="L18" s="77" t="n"/>
      <c r="M18" s="77" t="n">
        <v>48.6</v>
      </c>
      <c r="N18" s="77" t="n">
        <v>0</v>
      </c>
      <c r="O18" s="77" t="n">
        <v>20</v>
      </c>
      <c r="P18" s="77" t="n"/>
      <c r="Q18" s="77" t="n">
        <v>10.94</v>
      </c>
      <c r="R18" s="77" t="n"/>
      <c r="S18" s="77" t="n"/>
      <c r="T18" s="77" t="n">
        <v>7</v>
      </c>
      <c r="U18" s="77" t="n">
        <v>0</v>
      </c>
      <c r="V18" s="77" t="n"/>
      <c r="W18" s="77" t="n"/>
      <c r="X18" s="77" t="n">
        <v>5.2</v>
      </c>
      <c r="Y18" s="77" t="n">
        <v>0.47</v>
      </c>
      <c r="Z18" s="77" t="n"/>
      <c r="AA18" s="77" t="n">
        <v>0</v>
      </c>
      <c r="AB18" s="77" t="n">
        <v>0</v>
      </c>
      <c r="AC18" s="78" t="n"/>
      <c r="AD18" s="78" t="n">
        <v>7</v>
      </c>
      <c r="AE18" s="78" t="n">
        <v>74</v>
      </c>
      <c r="AF18" s="78" t="n"/>
      <c r="AG18" s="78" t="n"/>
      <c r="AH18" s="78" t="n"/>
      <c r="AI18" s="77" t="n"/>
      <c r="AJ18" s="77" t="inlineStr">
        <is>
          <t>Claude + DeepSeek (see Extraction Log for per-cell decisions)</t>
        </is>
      </c>
      <c r="AK18" s="42" t="inlineStr">
        <is>
          <t>See Extraction Log Notes - definitional/scope conflicts across report editions for Ind.9/20/21/25; Ind.13/18 have only breakdown figures, no company-wide value, recorded in Notes only | MANUAL FLAG cells use Claude value as placeholder pending manual review</t>
        </is>
      </c>
    </row>
    <row r="19" ht="15" customHeight="1" s="43">
      <c r="A19" s="76" t="n"/>
      <c r="B19" s="76" t="n"/>
      <c r="C19" s="76" t="inlineStr">
        <is>
          <t>Health Care</t>
        </is>
      </c>
      <c r="D19" s="76" t="inlineStr">
        <is>
          <t>2020</t>
        </is>
      </c>
      <c r="E19" s="77" t="n">
        <v>8.5</v>
      </c>
      <c r="F19" s="77" t="n"/>
      <c r="G19" s="77" t="n"/>
      <c r="H19" s="77" t="n">
        <v>36.5</v>
      </c>
      <c r="I19" s="77" t="n"/>
      <c r="J19" s="77" t="n">
        <v>42.47</v>
      </c>
      <c r="K19" s="77" t="n">
        <v>1.031</v>
      </c>
      <c r="L19" s="77" t="n"/>
      <c r="M19" s="77" t="n">
        <v>39.6</v>
      </c>
      <c r="N19" s="77" t="n">
        <v>12.5</v>
      </c>
      <c r="O19" s="77" t="n">
        <v>20</v>
      </c>
      <c r="P19" s="77" t="n"/>
      <c r="Q19" s="77" t="n">
        <v>9.380000000000001</v>
      </c>
      <c r="R19" s="77" t="n"/>
      <c r="S19" s="77" t="n"/>
      <c r="T19" s="77" t="n">
        <v>6</v>
      </c>
      <c r="U19" s="77" t="n">
        <v>0</v>
      </c>
      <c r="V19" s="77" t="n"/>
      <c r="W19" s="77" t="n"/>
      <c r="X19" s="77" t="n">
        <v>41.6</v>
      </c>
      <c r="Y19" s="77" t="n">
        <v>0</v>
      </c>
      <c r="Z19" s="77" t="n"/>
      <c r="AA19" s="77" t="n">
        <v>0</v>
      </c>
      <c r="AB19" s="77" t="n">
        <v>0</v>
      </c>
      <c r="AC19" s="78" t="n"/>
      <c r="AD19" s="78" t="n">
        <v>7</v>
      </c>
      <c r="AE19" s="78" t="n">
        <v>75</v>
      </c>
      <c r="AF19" s="78" t="n"/>
      <c r="AG19" s="78" t="n"/>
      <c r="AH19" s="78" t="n"/>
      <c r="AI19" s="77" t="n"/>
      <c r="AJ19" s="77" t="inlineStr">
        <is>
          <t>Claude + DeepSeek (see Extraction Log for per-cell decisions)</t>
        </is>
      </c>
      <c r="AK19" s="42" t="inlineStr">
        <is>
          <t>See Extraction Log Notes - definitional/scope conflicts across report editions for Ind.9/20/21/25; Ind.13/18 have only breakdown figures, no company-wide value, recorded in Notes only | MANUAL FLAG cells use Claude value as placeholder pending manual review</t>
        </is>
      </c>
    </row>
    <row r="20" ht="15" customHeight="1" s="43">
      <c r="A20" s="79" t="n"/>
      <c r="B20" s="79" t="n"/>
      <c r="C20" s="79" t="inlineStr">
        <is>
          <t>Health Care</t>
        </is>
      </c>
      <c r="D20" s="79" t="inlineStr">
        <is>
          <t>2021</t>
        </is>
      </c>
      <c r="E20" s="77" t="n">
        <v>6.12</v>
      </c>
      <c r="F20" s="77" t="n"/>
      <c r="G20" s="77" t="n"/>
      <c r="H20" s="77" t="n">
        <v>24.08</v>
      </c>
      <c r="I20" s="77" t="n"/>
      <c r="J20" s="77" t="n">
        <v>57.63</v>
      </c>
      <c r="K20" s="77" t="n"/>
      <c r="L20" s="77" t="n"/>
      <c r="M20" s="77" t="n">
        <v>49.6</v>
      </c>
      <c r="N20" s="77" t="n">
        <v>16.7</v>
      </c>
      <c r="O20" s="77" t="n">
        <v>20</v>
      </c>
      <c r="P20" s="77" t="n"/>
      <c r="Q20" s="77" t="n"/>
      <c r="R20" s="77" t="n">
        <v>4200000</v>
      </c>
      <c r="S20" s="77" t="n">
        <v>47.7</v>
      </c>
      <c r="T20" s="77" t="n">
        <v>4</v>
      </c>
      <c r="U20" s="77" t="n">
        <v>1</v>
      </c>
      <c r="V20" s="77" t="n"/>
      <c r="W20" s="77" t="n"/>
      <c r="X20" s="77" t="n">
        <v>6</v>
      </c>
      <c r="Y20" s="77" t="n">
        <v>0</v>
      </c>
      <c r="Z20" s="77" t="n"/>
      <c r="AA20" s="77" t="n">
        <v>0</v>
      </c>
      <c r="AB20" s="77" t="n">
        <v>0</v>
      </c>
      <c r="AC20" s="78" t="n">
        <v>2</v>
      </c>
      <c r="AD20" s="78" t="n">
        <v>7</v>
      </c>
      <c r="AE20" s="78" t="n">
        <v>80</v>
      </c>
      <c r="AF20" s="78" t="n"/>
      <c r="AG20" s="78" t="n"/>
      <c r="AH20" s="78" t="n"/>
      <c r="AI20" s="77" t="n"/>
      <c r="AJ20" s="77" t="inlineStr">
        <is>
          <t>Claude + DeepSeek (see Extraction Log for per-cell decisions)</t>
        </is>
      </c>
      <c r="AK20" s="42" t="inlineStr">
        <is>
          <t>See Extraction Log Notes - definitional/scope conflicts across report editions for Ind.9/20/21/25; Ind.13/18 have only breakdown figures, no company-wide value, recorded in Notes only | MANUAL FLAG cells use Claude value as placeholder pending manual review | Ind.'COVID-19 Response': manual verification inconclusive/unavailable in source per Notes - Claude value (2) retained as final per user decision.</t>
        </is>
      </c>
    </row>
    <row r="21" ht="15" customHeight="1" s="43">
      <c r="A21" s="76" t="n"/>
      <c r="B21" s="76" t="n"/>
      <c r="C21" s="76" t="inlineStr">
        <is>
          <t>Health Care</t>
        </is>
      </c>
      <c r="D21" s="76" t="inlineStr">
        <is>
          <t>2022</t>
        </is>
      </c>
      <c r="E21" s="77" t="n">
        <v>8.789999999999999</v>
      </c>
      <c r="F21" s="77" t="n"/>
      <c r="G21" s="77" t="n"/>
      <c r="H21" s="77" t="n">
        <v>19.05</v>
      </c>
      <c r="I21" s="77" t="n"/>
      <c r="J21" s="77" t="n">
        <v>44.23</v>
      </c>
      <c r="K21" s="77" t="n">
        <v>3.663</v>
      </c>
      <c r="L21" s="77" t="n"/>
      <c r="M21" s="77" t="n">
        <v>39</v>
      </c>
      <c r="N21" s="77" t="n">
        <v>27</v>
      </c>
      <c r="O21" s="77" t="n">
        <v>20</v>
      </c>
      <c r="P21" s="77" t="n">
        <v>84000000</v>
      </c>
      <c r="Q21" s="77" t="n">
        <v>42</v>
      </c>
      <c r="R21" s="77" t="n">
        <v>4900000</v>
      </c>
      <c r="S21" s="77" t="n">
        <v>29.3</v>
      </c>
      <c r="T21" s="77" t="n">
        <v>3</v>
      </c>
      <c r="U21" s="77" t="n">
        <v>2</v>
      </c>
      <c r="V21" s="77" t="n">
        <v>100</v>
      </c>
      <c r="W21" s="77" t="n"/>
      <c r="X21" s="77" t="n">
        <v>8.4</v>
      </c>
      <c r="Y21" s="77" t="n">
        <v>0</v>
      </c>
      <c r="Z21" s="77" t="n"/>
      <c r="AA21" s="77" t="n">
        <v>0</v>
      </c>
      <c r="AB21" s="77" t="n">
        <v>0</v>
      </c>
      <c r="AC21" s="78" t="n"/>
      <c r="AD21" s="78" t="n"/>
      <c r="AE21" s="78" t="n">
        <v>73</v>
      </c>
      <c r="AF21" s="78" t="n"/>
      <c r="AG21" s="78" t="n"/>
      <c r="AH21" s="78" t="inlineStr">
        <is>
          <t>A</t>
        </is>
      </c>
      <c r="AI21" s="77" t="n"/>
      <c r="AJ21" s="77" t="inlineStr">
        <is>
          <t>Claude + DeepSeek (see Extraction Log for per-cell decisions)</t>
        </is>
      </c>
      <c r="AK21" s="42" t="inlineStr">
        <is>
          <t>See Extraction Log Notes - definitional/scope conflicts across report editions for Ind.9/20/21/25; Ind.13/18 have only breakdown figures, no company-wide value, recorded in Notes only | MANUAL FLAG cells use Claude value as placeholder pending manual review</t>
        </is>
      </c>
    </row>
    <row r="22" ht="15" customHeight="1" s="43">
      <c r="A22" s="79" t="n"/>
      <c r="B22" s="79" t="n"/>
      <c r="C22" s="79" t="inlineStr">
        <is>
          <t>Health Care</t>
        </is>
      </c>
      <c r="D22" s="79" t="inlineStr">
        <is>
          <t>2023</t>
        </is>
      </c>
      <c r="E22" s="77" t="n">
        <v>9.16</v>
      </c>
      <c r="F22" s="77" t="n"/>
      <c r="G22" s="77" t="n"/>
      <c r="H22" s="77" t="n">
        <v>6.23</v>
      </c>
      <c r="I22" s="77" t="n"/>
      <c r="J22" s="77" t="n">
        <v>58.82</v>
      </c>
      <c r="K22" s="77" t="n">
        <v>3.297</v>
      </c>
      <c r="L22" s="77" t="n"/>
      <c r="M22" s="77" t="n">
        <v>40</v>
      </c>
      <c r="N22" s="77" t="n">
        <v>25</v>
      </c>
      <c r="O22" s="77" t="n">
        <v>40</v>
      </c>
      <c r="P22" s="77" t="n">
        <v>81000000</v>
      </c>
      <c r="Q22" s="77" t="n">
        <v>55</v>
      </c>
      <c r="R22" s="77" t="n">
        <v>5800000</v>
      </c>
      <c r="S22" s="77" t="n">
        <v>43</v>
      </c>
      <c r="T22" s="77" t="n">
        <v>11</v>
      </c>
      <c r="U22" s="77" t="n">
        <v>4</v>
      </c>
      <c r="V22" s="77" t="n">
        <v>100</v>
      </c>
      <c r="W22" s="77" t="n"/>
      <c r="X22" s="77" t="n">
        <v>8.1</v>
      </c>
      <c r="Y22" s="77" t="n">
        <v>0.37</v>
      </c>
      <c r="Z22" s="77" t="n"/>
      <c r="AA22" s="77" t="n">
        <v>0</v>
      </c>
      <c r="AB22" s="77" t="n">
        <v>0</v>
      </c>
      <c r="AC22" s="78" t="n"/>
      <c r="AD22" s="78" t="n"/>
      <c r="AE22" s="78" t="n">
        <v>77</v>
      </c>
      <c r="AF22" s="78" t="n"/>
      <c r="AG22" s="78" t="n"/>
      <c r="AH22" s="78" t="inlineStr">
        <is>
          <t>A</t>
        </is>
      </c>
      <c r="AI22" s="77" t="n"/>
      <c r="AJ22" s="77" t="inlineStr">
        <is>
          <t>Claude + DeepSeek (see Extraction Log for per-cell decisions)</t>
        </is>
      </c>
      <c r="AK22" s="42" t="inlineStr">
        <is>
          <t>See Extraction Log Notes - definitional/scope conflicts across report editions for Ind.9/20/21/25; Ind.13/18 have only breakdown figures, no company-wide value, recorded in Notes only | MANUAL FLAG cells use Claude value as placeholder pending manual review</t>
        </is>
      </c>
    </row>
    <row r="23" ht="15" customHeight="1" s="43">
      <c r="A23" s="76" t="n"/>
      <c r="B23" s="76" t="n"/>
      <c r="C23" s="76" t="inlineStr">
        <is>
          <t>Health Care</t>
        </is>
      </c>
      <c r="D23" s="76" t="inlineStr">
        <is>
          <t>2024</t>
        </is>
      </c>
      <c r="E23" s="77" t="n">
        <v>9.43</v>
      </c>
      <c r="F23" s="77" t="n"/>
      <c r="G23" s="77" t="n"/>
      <c r="H23" s="77" t="n">
        <v>6.79</v>
      </c>
      <c r="I23" s="77" t="n"/>
      <c r="J23" s="77" t="n">
        <v>55.56</v>
      </c>
      <c r="K23" s="77" t="n">
        <v>3.774</v>
      </c>
      <c r="L23" s="77" t="n"/>
      <c r="M23" s="77" t="n">
        <v>39</v>
      </c>
      <c r="N23" s="77" t="n">
        <v>38</v>
      </c>
      <c r="O23" s="77" t="n">
        <v>42.86</v>
      </c>
      <c r="P23" s="77" t="n">
        <v>109000000</v>
      </c>
      <c r="Q23" s="77" t="n">
        <v>52</v>
      </c>
      <c r="R23" s="77" t="n">
        <v>6500000</v>
      </c>
      <c r="S23" s="77" t="n">
        <v>36.1</v>
      </c>
      <c r="T23" s="77" t="n">
        <v>7</v>
      </c>
      <c r="U23" s="77" t="n">
        <v>2</v>
      </c>
      <c r="V23" s="77" t="n">
        <v>100</v>
      </c>
      <c r="W23" s="77" t="n"/>
      <c r="X23" s="77" t="n">
        <v>9.1</v>
      </c>
      <c r="Y23" s="77" t="n">
        <v>0.38</v>
      </c>
      <c r="Z23" s="77" t="n"/>
      <c r="AA23" s="77" t="n">
        <v>0</v>
      </c>
      <c r="AB23" s="77" t="n">
        <v>0</v>
      </c>
      <c r="AC23" s="78" t="n"/>
      <c r="AD23" s="78" t="n"/>
      <c r="AE23" s="78" t="n">
        <v>75</v>
      </c>
      <c r="AF23" s="78" t="n"/>
      <c r="AG23" s="78" t="n"/>
      <c r="AH23" s="78" t="inlineStr">
        <is>
          <t>A</t>
        </is>
      </c>
      <c r="AI23" s="77" t="n"/>
      <c r="AJ23" s="77" t="inlineStr">
        <is>
          <t>Claude + DeepSeek (see Extraction Log for per-cell decisions)</t>
        </is>
      </c>
      <c r="AK23" s="42" t="inlineStr">
        <is>
          <t>See Extraction Log Notes - definitional/scope conflicts across report editions for Ind.9/20/21/25; Ind.13/18 have only breakdown figures, no company-wide value, recorded in Notes only | MANUAL FLAG cells use Claude value as placeholder pending manual review</t>
        </is>
      </c>
    </row>
    <row r="24" ht="15" customHeight="1" s="43">
      <c r="A24" s="80" t="inlineStr">
        <is>
          <t>HANMI PHARM</t>
        </is>
      </c>
      <c r="B24" s="80" t="inlineStr">
        <is>
          <t>128940</t>
        </is>
      </c>
      <c r="C24" s="79" t="inlineStr">
        <is>
          <t>Health Care</t>
        </is>
      </c>
      <c r="D24" s="79" t="inlineStr">
        <is>
          <t>2018</t>
        </is>
      </c>
      <c r="E24" s="77" t="n">
        <v>5.17</v>
      </c>
      <c r="F24" s="77" t="n">
        <v>28.3</v>
      </c>
      <c r="G24" s="77" t="n">
        <v>54.84</v>
      </c>
      <c r="H24" s="77" t="n">
        <v>16.3</v>
      </c>
      <c r="I24" s="77" t="n"/>
      <c r="J24" s="77" t="n"/>
      <c r="K24" s="77" t="n"/>
      <c r="L24" s="77" t="n"/>
      <c r="M24" s="77" t="n"/>
      <c r="N24" s="77" t="n">
        <v>24.5</v>
      </c>
      <c r="O24" s="77" t="n"/>
      <c r="P24" s="77" t="n">
        <v>66274637</v>
      </c>
      <c r="Q24" s="77" t="n">
        <v>18.51</v>
      </c>
      <c r="R24" s="77" t="n">
        <v>958733</v>
      </c>
      <c r="S24" s="77" t="n">
        <v>5</v>
      </c>
      <c r="T24" s="77" t="n">
        <v>42</v>
      </c>
      <c r="U24" s="77" t="n"/>
      <c r="V24" s="77" t="n">
        <v>69.05</v>
      </c>
      <c r="W24" s="77" t="n">
        <v>5.9</v>
      </c>
      <c r="X24" s="77" t="n"/>
      <c r="Y24" s="77" t="n"/>
      <c r="Z24" s="77" t="n"/>
      <c r="AA24" s="77" t="n">
        <v>0</v>
      </c>
      <c r="AB24" s="77" t="n"/>
      <c r="AC24" s="78" t="n"/>
      <c r="AD24" s="78" t="n">
        <v>2</v>
      </c>
      <c r="AE24" s="78" t="n"/>
      <c r="AF24" s="78" t="n"/>
      <c r="AG24" s="78" t="n"/>
      <c r="AH24" s="78" t="n"/>
      <c r="AI24" s="77" t="n"/>
      <c r="AJ24" s="77" t="inlineStr">
        <is>
          <t>Claude + DeepSeek (see Extraction Log for per-cell decisions) | Verified against hanmipharm 2020-21 CSR Report (pp.55, 80, 84) during manual flag review; Claude values confirmed correct for Ind10 (Female Executives %, =24.5) and Ind14 (Training Spend/Employee, =958,733). DeepSeek's figures for both cells reflect wrong-denominator errors.</t>
        </is>
      </c>
      <c r="AK24" s="42" t="inlineStr">
        <is>
          <t>See Extraction Log Notes - Ind.16 2018 likely mislabeled (combined M+F, see 2019/2020 correction); Ind.23 LTIFR scope changed across editions (site-&gt;3-site-&gt;company-wide); Ind.30 KCGS rating declined A-&gt;B by 2024 | MANUAL FLAG cells use Claude value as placeholder pending manual review</t>
        </is>
      </c>
    </row>
    <row r="25" ht="15" customHeight="1" s="43">
      <c r="A25" s="76" t="n"/>
      <c r="B25" s="76" t="n"/>
      <c r="C25" s="76" t="inlineStr">
        <is>
          <t>Health Care</t>
        </is>
      </c>
      <c r="D25" s="76" t="inlineStr">
        <is>
          <t>2019</t>
        </is>
      </c>
      <c r="E25" s="77" t="n">
        <v>5.95</v>
      </c>
      <c r="F25" s="77" t="n">
        <v>44.48</v>
      </c>
      <c r="G25" s="77" t="n"/>
      <c r="H25" s="77" t="n">
        <v>11.1</v>
      </c>
      <c r="I25" s="77" t="n"/>
      <c r="J25" s="77" t="n"/>
      <c r="K25" s="77" t="n"/>
      <c r="L25" s="77" t="n"/>
      <c r="M25" s="77" t="n"/>
      <c r="N25" s="77" t="n">
        <v>25</v>
      </c>
      <c r="O25" s="77" t="n"/>
      <c r="P25" s="77" t="n">
        <v>69869791</v>
      </c>
      <c r="Q25" s="77" t="n">
        <v>21.33</v>
      </c>
      <c r="R25" s="77" t="n">
        <v>909466</v>
      </c>
      <c r="S25" s="77" t="n"/>
      <c r="T25" s="77" t="n">
        <v>36</v>
      </c>
      <c r="U25" s="77" t="n">
        <v>5</v>
      </c>
      <c r="V25" s="77" t="n">
        <v>90</v>
      </c>
      <c r="W25" s="77" t="n">
        <v>6.3</v>
      </c>
      <c r="X25" s="77" t="n">
        <v>12.4</v>
      </c>
      <c r="Y25" s="77" t="n"/>
      <c r="Z25" s="77" t="n"/>
      <c r="AA25" s="77" t="n">
        <v>0</v>
      </c>
      <c r="AB25" s="77" t="n"/>
      <c r="AC25" s="78" t="n">
        <v>0</v>
      </c>
      <c r="AD25" s="78" t="n"/>
      <c r="AE25" s="78" t="n"/>
      <c r="AF25" s="78" t="n"/>
      <c r="AG25" s="78" t="n"/>
      <c r="AH25" s="78" t="n"/>
      <c r="AI25" s="77" t="n"/>
      <c r="AJ25" s="77" t="inlineStr">
        <is>
          <t>Claude + DeepSeek (see Extraction Log for per-cell decisions)</t>
        </is>
      </c>
      <c r="AK25" s="42" t="inlineStr">
        <is>
          <t>See Extraction Log Notes - Ind.16 2018 likely mislabeled (combined M+F, see 2019/2020 correction); Ind.23 LTIFR scope changed across editions (site-&gt;3-site-&gt;company-wide); Ind.30 KCGS rating declined A-&gt;B by 2024 | MANUAL FLAG cells use Claude value as placeholder pending manual review</t>
        </is>
      </c>
    </row>
    <row r="26" ht="15" customHeight="1" s="43">
      <c r="A26" s="79" t="n"/>
      <c r="B26" s="79" t="n"/>
      <c r="C26" s="79" t="inlineStr">
        <is>
          <t>Health Care</t>
        </is>
      </c>
      <c r="D26" s="79" t="inlineStr">
        <is>
          <t>2020</t>
        </is>
      </c>
      <c r="E26" s="77" t="n">
        <v>5.16</v>
      </c>
      <c r="F26" s="77" t="n">
        <v>44.37</v>
      </c>
      <c r="G26" s="77" t="n"/>
      <c r="H26" s="77" t="n">
        <v>8.1</v>
      </c>
      <c r="I26" s="77" t="n"/>
      <c r="J26" s="77" t="n"/>
      <c r="K26" s="77" t="n"/>
      <c r="L26" s="77" t="n"/>
      <c r="M26" s="77" t="n"/>
      <c r="N26" s="77" t="n">
        <v>25.9</v>
      </c>
      <c r="O26" s="77" t="n"/>
      <c r="P26" s="77" t="n">
        <v>70263287</v>
      </c>
      <c r="Q26" s="77" t="n">
        <v>24.53</v>
      </c>
      <c r="R26" s="77" t="n">
        <v>469283</v>
      </c>
      <c r="S26" s="77" t="n"/>
      <c r="T26" s="77" t="n">
        <v>35</v>
      </c>
      <c r="U26" s="77" t="n">
        <v>10</v>
      </c>
      <c r="V26" s="77" t="n">
        <v>91</v>
      </c>
      <c r="W26" s="77" t="n">
        <v>7</v>
      </c>
      <c r="X26" s="77" t="n">
        <v>11.3</v>
      </c>
      <c r="Y26" s="77" t="n"/>
      <c r="Z26" s="77" t="n"/>
      <c r="AA26" s="77" t="n">
        <v>0.77</v>
      </c>
      <c r="AB26" s="77" t="n"/>
      <c r="AC26" s="78" t="n">
        <v>8</v>
      </c>
      <c r="AD26" s="78" t="n"/>
      <c r="AE26" s="78" t="n"/>
      <c r="AF26" s="78" t="n"/>
      <c r="AG26" s="78" t="n"/>
      <c r="AH26" s="78" t="inlineStr">
        <is>
          <t>A</t>
        </is>
      </c>
      <c r="AI26" s="77" t="n"/>
      <c r="AJ26" s="77" t="inlineStr">
        <is>
          <t>Claude + DeepSeek (see Extraction Log for per-cell decisions) | Verified against hanmipharm 2020-21 CSR Report (p.80, p.84) during manual flag review; Claude value confirmed correct for Ind14 (Training Spend/Employee, =469,283). Source edition differs from the one logged (hanmipharm_2021-2022.pdf, unavailable this session) but the underlying FY2020 figures verified are from the report covering that year directly.</t>
        </is>
      </c>
      <c r="AK26" s="42" t="inlineStr">
        <is>
          <t>See Extraction Log Notes - Ind.16 2018 likely mislabeled (combined M+F, see 2019/2020 correction); Ind.23 LTIFR scope changed across editions (site-&gt;3-site-&gt;company-wide); Ind.30 KCGS rating declined A-&gt;B by 2024 | MANUAL FLAG cells use Claude value as placeholder pending manual review</t>
        </is>
      </c>
    </row>
    <row r="27" ht="15" customHeight="1" s="43">
      <c r="A27" s="76" t="n"/>
      <c r="B27" s="76" t="n"/>
      <c r="C27" s="76" t="inlineStr">
        <is>
          <t>Health Care</t>
        </is>
      </c>
      <c r="D27" s="76" t="inlineStr">
        <is>
          <t>2021</t>
        </is>
      </c>
      <c r="E27" s="77" t="n">
        <v>5.58</v>
      </c>
      <c r="F27" s="77" t="n">
        <v>44.36</v>
      </c>
      <c r="G27" s="77" t="n"/>
      <c r="H27" s="77" t="n">
        <v>8.699999999999999</v>
      </c>
      <c r="I27" s="77" t="n"/>
      <c r="J27" s="77" t="n"/>
      <c r="K27" s="77" t="n">
        <v>2.547</v>
      </c>
      <c r="L27" s="77" t="n"/>
      <c r="M27" s="77" t="n"/>
      <c r="N27" s="77" t="n">
        <v>27.9</v>
      </c>
      <c r="O27" s="77" t="n">
        <v>0</v>
      </c>
      <c r="P27" s="77" t="n">
        <v>70877175</v>
      </c>
      <c r="Q27" s="77" t="n">
        <v>27.54</v>
      </c>
      <c r="R27" s="77" t="n">
        <v>614844</v>
      </c>
      <c r="S27" s="77" t="n"/>
      <c r="T27" s="77" t="n">
        <v>35</v>
      </c>
      <c r="U27" s="77" t="n">
        <v>5</v>
      </c>
      <c r="V27" s="77" t="n">
        <v>97</v>
      </c>
      <c r="W27" s="77" t="n">
        <v>7.7</v>
      </c>
      <c r="X27" s="77" t="n">
        <v>12.7</v>
      </c>
      <c r="Y27" s="77" t="n"/>
      <c r="Z27" s="77" t="n"/>
      <c r="AA27" s="77" t="n">
        <v>0.41</v>
      </c>
      <c r="AB27" s="77" t="n"/>
      <c r="AC27" s="78" t="n">
        <v>4</v>
      </c>
      <c r="AD27" s="78" t="n"/>
      <c r="AE27" s="78" t="n"/>
      <c r="AF27" s="78" t="n"/>
      <c r="AG27" s="78" t="n"/>
      <c r="AH27" s="78" t="inlineStr">
        <is>
          <t>A</t>
        </is>
      </c>
      <c r="AI27" s="77" t="n"/>
      <c r="AJ27" s="77" t="inlineStr">
        <is>
          <t>Claude + DeepSeek (see Extraction Log for per-cell decisions) | Ind14 (Training Spend/Employee) remains UNRESOLVED - required source hanmipharm_2021-2022.pdf was not available this session; value shown (614,844) is Claude's original placeholder, NOT independently verified. See Flags to Review sheet for detail.</t>
        </is>
      </c>
      <c r="AK27" s="42" t="inlineStr">
        <is>
          <t>See Extraction Log Notes - Ind.16 2018 likely mislabeled (combined M+F, see 2019/2020 correction); Ind.23 LTIFR scope changed across editions (site-&gt;3-site-&gt;company-wide); Ind.30 KCGS rating declined A-&gt;B by 2024 | MANUAL FLAG cells use Claude value as placeholder pending manual review | Ind.'Training Budget per Employee': manual verification inconclusive/unavailable in source per Notes - Claude value (614844) retained as final per user decision.</t>
        </is>
      </c>
    </row>
    <row r="28" ht="15" customHeight="1" s="43">
      <c r="A28" s="79" t="n"/>
      <c r="B28" s="79" t="n"/>
      <c r="C28" s="79" t="inlineStr">
        <is>
          <t>Health Care</t>
        </is>
      </c>
      <c r="D28" s="79" t="inlineStr">
        <is>
          <t>2022</t>
        </is>
      </c>
      <c r="E28" s="77" t="n">
        <v>4</v>
      </c>
      <c r="F28" s="77" t="n">
        <v>28.9</v>
      </c>
      <c r="G28" s="77" t="n">
        <v>30.4</v>
      </c>
      <c r="H28" s="77" t="n">
        <v>13.3</v>
      </c>
      <c r="I28" s="77" t="n">
        <v>35.62</v>
      </c>
      <c r="J28" s="77" t="n">
        <v>32.03</v>
      </c>
      <c r="K28" s="77" t="n">
        <v>1.26</v>
      </c>
      <c r="L28" s="77" t="n"/>
      <c r="M28" s="77" t="n">
        <v>15.9</v>
      </c>
      <c r="N28" s="77" t="n">
        <v>22.22</v>
      </c>
      <c r="O28" s="77" t="n">
        <v>20</v>
      </c>
      <c r="P28" s="77" t="n">
        <v>71936586</v>
      </c>
      <c r="Q28" s="77" t="n">
        <v>25.38</v>
      </c>
      <c r="R28" s="77" t="n">
        <v>74234</v>
      </c>
      <c r="S28" s="77" t="n"/>
      <c r="T28" s="77" t="n">
        <v>57</v>
      </c>
      <c r="U28" s="77" t="n">
        <v>24</v>
      </c>
      <c r="V28" s="77" t="n"/>
      <c r="W28" s="77" t="n">
        <v>7.9</v>
      </c>
      <c r="X28" s="77" t="n">
        <v>14.6</v>
      </c>
      <c r="Y28" s="77" t="n">
        <v>0.13</v>
      </c>
      <c r="Z28" s="77" t="n"/>
      <c r="AA28" s="77" t="n">
        <v>0</v>
      </c>
      <c r="AB28" s="77" t="n">
        <v>0</v>
      </c>
      <c r="AC28" s="78" t="n"/>
      <c r="AD28" s="78" t="n"/>
      <c r="AE28" s="78" t="n"/>
      <c r="AF28" s="78" t="n"/>
      <c r="AG28" s="78" t="n"/>
      <c r="AH28" s="78" t="n"/>
      <c r="AI28" s="77" t="n"/>
      <c r="AJ28" s="77" t="inlineStr">
        <is>
          <t>Claude + DeepSeek (see Extraction Log for per-cell decisions)</t>
        </is>
      </c>
      <c r="AK28" s="42" t="inlineStr">
        <is>
          <t>See Extraction Log Notes - Ind.16 2018 likely mislabeled (combined M+F, see 2019/2020 correction); Ind.23 LTIFR scope changed across editions (site-&gt;3-site-&gt;company-wide); Ind.30 KCGS rating declined A-&gt;B by 2024 | MANUAL FLAG cells use Claude value as placeholder pending manual review</t>
        </is>
      </c>
    </row>
    <row r="29" ht="15" customHeight="1" s="43">
      <c r="A29" s="76" t="n"/>
      <c r="B29" s="76" t="n"/>
      <c r="C29" s="76" t="inlineStr">
        <is>
          <t>Health Care</t>
        </is>
      </c>
      <c r="D29" s="76" t="inlineStr">
        <is>
          <t>2023</t>
        </is>
      </c>
      <c r="E29" s="77" t="n">
        <v>2.65</v>
      </c>
      <c r="F29" s="77" t="n">
        <v>29</v>
      </c>
      <c r="G29" s="77" t="n">
        <v>53.2</v>
      </c>
      <c r="H29" s="77" t="n">
        <v>13.3</v>
      </c>
      <c r="I29" s="77" t="n">
        <v>10.26</v>
      </c>
      <c r="J29" s="77" t="n">
        <v>38.78</v>
      </c>
      <c r="K29" s="77" t="n">
        <v>1.195</v>
      </c>
      <c r="L29" s="77" t="n"/>
      <c r="M29" s="77" t="n">
        <v>29.3</v>
      </c>
      <c r="N29" s="77" t="n">
        <v>22.5</v>
      </c>
      <c r="O29" s="77" t="n">
        <v>28.57</v>
      </c>
      <c r="P29" s="77" t="n">
        <v>76709171</v>
      </c>
      <c r="Q29" s="77" t="n">
        <v>26.44</v>
      </c>
      <c r="R29" s="77" t="n">
        <v>103714</v>
      </c>
      <c r="S29" s="77" t="n"/>
      <c r="T29" s="77" t="n">
        <v>52</v>
      </c>
      <c r="U29" s="77" t="n">
        <v>27</v>
      </c>
      <c r="V29" s="77" t="n"/>
      <c r="W29" s="77" t="n">
        <v>8.300000000000001</v>
      </c>
      <c r="X29" s="77" t="n">
        <v>13.3</v>
      </c>
      <c r="Y29" s="77" t="n">
        <v>0.13</v>
      </c>
      <c r="Z29" s="77" t="n"/>
      <c r="AA29" s="77" t="n">
        <v>0.2</v>
      </c>
      <c r="AB29" s="77" t="n">
        <v>0</v>
      </c>
      <c r="AC29" s="78" t="n"/>
      <c r="AD29" s="78" t="n"/>
      <c r="AE29" s="78" t="n"/>
      <c r="AF29" s="78" t="n"/>
      <c r="AG29" s="78" t="n"/>
      <c r="AH29" s="78" t="n"/>
      <c r="AI29" s="77" t="n"/>
      <c r="AJ29" s="77" t="inlineStr">
        <is>
          <t>Claude + DeepSeek (see Extraction Log for per-cell decisions)</t>
        </is>
      </c>
      <c r="AK29" s="42" t="inlineStr">
        <is>
          <t>See Extraction Log Notes - Ind.16 2018 likely mislabeled (combined M+F, see 2019/2020 correction); Ind.23 LTIFR scope changed across editions (site-&gt;3-site-&gt;company-wide); Ind.30 KCGS rating declined A-&gt;B by 2024 | MANUAL FLAG cells use Claude value as placeholder pending manual review</t>
        </is>
      </c>
    </row>
    <row r="30" ht="15" customHeight="1" s="43">
      <c r="A30" s="79" t="n"/>
      <c r="B30" s="79" t="n"/>
      <c r="C30" s="79" t="inlineStr">
        <is>
          <t>Health Care</t>
        </is>
      </c>
      <c r="D30" s="79" t="inlineStr">
        <is>
          <t>2024</t>
        </is>
      </c>
      <c r="E30" s="77" t="n">
        <v>2.79</v>
      </c>
      <c r="F30" s="77" t="n">
        <v>29.6</v>
      </c>
      <c r="G30" s="77" t="n">
        <v>49.3</v>
      </c>
      <c r="H30" s="77" t="n">
        <v>12.3</v>
      </c>
      <c r="I30" s="77" t="n">
        <v>10.17</v>
      </c>
      <c r="J30" s="77" t="n">
        <v>43.39</v>
      </c>
      <c r="K30" s="77" t="n">
        <v>1.209</v>
      </c>
      <c r="L30" s="77" t="n"/>
      <c r="M30" s="77" t="n">
        <v>30.2</v>
      </c>
      <c r="N30" s="77" t="n">
        <v>23.81</v>
      </c>
      <c r="O30" s="77" t="n">
        <v>20</v>
      </c>
      <c r="P30" s="77" t="n">
        <v>77210833</v>
      </c>
      <c r="Q30" s="77" t="n">
        <v>26.74</v>
      </c>
      <c r="R30" s="77" t="n">
        <v>148635</v>
      </c>
      <c r="S30" s="77" t="n"/>
      <c r="T30" s="77" t="n">
        <v>36</v>
      </c>
      <c r="U30" s="77" t="n">
        <v>16</v>
      </c>
      <c r="V30" s="77" t="n"/>
      <c r="W30" s="77" t="n">
        <v>8.5</v>
      </c>
      <c r="X30" s="77" t="n">
        <v>10.5</v>
      </c>
      <c r="Y30" s="77" t="n">
        <v>0.17</v>
      </c>
      <c r="Z30" s="77" t="n">
        <v>7.9</v>
      </c>
      <c r="AA30" s="77" t="n">
        <v>0.8</v>
      </c>
      <c r="AB30" s="77" t="n">
        <v>0</v>
      </c>
      <c r="AC30" s="78" t="n"/>
      <c r="AD30" s="78" t="n"/>
      <c r="AE30" s="78" t="n"/>
      <c r="AF30" s="78" t="n"/>
      <c r="AG30" s="78" t="n"/>
      <c r="AH30" s="78" t="inlineStr">
        <is>
          <t>Grade B</t>
        </is>
      </c>
      <c r="AI30" s="77" t="n"/>
      <c r="AJ30" s="77" t="inlineStr">
        <is>
          <t>Claude + DeepSeek (see Extraction Log for per-cell decisions) | Verified against hanmipharm 2024-25 ESG Report (p.18, '2024 Performance/ESG Highlights' table) during manual flag review; Claude value confirmed correct for Ind30 (KCGS ESG Rating, ='Grade B'). DeepSeek's 'A' traced to a mix-up with the adjacent Sustinvest rating in the same table.</t>
        </is>
      </c>
      <c r="AK30" s="42" t="inlineStr">
        <is>
          <t>See Extraction Log Notes - Ind.16 2018 likely mislabeled (combined M+F, see 2019/2020 correction); Ind.23 LTIFR scope changed across editions (site-&gt;3-site-&gt;company-wide); Ind.30 KCGS rating declined A-&gt;B by 2024 | MANUAL FLAG cells use Claude value as placeholder pending manual review</t>
        </is>
      </c>
    </row>
    <row r="31" ht="15" customHeight="1" s="43">
      <c r="A31" s="75" t="inlineStr">
        <is>
          <t>APR</t>
        </is>
      </c>
      <c r="B31" s="75" t="inlineStr">
        <is>
          <t>278470</t>
        </is>
      </c>
      <c r="C31" s="76" t="inlineStr">
        <is>
          <t>Consumer Staples</t>
        </is>
      </c>
      <c r="D31" s="76" t="inlineStr">
        <is>
          <t>2018</t>
        </is>
      </c>
      <c r="E31" s="77" t="n"/>
      <c r="F31" s="77" t="n"/>
      <c r="G31" s="77" t="n"/>
      <c r="H31" s="77" t="n"/>
      <c r="I31" s="77" t="n"/>
      <c r="J31" s="77" t="n"/>
      <c r="K31" s="77" t="n"/>
      <c r="L31" s="77" t="n"/>
      <c r="M31" s="77" t="n"/>
      <c r="N31" s="77" t="n"/>
      <c r="O31" s="77" t="n"/>
      <c r="P31" s="77" t="n"/>
      <c r="Q31" s="77" t="n"/>
      <c r="R31" s="77" t="n"/>
      <c r="S31" s="77" t="n"/>
      <c r="T31" s="77" t="n"/>
      <c r="U31" s="77" t="n"/>
      <c r="V31" s="77" t="n"/>
      <c r="W31" s="77" t="n"/>
      <c r="X31" s="77" t="n"/>
      <c r="Y31" s="77" t="n"/>
      <c r="Z31" s="77" t="n"/>
      <c r="AA31" s="77" t="n"/>
      <c r="AB31" s="77" t="n"/>
      <c r="AC31" s="78" t="n"/>
      <c r="AD31" s="78" t="n"/>
      <c r="AE31" s="78" t="n"/>
      <c r="AF31" s="78" t="n"/>
      <c r="AG31" s="78" t="n"/>
      <c r="AH31" s="78" t="n"/>
      <c r="AI31" s="77" t="n"/>
      <c r="AJ31" s="77" t="inlineStr">
        <is>
          <t>Claude + DeepSeek (see Extraction Log for per-cell decisions)</t>
        </is>
      </c>
      <c r="AK31" s="42" t="inlineStr">
        <is>
          <t>2018-2022 no data (first report, window 2023-2025). See Extraction Log Notes for Ind.7/8/9/21 flags. Report also has 2025 data not captured (outside sheet range). | MANUAL FLAG cells use Claude value as placeholder pending manual review</t>
        </is>
      </c>
    </row>
    <row r="32" ht="15" customHeight="1" s="43">
      <c r="A32" s="79" t="n"/>
      <c r="B32" s="79" t="n"/>
      <c r="C32" s="79" t="inlineStr">
        <is>
          <t>Consumer Staples</t>
        </is>
      </c>
      <c r="D32" s="79" t="inlineStr">
        <is>
          <t>2019</t>
        </is>
      </c>
      <c r="E32" s="77" t="n"/>
      <c r="F32" s="77" t="n"/>
      <c r="G32" s="77" t="n"/>
      <c r="H32" s="77" t="n"/>
      <c r="I32" s="77" t="n"/>
      <c r="J32" s="77" t="n"/>
      <c r="K32" s="77" t="n"/>
      <c r="L32" s="77" t="n"/>
      <c r="M32" s="77" t="n"/>
      <c r="N32" s="77" t="n"/>
      <c r="O32" s="77" t="n"/>
      <c r="P32" s="77" t="n"/>
      <c r="Q32" s="77" t="n"/>
      <c r="R32" s="77" t="n"/>
      <c r="S32" s="77" t="n"/>
      <c r="T32" s="77" t="n"/>
      <c r="U32" s="77" t="n"/>
      <c r="V32" s="77" t="n"/>
      <c r="W32" s="77" t="n"/>
      <c r="X32" s="77" t="n"/>
      <c r="Y32" s="77" t="n"/>
      <c r="Z32" s="77" t="n"/>
      <c r="AA32" s="77" t="n"/>
      <c r="AB32" s="77" t="n"/>
      <c r="AC32" s="78" t="n"/>
      <c r="AD32" s="78" t="n"/>
      <c r="AE32" s="78" t="n"/>
      <c r="AF32" s="78" t="n"/>
      <c r="AG32" s="78" t="n"/>
      <c r="AH32" s="78" t="n"/>
      <c r="AI32" s="77" t="n"/>
      <c r="AJ32" s="77" t="inlineStr">
        <is>
          <t>Claude + DeepSeek (see Extraction Log for per-cell decisions)</t>
        </is>
      </c>
      <c r="AK32" s="42" t="inlineStr">
        <is>
          <t>2018-2022 no data (first report, window 2023-2025). See Extraction Log Notes for Ind.7/8/9/21 flags. Report also has 2025 data not captured (outside sheet range). | MANUAL FLAG cells use Claude value as placeholder pending manual review</t>
        </is>
      </c>
    </row>
    <row r="33" ht="15" customHeight="1" s="43">
      <c r="A33" s="76" t="n"/>
      <c r="B33" s="76" t="n"/>
      <c r="C33" s="76" t="inlineStr">
        <is>
          <t>Consumer Staples</t>
        </is>
      </c>
      <c r="D33" s="76" t="inlineStr">
        <is>
          <t>2020</t>
        </is>
      </c>
      <c r="E33" s="77" t="n"/>
      <c r="F33" s="77" t="n"/>
      <c r="G33" s="77" t="n"/>
      <c r="H33" s="77" t="n"/>
      <c r="I33" s="77" t="n"/>
      <c r="J33" s="77" t="n"/>
      <c r="K33" s="77" t="n"/>
      <c r="L33" s="77" t="n"/>
      <c r="M33" s="77" t="n"/>
      <c r="N33" s="77" t="n"/>
      <c r="O33" s="77" t="n"/>
      <c r="P33" s="77" t="n"/>
      <c r="Q33" s="77" t="n"/>
      <c r="R33" s="77" t="n"/>
      <c r="S33" s="77" t="n"/>
      <c r="T33" s="77" t="n"/>
      <c r="U33" s="77" t="n"/>
      <c r="V33" s="77" t="n"/>
      <c r="W33" s="77" t="n"/>
      <c r="X33" s="77" t="n"/>
      <c r="Y33" s="77" t="n"/>
      <c r="Z33" s="77" t="n"/>
      <c r="AA33" s="77" t="n"/>
      <c r="AB33" s="77" t="n"/>
      <c r="AC33" s="78" t="n"/>
      <c r="AD33" s="78" t="n"/>
      <c r="AE33" s="78" t="n"/>
      <c r="AF33" s="78" t="n"/>
      <c r="AG33" s="78" t="n"/>
      <c r="AH33" s="78" t="n"/>
      <c r="AI33" s="77" t="n"/>
      <c r="AJ33" s="77" t="inlineStr">
        <is>
          <t>Claude + DeepSeek (see Extraction Log for per-cell decisions)</t>
        </is>
      </c>
      <c r="AK33" s="42" t="inlineStr">
        <is>
          <t>2018-2022 no data (first report, window 2023-2025). See Extraction Log Notes for Ind.7/8/9/21 flags. Report also has 2025 data not captured (outside sheet range). | MANUAL FLAG cells use Claude value as placeholder pending manual review</t>
        </is>
      </c>
    </row>
    <row r="34" ht="15" customHeight="1" s="43">
      <c r="A34" s="79" t="n"/>
      <c r="B34" s="79" t="n"/>
      <c r="C34" s="79" t="inlineStr">
        <is>
          <t>Consumer Staples</t>
        </is>
      </c>
      <c r="D34" s="79" t="inlineStr">
        <is>
          <t>2021</t>
        </is>
      </c>
      <c r="E34" s="77" t="n"/>
      <c r="F34" s="77" t="n"/>
      <c r="G34" s="77" t="n"/>
      <c r="H34" s="77" t="n"/>
      <c r="I34" s="77" t="n"/>
      <c r="J34" s="77" t="n"/>
      <c r="K34" s="77" t="n"/>
      <c r="L34" s="77" t="n"/>
      <c r="M34" s="77" t="n"/>
      <c r="N34" s="77" t="n"/>
      <c r="O34" s="77" t="n"/>
      <c r="P34" s="77" t="n"/>
      <c r="Q34" s="77" t="n"/>
      <c r="R34" s="77" t="n"/>
      <c r="S34" s="77" t="n"/>
      <c r="T34" s="77" t="n"/>
      <c r="U34" s="77" t="n"/>
      <c r="V34" s="77" t="n"/>
      <c r="W34" s="77" t="n"/>
      <c r="X34" s="77" t="n"/>
      <c r="Y34" s="77" t="n"/>
      <c r="Z34" s="77" t="n"/>
      <c r="AA34" s="77" t="n"/>
      <c r="AB34" s="77" t="n"/>
      <c r="AC34" s="78" t="n"/>
      <c r="AD34" s="78" t="n"/>
      <c r="AE34" s="78" t="n"/>
      <c r="AF34" s="78" t="n"/>
      <c r="AG34" s="78" t="n"/>
      <c r="AH34" s="78" t="n"/>
      <c r="AI34" s="77" t="n"/>
      <c r="AJ34" s="77" t="inlineStr">
        <is>
          <t>Claude + DeepSeek (see Extraction Log for per-cell decisions)</t>
        </is>
      </c>
      <c r="AK34" s="42" t="inlineStr">
        <is>
          <t>2018-2022 no data (first report, window 2023-2025). See Extraction Log Notes for Ind.7/8/9/21 flags. Report also has 2025 data not captured (outside sheet range). | MANUAL FLAG cells use Claude value as placeholder pending manual review</t>
        </is>
      </c>
    </row>
    <row r="35" ht="15" customHeight="1" s="43">
      <c r="A35" s="76" t="n"/>
      <c r="B35" s="76" t="n"/>
      <c r="C35" s="76" t="inlineStr">
        <is>
          <t>Consumer Staples</t>
        </is>
      </c>
      <c r="D35" s="76" t="inlineStr">
        <is>
          <t>2022</t>
        </is>
      </c>
      <c r="E35" s="77" t="n"/>
      <c r="F35" s="77" t="n"/>
      <c r="G35" s="77" t="n"/>
      <c r="H35" s="77" t="n"/>
      <c r="I35" s="77" t="n"/>
      <c r="J35" s="77" t="n"/>
      <c r="K35" s="77" t="n"/>
      <c r="L35" s="77" t="n"/>
      <c r="M35" s="77" t="n"/>
      <c r="N35" s="77" t="n"/>
      <c r="O35" s="77" t="n"/>
      <c r="P35" s="77" t="n"/>
      <c r="Q35" s="77" t="n"/>
      <c r="R35" s="77" t="n"/>
      <c r="S35" s="77" t="n"/>
      <c r="T35" s="77" t="n"/>
      <c r="U35" s="77" t="n"/>
      <c r="V35" s="77" t="n"/>
      <c r="W35" s="77" t="n"/>
      <c r="X35" s="77" t="n"/>
      <c r="Y35" s="77" t="n"/>
      <c r="Z35" s="77" t="n"/>
      <c r="AA35" s="77" t="n"/>
      <c r="AB35" s="77" t="n"/>
      <c r="AC35" s="78" t="n"/>
      <c r="AD35" s="78" t="n"/>
      <c r="AE35" s="78" t="n"/>
      <c r="AF35" s="78" t="n"/>
      <c r="AG35" s="78" t="n"/>
      <c r="AH35" s="78" t="n"/>
      <c r="AI35" s="77" t="n"/>
      <c r="AJ35" s="77" t="inlineStr">
        <is>
          <t>Claude + DeepSeek (see Extraction Log for per-cell decisions)</t>
        </is>
      </c>
      <c r="AK35" s="42" t="inlineStr">
        <is>
          <t>2018-2022 no data (first report, window 2023-2025). See Extraction Log Notes for Ind.7/8/9/21 flags. Report also has 2025 data not captured (outside sheet range). | MANUAL FLAG cells use Claude value as placeholder pending manual review</t>
        </is>
      </c>
    </row>
    <row r="36" ht="15" customHeight="1" s="43">
      <c r="A36" s="79" t="n"/>
      <c r="B36" s="79" t="n"/>
      <c r="C36" s="79" t="inlineStr">
        <is>
          <t>Consumer Staples</t>
        </is>
      </c>
      <c r="D36" s="79" t="inlineStr">
        <is>
          <t>2023</t>
        </is>
      </c>
      <c r="E36" s="77" t="n">
        <v>12.32</v>
      </c>
      <c r="F36" s="77" t="n">
        <v>80.70999999999999</v>
      </c>
      <c r="G36" s="77" t="n">
        <v>100</v>
      </c>
      <c r="H36" s="77" t="n">
        <v>57.8</v>
      </c>
      <c r="I36" s="77" t="n"/>
      <c r="J36" s="77" t="n">
        <v>68.2</v>
      </c>
      <c r="K36" s="77" t="n">
        <v>4.593</v>
      </c>
      <c r="L36" s="77" t="n">
        <v>5.428</v>
      </c>
      <c r="M36" s="77" t="n"/>
      <c r="N36" s="77" t="n">
        <v>28.57</v>
      </c>
      <c r="O36" s="77" t="n">
        <v>20</v>
      </c>
      <c r="P36" s="77" t="n">
        <v>52989561</v>
      </c>
      <c r="Q36" s="77" t="n">
        <v>36.59</v>
      </c>
      <c r="R36" s="77" t="n">
        <v>325678</v>
      </c>
      <c r="S36" s="77" t="n"/>
      <c r="T36" s="77" t="n">
        <v>9</v>
      </c>
      <c r="U36" s="77" t="n">
        <v>0</v>
      </c>
      <c r="V36" s="77" t="n">
        <v>100</v>
      </c>
      <c r="W36" s="77" t="n">
        <v>1.66</v>
      </c>
      <c r="X36" s="77" t="n">
        <v>27.6</v>
      </c>
      <c r="Y36" s="77" t="n">
        <v>1</v>
      </c>
      <c r="Z36" s="77" t="n"/>
      <c r="AA36" s="77" t="n">
        <v>1.06</v>
      </c>
      <c r="AB36" s="77" t="n">
        <v>0</v>
      </c>
      <c r="AC36" s="78" t="n"/>
      <c r="AD36" s="78" t="n">
        <v>8</v>
      </c>
      <c r="AE36" s="78" t="n"/>
      <c r="AF36" s="78" t="n"/>
      <c r="AG36" s="78" t="n"/>
      <c r="AH36" s="78" t="n"/>
      <c r="AI36" s="77" t="n"/>
      <c r="AJ36" s="77" t="inlineStr">
        <is>
          <t>Claude + DeepSeek (see Extraction Log for per-cell decisions)</t>
        </is>
      </c>
      <c r="AK36" s="42" t="inlineStr">
        <is>
          <t>2018-2022 no data (first report, window 2023-2025). See Extraction Log Notes for Ind.7/8/9/21 flags. Report also has 2025 data not captured (outside sheet range). | MANUAL FLAG cells use Claude value as placeholder pending manual review</t>
        </is>
      </c>
    </row>
    <row r="37" ht="15" customHeight="1" s="43">
      <c r="A37" s="76" t="n"/>
      <c r="B37" s="76" t="n"/>
      <c r="C37" s="76" t="inlineStr">
        <is>
          <t>Consumer Staples</t>
        </is>
      </c>
      <c r="D37" s="76" t="inlineStr">
        <is>
          <t>2024</t>
        </is>
      </c>
      <c r="E37" s="77" t="n">
        <v>14.54</v>
      </c>
      <c r="F37" s="77" t="n">
        <v>72.78</v>
      </c>
      <c r="G37" s="77" t="n">
        <v>80</v>
      </c>
      <c r="H37" s="77" t="n">
        <v>64.09999999999999</v>
      </c>
      <c r="I37" s="77" t="n"/>
      <c r="J37" s="77" t="n">
        <v>61</v>
      </c>
      <c r="K37" s="77" t="n">
        <v>4.523</v>
      </c>
      <c r="L37" s="77" t="n">
        <v>5.17</v>
      </c>
      <c r="M37" s="77" t="n"/>
      <c r="N37" s="77" t="n">
        <v>28.57</v>
      </c>
      <c r="O37" s="77" t="n">
        <v>20</v>
      </c>
      <c r="P37" s="77" t="n">
        <v>65255250</v>
      </c>
      <c r="Q37" s="77" t="n">
        <v>36.59</v>
      </c>
      <c r="R37" s="77" t="n">
        <v>601292</v>
      </c>
      <c r="S37" s="77" t="n">
        <v>3.5</v>
      </c>
      <c r="T37" s="77" t="n">
        <v>14</v>
      </c>
      <c r="U37" s="77" t="n">
        <v>0</v>
      </c>
      <c r="V37" s="77" t="n">
        <v>100</v>
      </c>
      <c r="W37" s="77" t="n">
        <v>1.87</v>
      </c>
      <c r="X37" s="77" t="n">
        <v>25.9</v>
      </c>
      <c r="Y37" s="77" t="n">
        <v>0.6</v>
      </c>
      <c r="Z37" s="77" t="n"/>
      <c r="AA37" s="77" t="n">
        <v>0</v>
      </c>
      <c r="AB37" s="77" t="n">
        <v>0</v>
      </c>
      <c r="AC37" s="78" t="n"/>
      <c r="AD37" s="78" t="n">
        <v>8</v>
      </c>
      <c r="AE37" s="78" t="n"/>
      <c r="AF37" s="78" t="n"/>
      <c r="AG37" s="78" t="n"/>
      <c r="AH37" s="78" t="n"/>
      <c r="AI37" s="77" t="n"/>
      <c r="AJ37" s="77" t="inlineStr">
        <is>
          <t>Claude + DeepSeek (see Extraction Log for per-cell decisions)</t>
        </is>
      </c>
      <c r="AK37" s="42" t="inlineStr">
        <is>
          <t>2018-2022 no data (first report, window 2023-2025). See Extraction Log Notes for Ind.7/8/9/21 flags. Report also has 2025 data not captured (outside sheet range). | MANUAL FLAG cells use Claude value as placeholder pending manual review</t>
        </is>
      </c>
    </row>
    <row r="38" ht="15" customHeight="1" s="43">
      <c r="A38" s="80" t="inlineStr">
        <is>
          <t>SAMYANGFOODS</t>
        </is>
      </c>
      <c r="B38" s="80" t="inlineStr">
        <is>
          <t>003230</t>
        </is>
      </c>
      <c r="C38" s="79" t="inlineStr">
        <is>
          <t>Consumer Staples</t>
        </is>
      </c>
      <c r="D38" s="79" t="inlineStr">
        <is>
          <t>2018</t>
        </is>
      </c>
      <c r="E38" s="77" t="n"/>
      <c r="F38" s="77" t="n"/>
      <c r="G38" s="77" t="n"/>
      <c r="H38" s="77" t="n"/>
      <c r="I38" s="77" t="n"/>
      <c r="J38" s="77" t="n"/>
      <c r="K38" s="77" t="n"/>
      <c r="L38" s="77" t="n"/>
      <c r="M38" s="77" t="n"/>
      <c r="N38" s="77" t="n"/>
      <c r="O38" s="77" t="n"/>
      <c r="P38" s="77" t="n"/>
      <c r="Q38" s="77" t="n"/>
      <c r="R38" s="77" t="n"/>
      <c r="S38" s="77" t="n"/>
      <c r="T38" s="77" t="n"/>
      <c r="U38" s="77" t="n"/>
      <c r="V38" s="77" t="n"/>
      <c r="W38" s="77" t="n"/>
      <c r="X38" s="77" t="n"/>
      <c r="Y38" s="77" t="n"/>
      <c r="Z38" s="77" t="n"/>
      <c r="AA38" s="77" t="n"/>
      <c r="AB38" s="77" t="n"/>
      <c r="AC38" s="78" t="n"/>
      <c r="AD38" s="78" t="n"/>
      <c r="AE38" s="78" t="n"/>
      <c r="AF38" s="78" t="n"/>
      <c r="AG38" s="78" t="n"/>
      <c r="AH38" s="78" t="n"/>
      <c r="AI38" s="77" t="n"/>
      <c r="AJ38" s="77" t="inlineStr">
        <is>
          <t>Claude + DeepSeek (see Extraction Log for per-cell decisions)</t>
        </is>
      </c>
      <c r="AK38" s="42" t="inlineStr">
        <is>
          <t>2018-2020 no data. See Extraction Log Notes - Ind.19/20/21/22 restated in 2025 ed. (basis change, not comparable pre/post 2023); Ind.7/8/18 ND (see notes for headcounts/breakdowns) | MANUAL FLAG cells use Claude value as placeholder pending manual review</t>
        </is>
      </c>
    </row>
    <row r="39" ht="15" customHeight="1" s="43">
      <c r="A39" s="76" t="n"/>
      <c r="B39" s="76" t="n"/>
      <c r="C39" s="76" t="inlineStr">
        <is>
          <t>Consumer Staples</t>
        </is>
      </c>
      <c r="D39" s="76" t="inlineStr">
        <is>
          <t>2019</t>
        </is>
      </c>
      <c r="E39" s="77" t="n"/>
      <c r="F39" s="77" t="n"/>
      <c r="G39" s="77" t="n"/>
      <c r="H39" s="77" t="n"/>
      <c r="I39" s="77" t="n"/>
      <c r="J39" s="77" t="n"/>
      <c r="K39" s="77" t="n"/>
      <c r="L39" s="77" t="n"/>
      <c r="M39" s="77" t="n"/>
      <c r="N39" s="77" t="n"/>
      <c r="O39" s="77" t="n"/>
      <c r="P39" s="77" t="n"/>
      <c r="Q39" s="77" t="n"/>
      <c r="R39" s="77" t="n"/>
      <c r="S39" s="77" t="n"/>
      <c r="T39" s="77" t="n"/>
      <c r="U39" s="77" t="n"/>
      <c r="V39" s="77" t="n"/>
      <c r="W39" s="77" t="n"/>
      <c r="X39" s="77" t="n"/>
      <c r="Y39" s="77" t="n"/>
      <c r="Z39" s="77" t="n"/>
      <c r="AA39" s="77" t="n"/>
      <c r="AB39" s="77" t="n"/>
      <c r="AC39" s="78" t="n"/>
      <c r="AD39" s="78" t="n"/>
      <c r="AE39" s="78" t="n"/>
      <c r="AF39" s="78" t="n"/>
      <c r="AG39" s="78" t="n"/>
      <c r="AH39" s="78" t="n"/>
      <c r="AI39" s="77" t="n"/>
      <c r="AJ39" s="77" t="inlineStr">
        <is>
          <t>Claude + DeepSeek (see Extraction Log for per-cell decisions)</t>
        </is>
      </c>
      <c r="AK39" s="42" t="inlineStr">
        <is>
          <t>2018-2020 no data. See Extraction Log Notes - Ind.19/20/21/22 restated in 2025 ed. (basis change, not comparable pre/post 2023); Ind.7/8/18 ND (see notes for headcounts/breakdowns) | MANUAL FLAG cells use Claude value as placeholder pending manual review</t>
        </is>
      </c>
    </row>
    <row r="40" ht="15" customHeight="1" s="43">
      <c r="A40" s="79" t="n"/>
      <c r="B40" s="79" t="n"/>
      <c r="C40" s="79" t="inlineStr">
        <is>
          <t>Consumer Staples</t>
        </is>
      </c>
      <c r="D40" s="79" t="inlineStr">
        <is>
          <t>2020</t>
        </is>
      </c>
      <c r="E40" s="77" t="n"/>
      <c r="F40" s="77" t="n"/>
      <c r="G40" s="77" t="n"/>
      <c r="H40" s="77" t="n"/>
      <c r="I40" s="77" t="n"/>
      <c r="J40" s="77" t="n"/>
      <c r="K40" s="77" t="n"/>
      <c r="L40" s="77" t="n"/>
      <c r="M40" s="77" t="n"/>
      <c r="N40" s="77" t="n"/>
      <c r="O40" s="77" t="n"/>
      <c r="P40" s="77" t="n"/>
      <c r="Q40" s="77" t="n"/>
      <c r="R40" s="77" t="n"/>
      <c r="S40" s="77" t="n"/>
      <c r="T40" s="77" t="n"/>
      <c r="U40" s="77" t="n"/>
      <c r="V40" s="77" t="n"/>
      <c r="W40" s="77" t="n"/>
      <c r="X40" s="77" t="n"/>
      <c r="Y40" s="77" t="n"/>
      <c r="Z40" s="77" t="n"/>
      <c r="AA40" s="77" t="n"/>
      <c r="AB40" s="77" t="n"/>
      <c r="AC40" s="78" t="n"/>
      <c r="AD40" s="78" t="n"/>
      <c r="AE40" s="78" t="n"/>
      <c r="AF40" s="78" t="n"/>
      <c r="AG40" s="78" t="n"/>
      <c r="AH40" s="78" t="n"/>
      <c r="AI40" s="77" t="n"/>
      <c r="AJ40" s="77" t="inlineStr">
        <is>
          <t>Claude + DeepSeek (see Extraction Log for per-cell decisions)</t>
        </is>
      </c>
      <c r="AK40" s="42" t="inlineStr">
        <is>
          <t>2018-2020 no data. See Extraction Log Notes - Ind.19/20/21/22 restated in 2025 ed. (basis change, not comparable pre/post 2023); Ind.7/8/18 ND (see notes for headcounts/breakdowns) | MANUAL FLAG cells use Claude value as placeholder pending manual review</t>
        </is>
      </c>
    </row>
    <row r="41" ht="15" customHeight="1" s="43">
      <c r="A41" s="76" t="n"/>
      <c r="B41" s="76" t="n"/>
      <c r="C41" s="76" t="inlineStr">
        <is>
          <t>Consumer Staples</t>
        </is>
      </c>
      <c r="D41" s="76" t="inlineStr">
        <is>
          <t>2021</t>
        </is>
      </c>
      <c r="E41" s="77" t="n">
        <v>10.51</v>
      </c>
      <c r="F41" s="77" t="n">
        <v>41.82</v>
      </c>
      <c r="G41" s="77" t="n">
        <v>39.06</v>
      </c>
      <c r="H41" s="77" t="n">
        <v>22.29</v>
      </c>
      <c r="I41" s="77" t="n"/>
      <c r="J41" s="77" t="n">
        <v>47.67</v>
      </c>
      <c r="K41" s="77" t="n"/>
      <c r="L41" s="77" t="n"/>
      <c r="M41" s="77" t="n">
        <v>9.859999999999999</v>
      </c>
      <c r="N41" s="77" t="n">
        <v>10</v>
      </c>
      <c r="O41" s="77" t="n">
        <v>12.5</v>
      </c>
      <c r="P41" s="77" t="n"/>
      <c r="Q41" s="77" t="n"/>
      <c r="R41" s="77" t="n">
        <v>147000</v>
      </c>
      <c r="S41" s="77" t="n">
        <v>26.8</v>
      </c>
      <c r="T41" s="77" t="n">
        <v>5</v>
      </c>
      <c r="U41" s="77" t="n">
        <v>1</v>
      </c>
      <c r="V41" s="77" t="n">
        <v>66.67</v>
      </c>
      <c r="W41" s="77" t="n">
        <v>7</v>
      </c>
      <c r="X41" s="77" t="n">
        <v>15.24</v>
      </c>
      <c r="Y41" s="77" t="n">
        <v>1.49</v>
      </c>
      <c r="Z41" s="77" t="n">
        <v>60</v>
      </c>
      <c r="AA41" s="77" t="n">
        <v>0.24</v>
      </c>
      <c r="AB41" s="77" t="n">
        <v>0</v>
      </c>
      <c r="AC41" s="78" t="n"/>
      <c r="AD41" s="78" t="n"/>
      <c r="AE41" s="78" t="n"/>
      <c r="AF41" s="78" t="n"/>
      <c r="AG41" s="78" t="n"/>
      <c r="AH41" s="78" t="n"/>
      <c r="AI41" s="77" t="n"/>
      <c r="AJ41" s="77" t="inlineStr">
        <is>
          <t>Claude + DeepSeek (see Extraction Log for per-cell decisions) || Manual review complete (see Extraction Log/Flags to Review): Ind.1 (10.51), Ind.2 (41.82), Ind.3 (39.06), Ind.23 (0.24) all verified against SAMYANGFOODS_2023.pdf pp.87,89 - Claude's values confirmed correct in every case; DeepSeek errors traced to wrong denominators (Ind.1/2/3) and a mislabeled OIFR-vs-LTIR row (Ind.23).</t>
        </is>
      </c>
      <c r="AK41" s="42" t="inlineStr">
        <is>
          <t>2018-2020 no data. See Extraction Log Notes - Ind.19/20/21/22 restated in 2025 ed. (basis change, not comparable pre/post 2023); Ind.7/8/18 ND (see notes for headcounts/breakdowns) | MANUAL FLAG cells use Claude value as placeholder pending manual review</t>
        </is>
      </c>
    </row>
    <row r="42" ht="15" customHeight="1" s="43">
      <c r="A42" s="79" t="n"/>
      <c r="B42" s="79" t="n"/>
      <c r="C42" s="79" t="inlineStr">
        <is>
          <t>Consumer Staples</t>
        </is>
      </c>
      <c r="D42" s="79" t="inlineStr">
        <is>
          <t>2022</t>
        </is>
      </c>
      <c r="E42" s="77" t="n">
        <v>17.39</v>
      </c>
      <c r="F42" s="77" t="n">
        <v>44.18</v>
      </c>
      <c r="G42" s="77" t="n">
        <v>41.49</v>
      </c>
      <c r="H42" s="77" t="n">
        <v>36.66</v>
      </c>
      <c r="I42" s="77" t="n"/>
      <c r="J42" s="77" t="n">
        <v>40.23</v>
      </c>
      <c r="K42" s="77" t="n"/>
      <c r="L42" s="77" t="n"/>
      <c r="M42" s="77" t="n">
        <v>11.11</v>
      </c>
      <c r="N42" s="77" t="n">
        <v>11.11</v>
      </c>
      <c r="O42" s="77" t="n">
        <v>12.5</v>
      </c>
      <c r="P42" s="77" t="n"/>
      <c r="Q42" s="77" t="n"/>
      <c r="R42" s="77" t="n">
        <v>357000</v>
      </c>
      <c r="S42" s="77" t="n">
        <v>30.7</v>
      </c>
      <c r="T42" s="77" t="n">
        <v>6</v>
      </c>
      <c r="U42" s="77" t="n">
        <v>2</v>
      </c>
      <c r="V42" s="77" t="n">
        <v>75</v>
      </c>
      <c r="W42" s="77" t="n">
        <v>7</v>
      </c>
      <c r="X42" s="77" t="n">
        <v>15.7</v>
      </c>
      <c r="Y42" s="77" t="n">
        <v>2.39</v>
      </c>
      <c r="Z42" s="77" t="n">
        <v>58</v>
      </c>
      <c r="AA42" s="77" t="n">
        <v>0.52</v>
      </c>
      <c r="AB42" s="77" t="n">
        <v>0</v>
      </c>
      <c r="AC42" s="78" t="n"/>
      <c r="AD42" s="78" t="n"/>
      <c r="AE42" s="78" t="n"/>
      <c r="AF42" s="78" t="n"/>
      <c r="AG42" s="78" t="n"/>
      <c r="AH42" s="78" t="n"/>
      <c r="AI42" s="77" t="n"/>
      <c r="AJ42" s="77" t="inlineStr">
        <is>
          <t>Claude + DeepSeek (see Extraction Log for per-cell decisions) || Manual review complete: Ind.1 (17.39), Ind.2 (44.18), Ind.3 (41.49), Ind.23 (0.52) all verified against SAMYANGFOODS_2023.pdf pp.87,89 - Claude's values confirmed correct; DeepSeek errors traced to wrong denominators (Ind.1/2/3) and OIFR/LTIR row mislabeling (Ind.23).</t>
        </is>
      </c>
      <c r="AK42" s="42" t="inlineStr">
        <is>
          <t>2018-2020 no data. See Extraction Log Notes - Ind.19/20/21/22 restated in 2025 ed. (basis change, not comparable pre/post 2023); Ind.7/8/18 ND (see notes for headcounts/breakdowns) | MANUAL FLAG cells use Claude value as placeholder pending manual review</t>
        </is>
      </c>
    </row>
    <row r="43" ht="15" customHeight="1" s="43">
      <c r="A43" s="76" t="n"/>
      <c r="B43" s="76" t="n"/>
      <c r="C43" s="76" t="inlineStr">
        <is>
          <t>Consumer Staples</t>
        </is>
      </c>
      <c r="D43" s="76" t="inlineStr">
        <is>
          <t>2023</t>
        </is>
      </c>
      <c r="E43" s="77" t="n">
        <v>19.3</v>
      </c>
      <c r="F43" s="77" t="n">
        <v>43.87</v>
      </c>
      <c r="G43" s="77" t="n">
        <v>41.04</v>
      </c>
      <c r="H43" s="77" t="n">
        <v>35.28</v>
      </c>
      <c r="I43" s="77" t="n"/>
      <c r="J43" s="77" t="n">
        <v>41.77</v>
      </c>
      <c r="K43" s="77" t="n"/>
      <c r="L43" s="77" t="n"/>
      <c r="M43" s="77" t="n">
        <v>17.02</v>
      </c>
      <c r="N43" s="77" t="n">
        <v>20</v>
      </c>
      <c r="O43" s="77" t="n">
        <v>25</v>
      </c>
      <c r="P43" s="77" t="n"/>
      <c r="Q43" s="77" t="n"/>
      <c r="R43" s="77" t="n">
        <v>335000</v>
      </c>
      <c r="S43" s="77" t="n">
        <v>29.5</v>
      </c>
      <c r="T43" s="77" t="n">
        <v>5</v>
      </c>
      <c r="U43" s="77" t="n">
        <v>7</v>
      </c>
      <c r="V43" s="77" t="n">
        <v>100</v>
      </c>
      <c r="W43" s="77" t="n">
        <v>9.699999999999999</v>
      </c>
      <c r="X43" s="77" t="n">
        <v>32.1</v>
      </c>
      <c r="Y43" s="77" t="n">
        <v>7.1</v>
      </c>
      <c r="Z43" s="77" t="n">
        <v>72.59999999999999</v>
      </c>
      <c r="AA43" s="77" t="n">
        <v>0.26</v>
      </c>
      <c r="AB43" s="77" t="n">
        <v>0</v>
      </c>
      <c r="AC43" s="78" t="n"/>
      <c r="AD43" s="78" t="n"/>
      <c r="AE43" s="78" t="n"/>
      <c r="AF43" s="78" t="n"/>
      <c r="AG43" s="78" t="n"/>
      <c r="AH43" s="78" t="n"/>
      <c r="AI43" s="77" t="n"/>
      <c r="AJ43" s="77" t="inlineStr">
        <is>
          <t>Claude + DeepSeek (see Extraction Log for per-cell decisions) || Manual review complete: Ind.16 (5), Ind.17 (7), Ind.20 (32.1), Ind.21 (7.1) all verified against samyangfoods_2025.pdf pp.113-114 - Claude's values confirmed correct; DeepSeek pulled the 'eligible for parental leave' row instead of 'used parental leave' with Male/Female swapped (Ind.16/17), and swapped the Voluntary/Involuntary turnover rows (Ind.20/21).</t>
        </is>
      </c>
      <c r="AK43" s="42" t="inlineStr">
        <is>
          <t>2018-2020 no data. See Extraction Log Notes - Ind.19/20/21/22 restated in 2025 ed. (basis change, not comparable pre/post 2023); Ind.7/8/18 ND (see notes for headcounts/breakdowns) | MANUAL FLAG cells use Claude value as placeholder pending manual review</t>
        </is>
      </c>
    </row>
    <row r="44" ht="15" customHeight="1" s="43">
      <c r="A44" s="79" t="n"/>
      <c r="B44" s="79" t="n"/>
      <c r="C44" s="79" t="inlineStr">
        <is>
          <t>Consumer Staples</t>
        </is>
      </c>
      <c r="D44" s="79" t="inlineStr">
        <is>
          <t>2024</t>
        </is>
      </c>
      <c r="E44" s="77" t="n">
        <v>18.16</v>
      </c>
      <c r="F44" s="77" t="n">
        <v>43.29</v>
      </c>
      <c r="G44" s="77" t="n">
        <v>35.94</v>
      </c>
      <c r="H44" s="77" t="n">
        <v>37.91</v>
      </c>
      <c r="I44" s="77" t="n"/>
      <c r="J44" s="77" t="n">
        <v>39.85</v>
      </c>
      <c r="K44" s="77" t="n"/>
      <c r="L44" s="77" t="n"/>
      <c r="M44" s="77" t="n">
        <v>21.51</v>
      </c>
      <c r="N44" s="77" t="n">
        <v>36.36</v>
      </c>
      <c r="O44" s="77" t="n">
        <v>25</v>
      </c>
      <c r="P44" s="77" t="n"/>
      <c r="Q44" s="77" t="n"/>
      <c r="R44" s="77" t="n">
        <v>306000</v>
      </c>
      <c r="S44" s="77" t="n">
        <v>27.8</v>
      </c>
      <c r="T44" s="77" t="n">
        <v>10</v>
      </c>
      <c r="U44" s="77" t="n">
        <v>5</v>
      </c>
      <c r="V44" s="77" t="n">
        <v>80</v>
      </c>
      <c r="W44" s="77" t="n">
        <v>8.199999999999999</v>
      </c>
      <c r="X44" s="77" t="n">
        <v>21</v>
      </c>
      <c r="Y44" s="77" t="n">
        <v>6.6</v>
      </c>
      <c r="Z44" s="77" t="n">
        <v>66.2</v>
      </c>
      <c r="AA44" s="77" t="n">
        <v>0.12</v>
      </c>
      <c r="AB44" s="77" t="n">
        <v>0</v>
      </c>
      <c r="AC44" s="78" t="n"/>
      <c r="AD44" s="78" t="n"/>
      <c r="AE44" s="78" t="n"/>
      <c r="AF44" s="78" t="n"/>
      <c r="AG44" s="78" t="n"/>
      <c r="AH44" s="78" t="n"/>
      <c r="AI44" s="77" t="n"/>
      <c r="AJ44" s="77" t="inlineStr">
        <is>
          <t>Claude + DeepSeek (see Extraction Log for per-cell decisions) || Manual review complete: Ind.16 (10), Ind.17 (5), Ind.20 (21), Ind.21 (6.6) all verified against samyangfoods_2025.pdf pp.113-114 - Claude's values confirmed correct; same DeepSeek error patterns as 2023 (eligibility-row/gender mismatch for parental leave; Voluntary/Involuntary turnover swap).</t>
        </is>
      </c>
      <c r="AK44" s="42" t="inlineStr">
        <is>
          <t>2018-2020 no data. See Extraction Log Notes - Ind.19/20/21/22 restated in 2025 ed. (basis change, not comparable pre/post 2023); Ind.7/8/18 ND (see notes for headcounts/breakdowns) | MANUAL FLAG cells use Claude value as placeholder pending manual review</t>
        </is>
      </c>
    </row>
    <row r="45" ht="15" customHeight="1" s="43">
      <c r="A45" s="75" t="inlineStr">
        <is>
          <t>OCI HOLDINGS</t>
        </is>
      </c>
      <c r="B45" s="75" t="inlineStr">
        <is>
          <t>010060</t>
        </is>
      </c>
      <c r="C45" s="76" t="inlineStr">
        <is>
          <t>Financials</t>
        </is>
      </c>
      <c r="D45" s="76" t="inlineStr">
        <is>
          <t>2018</t>
        </is>
      </c>
      <c r="E45" s="77" t="n"/>
      <c r="F45" s="77" t="n"/>
      <c r="G45" s="77" t="n"/>
      <c r="H45" s="77" t="n"/>
      <c r="I45" s="77" t="n"/>
      <c r="J45" s="77" t="n"/>
      <c r="K45" s="77" t="n"/>
      <c r="L45" s="77" t="n"/>
      <c r="M45" s="77" t="n"/>
      <c r="N45" s="77" t="n"/>
      <c r="O45" s="77" t="n"/>
      <c r="P45" s="77" t="n"/>
      <c r="Q45" s="77" t="n"/>
      <c r="R45" s="77" t="n"/>
      <c r="S45" s="77" t="n"/>
      <c r="T45" s="77" t="n"/>
      <c r="U45" s="77" t="n"/>
      <c r="V45" s="77" t="n"/>
      <c r="W45" s="77" t="n"/>
      <c r="X45" s="77" t="n"/>
      <c r="Y45" s="77" t="n"/>
      <c r="Z45" s="77" t="n"/>
      <c r="AA45" s="77" t="n"/>
      <c r="AB45" s="77" t="n"/>
      <c r="AC45" s="78" t="n"/>
      <c r="AD45" s="78" t="n"/>
      <c r="AE45" s="78" t="n"/>
      <c r="AF45" s="78" t="n"/>
      <c r="AG45" s="78" t="n"/>
      <c r="AH45" s="78" t="n"/>
      <c r="AI45" s="77" t="n"/>
      <c r="AJ45" s="77" t="n"/>
      <c r="AK45" s="42" t="n"/>
    </row>
    <row r="46" ht="15" customHeight="1" s="43">
      <c r="A46" s="79" t="n"/>
      <c r="B46" s="79" t="n"/>
      <c r="C46" s="79" t="inlineStr">
        <is>
          <t>Financials</t>
        </is>
      </c>
      <c r="D46" s="79" t="inlineStr">
        <is>
          <t>2019</t>
        </is>
      </c>
      <c r="E46" s="77" t="n"/>
      <c r="F46" s="77" t="n"/>
      <c r="G46" s="77" t="n"/>
      <c r="H46" s="77" t="n"/>
      <c r="I46" s="77" t="n"/>
      <c r="J46" s="77" t="n"/>
      <c r="K46" s="77" t="n"/>
      <c r="L46" s="77" t="n"/>
      <c r="M46" s="77" t="n"/>
      <c r="N46" s="77" t="n"/>
      <c r="O46" s="77" t="n"/>
      <c r="P46" s="77" t="n"/>
      <c r="Q46" s="77" t="n"/>
      <c r="R46" s="77" t="n"/>
      <c r="S46" s="77" t="n"/>
      <c r="T46" s="77" t="n"/>
      <c r="U46" s="77" t="n"/>
      <c r="V46" s="77" t="n"/>
      <c r="W46" s="77" t="n"/>
      <c r="X46" s="77" t="n"/>
      <c r="Y46" s="77" t="n"/>
      <c r="Z46" s="77" t="n"/>
      <c r="AA46" s="77" t="n"/>
      <c r="AB46" s="77" t="n"/>
      <c r="AC46" s="78" t="n"/>
      <c r="AD46" s="78" t="n"/>
      <c r="AE46" s="78" t="n"/>
      <c r="AF46" s="78" t="n"/>
      <c r="AG46" s="78" t="n"/>
      <c r="AH46" s="78" t="n"/>
      <c r="AI46" s="77" t="n"/>
      <c r="AJ46" s="77" t="n"/>
      <c r="AK46" s="42" t="n"/>
    </row>
    <row r="47" ht="15" customHeight="1" s="43">
      <c r="A47" s="76" t="n"/>
      <c r="B47" s="76" t="n"/>
      <c r="C47" s="76" t="inlineStr">
        <is>
          <t>Financials</t>
        </is>
      </c>
      <c r="D47" s="76" t="inlineStr">
        <is>
          <t>2020</t>
        </is>
      </c>
      <c r="E47" s="77" t="n"/>
      <c r="F47" s="77" t="n"/>
      <c r="G47" s="77" t="n"/>
      <c r="H47" s="77" t="n"/>
      <c r="I47" s="77" t="n"/>
      <c r="J47" s="77" t="n"/>
      <c r="K47" s="77" t="n"/>
      <c r="L47" s="77" t="n"/>
      <c r="M47" s="77" t="n"/>
      <c r="N47" s="77" t="n"/>
      <c r="O47" s="77" t="n"/>
      <c r="P47" s="77" t="n"/>
      <c r="Q47" s="77" t="n"/>
      <c r="R47" s="77" t="n"/>
      <c r="S47" s="77" t="n"/>
      <c r="T47" s="77" t="n"/>
      <c r="U47" s="77" t="n"/>
      <c r="V47" s="77" t="n"/>
      <c r="W47" s="77" t="n"/>
      <c r="X47" s="77" t="n"/>
      <c r="Y47" s="77" t="n"/>
      <c r="Z47" s="77" t="n"/>
      <c r="AA47" s="77" t="n"/>
      <c r="AB47" s="77" t="n"/>
      <c r="AC47" s="78" t="n"/>
      <c r="AD47" s="78" t="n"/>
      <c r="AE47" s="78" t="n"/>
      <c r="AF47" s="78" t="n"/>
      <c r="AG47" s="78" t="n"/>
      <c r="AH47" s="78" t="n"/>
      <c r="AI47" s="77" t="n"/>
      <c r="AJ47" s="77" t="n"/>
      <c r="AK47" s="42" t="n"/>
    </row>
    <row r="48" ht="15" customHeight="1" s="43">
      <c r="A48" s="79" t="n"/>
      <c r="B48" s="79" t="n"/>
      <c r="C48" s="79" t="inlineStr">
        <is>
          <t>Financials</t>
        </is>
      </c>
      <c r="D48" s="79" t="inlineStr">
        <is>
          <t>2021</t>
        </is>
      </c>
      <c r="E48" s="77" t="n"/>
      <c r="F48" s="77" t="n"/>
      <c r="G48" s="77" t="n"/>
      <c r="H48" s="77" t="n"/>
      <c r="I48" s="77" t="n"/>
      <c r="J48" s="77" t="n"/>
      <c r="K48" s="77" t="n"/>
      <c r="L48" s="77" t="n"/>
      <c r="M48" s="77" t="n"/>
      <c r="N48" s="77" t="n"/>
      <c r="O48" s="77" t="n"/>
      <c r="P48" s="77" t="n"/>
      <c r="Q48" s="77" t="n"/>
      <c r="R48" s="77" t="n"/>
      <c r="S48" s="77" t="n"/>
      <c r="T48" s="77" t="n"/>
      <c r="U48" s="77" t="n"/>
      <c r="V48" s="77" t="n"/>
      <c r="W48" s="77" t="n"/>
      <c r="X48" s="77" t="n"/>
      <c r="Y48" s="77" t="n"/>
      <c r="Z48" s="77" t="n"/>
      <c r="AA48" s="77" t="n"/>
      <c r="AB48" s="77" t="n"/>
      <c r="AC48" s="78" t="n"/>
      <c r="AD48" s="78" t="n"/>
      <c r="AE48" s="78" t="n"/>
      <c r="AF48" s="78" t="n"/>
      <c r="AG48" s="78" t="n"/>
      <c r="AH48" s="78" t="n"/>
      <c r="AI48" s="77" t="n"/>
      <c r="AJ48" s="77" t="n"/>
      <c r="AK48" s="42" t="n"/>
    </row>
    <row r="49" ht="15" customHeight="1" s="43">
      <c r="A49" s="76" t="n"/>
      <c r="B49" s="76" t="n"/>
      <c r="C49" s="76" t="inlineStr">
        <is>
          <t>Financials</t>
        </is>
      </c>
      <c r="D49" s="76" t="inlineStr">
        <is>
          <t>2022</t>
        </is>
      </c>
      <c r="E49" s="77" t="n"/>
      <c r="F49" s="77" t="n"/>
      <c r="G49" s="77" t="n"/>
      <c r="H49" s="77" t="n"/>
      <c r="I49" s="77" t="n"/>
      <c r="J49" s="77" t="n"/>
      <c r="K49" s="77" t="n"/>
      <c r="L49" s="77" t="n"/>
      <c r="M49" s="77" t="n"/>
      <c r="N49" s="77" t="n"/>
      <c r="O49" s="77" t="n"/>
      <c r="P49" s="77" t="n"/>
      <c r="Q49" s="77" t="n"/>
      <c r="R49" s="77" t="n"/>
      <c r="S49" s="77" t="n"/>
      <c r="T49" s="77" t="n"/>
      <c r="U49" s="77" t="n"/>
      <c r="V49" s="77" t="n"/>
      <c r="W49" s="77" t="n"/>
      <c r="X49" s="77" t="n"/>
      <c r="Y49" s="77" t="n"/>
      <c r="Z49" s="77" t="n"/>
      <c r="AA49" s="77" t="n"/>
      <c r="AB49" s="77" t="n"/>
      <c r="AC49" s="78" t="n"/>
      <c r="AD49" s="78" t="n"/>
      <c r="AE49" s="78" t="n"/>
      <c r="AF49" s="78" t="n"/>
      <c r="AG49" s="78" t="n"/>
      <c r="AH49" s="78" t="n"/>
      <c r="AI49" s="77" t="n"/>
      <c r="AJ49" s="77" t="n"/>
      <c r="AK49" s="42" t="n"/>
    </row>
    <row r="50" ht="15" customHeight="1" s="43">
      <c r="A50" s="79" t="n"/>
      <c r="B50" s="79" t="n"/>
      <c r="C50" s="79" t="inlineStr">
        <is>
          <t>Financials</t>
        </is>
      </c>
      <c r="D50" s="79" t="inlineStr">
        <is>
          <t>2023</t>
        </is>
      </c>
      <c r="E50" s="77" t="n"/>
      <c r="F50" s="77" t="n"/>
      <c r="G50" s="77" t="n"/>
      <c r="H50" s="77" t="n"/>
      <c r="I50" s="77" t="n"/>
      <c r="J50" s="77" t="n"/>
      <c r="K50" s="77" t="n"/>
      <c r="L50" s="77" t="n"/>
      <c r="M50" s="77" t="n"/>
      <c r="N50" s="77" t="n"/>
      <c r="O50" s="77" t="n"/>
      <c r="P50" s="77" t="n"/>
      <c r="Q50" s="77" t="n"/>
      <c r="R50" s="77" t="n"/>
      <c r="S50" s="77" t="n"/>
      <c r="T50" s="77" t="n"/>
      <c r="U50" s="77" t="n"/>
      <c r="V50" s="77" t="n"/>
      <c r="W50" s="77" t="n"/>
      <c r="X50" s="77" t="n"/>
      <c r="Y50" s="77" t="n"/>
      <c r="Z50" s="77" t="n"/>
      <c r="AA50" s="77" t="n"/>
      <c r="AB50" s="77" t="n"/>
      <c r="AC50" s="78" t="n"/>
      <c r="AD50" s="78" t="n"/>
      <c r="AE50" s="78" t="n"/>
      <c r="AF50" s="78" t="n"/>
      <c r="AG50" s="78" t="n"/>
      <c r="AH50" s="78" t="n"/>
      <c r="AI50" s="77" t="n"/>
      <c r="AJ50" s="77" t="n"/>
      <c r="AK50" s="42" t="n"/>
    </row>
    <row r="51" ht="15" customHeight="1" s="43">
      <c r="A51" s="76" t="n"/>
      <c r="B51" s="76" t="n"/>
      <c r="C51" s="76" t="inlineStr">
        <is>
          <t>Financials</t>
        </is>
      </c>
      <c r="D51" s="76" t="inlineStr">
        <is>
          <t>2024</t>
        </is>
      </c>
      <c r="E51" s="77" t="n"/>
      <c r="F51" s="77" t="n"/>
      <c r="G51" s="77" t="n"/>
      <c r="H51" s="77" t="n"/>
      <c r="I51" s="77" t="n"/>
      <c r="J51" s="77" t="n"/>
      <c r="K51" s="77" t="n"/>
      <c r="L51" s="77" t="n"/>
      <c r="M51" s="77" t="n"/>
      <c r="N51" s="77" t="n"/>
      <c r="O51" s="77" t="n"/>
      <c r="P51" s="77" t="n"/>
      <c r="Q51" s="77" t="n"/>
      <c r="R51" s="77" t="n"/>
      <c r="S51" s="77" t="n"/>
      <c r="T51" s="77" t="n"/>
      <c r="U51" s="77" t="n"/>
      <c r="V51" s="77" t="n"/>
      <c r="W51" s="77" t="n"/>
      <c r="X51" s="77" t="n"/>
      <c r="Y51" s="77" t="n"/>
      <c r="Z51" s="77" t="n"/>
      <c r="AA51" s="77" t="n"/>
      <c r="AB51" s="77" t="n"/>
      <c r="AC51" s="78" t="n"/>
      <c r="AD51" s="78" t="n"/>
      <c r="AE51" s="78" t="n"/>
      <c r="AF51" s="78" t="n"/>
      <c r="AG51" s="78" t="n"/>
      <c r="AH51" s="78" t="n"/>
      <c r="AI51" s="77" t="n"/>
      <c r="AJ51" s="77" t="n"/>
      <c r="AK51" s="42" t="n"/>
    </row>
    <row r="52" ht="15" customHeight="1" s="43">
      <c r="A52" s="80" t="inlineStr">
        <is>
          <t>SHINSEGAE</t>
        </is>
      </c>
      <c r="B52" s="80" t="inlineStr">
        <is>
          <t>004170</t>
        </is>
      </c>
      <c r="C52" s="79" t="inlineStr">
        <is>
          <t>Consumer Discretionary</t>
        </is>
      </c>
      <c r="D52" s="79" t="inlineStr">
        <is>
          <t>2018</t>
        </is>
      </c>
      <c r="E52" s="77" t="n"/>
      <c r="F52" s="77" t="n"/>
      <c r="G52" s="77" t="n"/>
      <c r="H52" s="77" t="n"/>
      <c r="I52" s="77" t="n"/>
      <c r="J52" s="77" t="n"/>
      <c r="K52" s="77" t="n"/>
      <c r="L52" s="77" t="n"/>
      <c r="M52" s="77" t="n"/>
      <c r="N52" s="77" t="n"/>
      <c r="O52" s="77" t="n"/>
      <c r="P52" s="77" t="n"/>
      <c r="Q52" s="77" t="n"/>
      <c r="R52" s="77" t="n"/>
      <c r="S52" s="77" t="n"/>
      <c r="T52" s="77" t="n"/>
      <c r="U52" s="77" t="n"/>
      <c r="V52" s="77" t="n"/>
      <c r="W52" s="77" t="n"/>
      <c r="X52" s="77" t="n"/>
      <c r="Y52" s="77" t="n"/>
      <c r="Z52" s="77" t="n"/>
      <c r="AA52" s="77" t="n"/>
      <c r="AB52" s="77" t="n"/>
      <c r="AC52" s="78" t="n"/>
      <c r="AD52" s="78" t="n"/>
      <c r="AE52" s="78" t="n"/>
      <c r="AF52" s="78" t="n"/>
      <c r="AG52" s="78" t="n"/>
      <c r="AH52" s="78" t="n"/>
      <c r="AI52" s="77" t="n"/>
      <c r="AJ52" s="77" t="inlineStr">
        <is>
          <t>Claude + DeepSeek (see Extraction Log for per-cell decisions)</t>
        </is>
      </c>
      <c r="AK52" s="42" t="inlineStr">
        <is>
          <t>See Extraction Log Notes - Ind.23 LTIFR unit/methodology shift 2019-&gt;2020; Ind.16/17 proxy reintroduced inconsistently; Ind.18/20 major cross-edition conflicts for 2023 (recommend manual PDF check) | MANUAL FLAG cells use Claude value as placeholder pending manual review</t>
        </is>
      </c>
    </row>
    <row r="53" ht="15" customHeight="1" s="43">
      <c r="A53" s="76" t="n"/>
      <c r="B53" s="76" t="n"/>
      <c r="C53" s="76" t="inlineStr">
        <is>
          <t>Consumer Discretionary</t>
        </is>
      </c>
      <c r="D53" s="76" t="inlineStr">
        <is>
          <t>2019</t>
        </is>
      </c>
      <c r="E53" s="77" t="n">
        <v>0.25</v>
      </c>
      <c r="F53" s="77" t="n">
        <v>69.81</v>
      </c>
      <c r="G53" s="77" t="n">
        <v>50</v>
      </c>
      <c r="H53" s="77" t="n"/>
      <c r="I53" s="77" t="n"/>
      <c r="J53" s="77" t="n"/>
      <c r="K53" s="77" t="n">
        <v>1.675</v>
      </c>
      <c r="L53" s="77" t="n"/>
      <c r="M53" s="77" t="n">
        <v>16.25</v>
      </c>
      <c r="N53" s="77" t="n">
        <v>12.12</v>
      </c>
      <c r="O53" s="77" t="n">
        <v>0</v>
      </c>
      <c r="P53" s="77" t="n">
        <v>54500000</v>
      </c>
      <c r="Q53" s="77" t="n"/>
      <c r="R53" s="77" t="n">
        <v>720000</v>
      </c>
      <c r="S53" s="77" t="n">
        <v>48</v>
      </c>
      <c r="T53" s="77" t="n">
        <v>58</v>
      </c>
      <c r="U53" s="77" t="n">
        <v>0</v>
      </c>
      <c r="V53" s="77" t="n">
        <v>92</v>
      </c>
      <c r="W53" s="77" t="n"/>
      <c r="X53" s="77" t="n"/>
      <c r="Y53" s="77" t="n"/>
      <c r="Z53" s="77" t="n"/>
      <c r="AA53" s="77" t="n">
        <v>0.03</v>
      </c>
      <c r="AB53" s="77" t="n"/>
      <c r="AC53" s="78" t="n"/>
      <c r="AD53" s="78" t="n"/>
      <c r="AE53" s="78" t="n"/>
      <c r="AF53" s="78" t="n"/>
      <c r="AG53" s="78" t="n"/>
      <c r="AH53" s="78" t="n"/>
      <c r="AI53" s="77" t="n"/>
      <c r="AJ53" s="77" t="inlineStr">
        <is>
          <t>Claude + DeepSeek (see Extraction Log for per-cell decisions)</t>
        </is>
      </c>
      <c r="AK53" s="42" t="inlineStr">
        <is>
          <t>See Extraction Log Notes - Ind.23 LTIFR unit/methodology shift 2019-&gt;2020; Ind.16/17 proxy reintroduced inconsistently; Ind.18/20 major cross-edition conflicts for 2023 (recommend manual PDF check) | MANUAL FLAG cells use Claude value as placeholder pending manual review</t>
        </is>
      </c>
    </row>
    <row r="54" ht="15" customHeight="1" s="43">
      <c r="A54" s="79" t="n"/>
      <c r="B54" s="79" t="n"/>
      <c r="C54" s="79" t="inlineStr">
        <is>
          <t>Consumer Discretionary</t>
        </is>
      </c>
      <c r="D54" s="79" t="inlineStr">
        <is>
          <t>2020</t>
        </is>
      </c>
      <c r="E54" s="77" t="n">
        <v>0.07000000000000001</v>
      </c>
      <c r="F54" s="77" t="n">
        <v>69.37</v>
      </c>
      <c r="G54" s="77" t="n">
        <v>0</v>
      </c>
      <c r="H54" s="77" t="n">
        <v>2.3</v>
      </c>
      <c r="I54" s="77" t="n">
        <v>2.86</v>
      </c>
      <c r="J54" s="77" t="n">
        <v>58.57</v>
      </c>
      <c r="K54" s="77" t="n">
        <v>1.739</v>
      </c>
      <c r="L54" s="77" t="n"/>
      <c r="M54" s="77" t="n">
        <v>17.9</v>
      </c>
      <c r="N54" s="77" t="n">
        <v>7.1</v>
      </c>
      <c r="O54" s="77" t="n">
        <v>0</v>
      </c>
      <c r="P54" s="77" t="n">
        <v>126978176</v>
      </c>
      <c r="Q54" s="77" t="n"/>
      <c r="R54" s="77" t="n">
        <v>350000</v>
      </c>
      <c r="S54" s="77" t="n">
        <v>33</v>
      </c>
      <c r="T54" s="77" t="n">
        <v>8</v>
      </c>
      <c r="U54" s="77" t="n">
        <v>0</v>
      </c>
      <c r="V54" s="77" t="n">
        <v>88.8</v>
      </c>
      <c r="W54" s="77" t="n"/>
      <c r="X54" s="77" t="n">
        <v>2.2</v>
      </c>
      <c r="Y54" s="77" t="n">
        <v>1.54</v>
      </c>
      <c r="Z54" s="77" t="n"/>
      <c r="AA54" s="77" t="n">
        <v>0.33</v>
      </c>
      <c r="AB54" s="77" t="n">
        <v>0</v>
      </c>
      <c r="AC54" s="78" t="n"/>
      <c r="AD54" s="78" t="n">
        <v>4</v>
      </c>
      <c r="AE54" s="78" t="n"/>
      <c r="AF54" s="78" t="n"/>
      <c r="AG54" s="78" t="n"/>
      <c r="AH54" s="78" t="n"/>
      <c r="AI54" s="77" t="n"/>
      <c r="AJ54" s="77" t="inlineStr">
        <is>
          <t>Claude + DeepSeek (see Extraction Log for per-cell decisions)</t>
        </is>
      </c>
      <c r="AK54" s="42" t="inlineStr">
        <is>
          <t>See Extraction Log Notes - Ind.23 LTIFR unit/methodology shift 2019-&gt;2020; Ind.16/17 proxy reintroduced inconsistently; Ind.18/20 major cross-edition conflicts for 2023 (recommend manual PDF check) | MANUAL FLAG cells use Claude value as placeholder pending manual review</t>
        </is>
      </c>
    </row>
    <row r="55" ht="15" customHeight="1" s="43">
      <c r="A55" s="76" t="n"/>
      <c r="B55" s="76" t="n"/>
      <c r="C55" s="76" t="inlineStr">
        <is>
          <t>Consumer Discretionary</t>
        </is>
      </c>
      <c r="D55" s="76" t="inlineStr">
        <is>
          <t>2021</t>
        </is>
      </c>
      <c r="E55" s="77" t="n">
        <v>0.1</v>
      </c>
      <c r="F55" s="77" t="n">
        <v>69.73</v>
      </c>
      <c r="G55" s="77" t="n">
        <v>33.33</v>
      </c>
      <c r="H55" s="77" t="n">
        <v>7.59</v>
      </c>
      <c r="I55" s="77" t="n">
        <v>0.85</v>
      </c>
      <c r="J55" s="77" t="n">
        <v>71.61</v>
      </c>
      <c r="K55" s="77" t="n"/>
      <c r="L55" s="77" t="n"/>
      <c r="M55" s="77" t="n">
        <v>17.5</v>
      </c>
      <c r="N55" s="77" t="n">
        <v>11.8</v>
      </c>
      <c r="O55" s="77" t="n">
        <v>0</v>
      </c>
      <c r="P55" s="77" t="n">
        <v>134351560</v>
      </c>
      <c r="Q55" s="77" t="n"/>
      <c r="R55" s="77" t="n">
        <v>510000</v>
      </c>
      <c r="S55" s="77" t="n">
        <v>40</v>
      </c>
      <c r="T55" s="77" t="n">
        <v>18</v>
      </c>
      <c r="U55" s="77" t="n">
        <v>0</v>
      </c>
      <c r="V55" s="77" t="n">
        <v>95.2</v>
      </c>
      <c r="W55" s="77" t="n"/>
      <c r="X55" s="77" t="n">
        <v>3.8</v>
      </c>
      <c r="Y55" s="77" t="n">
        <v>0.9</v>
      </c>
      <c r="Z55" s="77" t="n"/>
      <c r="AA55" s="77" t="n">
        <v>0.48</v>
      </c>
      <c r="AB55" s="77" t="n">
        <v>0</v>
      </c>
      <c r="AC55" s="78" t="n"/>
      <c r="AD55" s="78" t="n">
        <v>4</v>
      </c>
      <c r="AE55" s="78" t="n"/>
      <c r="AF55" s="78" t="n"/>
      <c r="AG55" s="78" t="n"/>
      <c r="AH55" s="78" t="n"/>
      <c r="AI55" s="77" t="n"/>
      <c r="AJ55" s="77" t="inlineStr">
        <is>
          <t>Claude + DeepSeek (see Extraction Log for per-cell decisions)</t>
        </is>
      </c>
      <c r="AK55" s="42" t="inlineStr">
        <is>
          <t>See Extraction Log Notes - Ind.23 LTIFR unit/methodology shift 2019-&gt;2020; Ind.16/17 proxy reintroduced inconsistently; Ind.18/20 major cross-edition conflicts for 2023 (recommend manual PDF check) | MANUAL FLAG cells use Claude value as placeholder pending manual review</t>
        </is>
      </c>
    </row>
    <row r="56" ht="15" customHeight="1" s="43">
      <c r="A56" s="79" t="n"/>
      <c r="B56" s="79" t="n"/>
      <c r="C56" s="79" t="inlineStr">
        <is>
          <t>Consumer Discretionary</t>
        </is>
      </c>
      <c r="D56" s="79" t="inlineStr">
        <is>
          <t>2022</t>
        </is>
      </c>
      <c r="E56" s="77" t="n">
        <v>0.16</v>
      </c>
      <c r="F56" s="77" t="n">
        <v>69.19</v>
      </c>
      <c r="G56" s="77" t="n">
        <v>40</v>
      </c>
      <c r="H56" s="77" t="n">
        <v>8.44</v>
      </c>
      <c r="I56" s="77" t="n">
        <v>1.15</v>
      </c>
      <c r="J56" s="77" t="n">
        <v>64.12</v>
      </c>
      <c r="K56" s="77" t="n"/>
      <c r="L56" s="77" t="n"/>
      <c r="M56" s="77" t="n">
        <v>19.4</v>
      </c>
      <c r="N56" s="77" t="n">
        <v>17.5</v>
      </c>
      <c r="O56" s="77" t="n">
        <v>14.29</v>
      </c>
      <c r="P56" s="77" t="n">
        <v>154121699</v>
      </c>
      <c r="Q56" s="77" t="n"/>
      <c r="R56" s="77" t="n">
        <v>830000</v>
      </c>
      <c r="S56" s="77" t="n">
        <v>47</v>
      </c>
      <c r="T56" s="77" t="n">
        <v>19</v>
      </c>
      <c r="U56" s="77" t="n">
        <v>2</v>
      </c>
      <c r="V56" s="77" t="n">
        <v>100</v>
      </c>
      <c r="W56" s="77" t="n"/>
      <c r="X56" s="77" t="n">
        <v>5.2</v>
      </c>
      <c r="Y56" s="77" t="n">
        <v>0.61</v>
      </c>
      <c r="Z56" s="77" t="n"/>
      <c r="AA56" s="77" t="n">
        <v>0</v>
      </c>
      <c r="AB56" s="77" t="n">
        <v>0</v>
      </c>
      <c r="AC56" s="78" t="n"/>
      <c r="AD56" s="78" t="n">
        <v>4</v>
      </c>
      <c r="AE56" s="78" t="n"/>
      <c r="AF56" s="78" t="n">
        <v>2</v>
      </c>
      <c r="AG56" s="78" t="n"/>
      <c r="AH56" s="78" t="n"/>
      <c r="AI56" s="77" t="n"/>
      <c r="AJ56" s="77" t="inlineStr">
        <is>
          <t>Claude + DeepSeek (see Extraction Log for per-cell decisions)</t>
        </is>
      </c>
      <c r="AK56" s="42" t="inlineStr">
        <is>
          <t>See Extraction Log Notes - Ind.23 LTIFR unit/methodology shift 2019-&gt;2020; Ind.16/17 proxy reintroduced inconsistently; Ind.18/20 major cross-edition conflicts for 2023 (recommend manual PDF check) | MANUAL FLAG cells use Claude value as placeholder pending manual review</t>
        </is>
      </c>
    </row>
    <row r="57" ht="15" customHeight="1" s="43">
      <c r="A57" s="76" t="n"/>
      <c r="B57" s="76" t="n"/>
      <c r="C57" s="76" t="inlineStr">
        <is>
          <t>Consumer Discretionary</t>
        </is>
      </c>
      <c r="D57" s="76" t="inlineStr">
        <is>
          <t>2023</t>
        </is>
      </c>
      <c r="E57" s="77" t="n">
        <v>0.1</v>
      </c>
      <c r="F57" s="77" t="n">
        <v>69.06</v>
      </c>
      <c r="G57" s="77" t="n">
        <v>33.33</v>
      </c>
      <c r="H57" s="77" t="n">
        <v>8.81</v>
      </c>
      <c r="I57" s="77" t="n">
        <v>0</v>
      </c>
      <c r="J57" s="77" t="n">
        <v>66.91</v>
      </c>
      <c r="K57" s="77" t="n"/>
      <c r="L57" s="77" t="n"/>
      <c r="M57" s="77" t="n">
        <v>23</v>
      </c>
      <c r="N57" s="77" t="n">
        <v>16.1</v>
      </c>
      <c r="O57" s="77" t="n"/>
      <c r="P57" s="77" t="n">
        <v>84000000</v>
      </c>
      <c r="Q57" s="77" t="n"/>
      <c r="R57" s="77" t="n">
        <v>800000</v>
      </c>
      <c r="S57" s="77" t="n">
        <v>63.73</v>
      </c>
      <c r="T57" s="77" t="n">
        <v>75</v>
      </c>
      <c r="U57" s="77" t="n">
        <v>9</v>
      </c>
      <c r="V57" s="77" t="n"/>
      <c r="W57" s="77" t="n"/>
      <c r="X57" s="77" t="n">
        <v>5.3</v>
      </c>
      <c r="Y57" s="77" t="n">
        <v>2.1</v>
      </c>
      <c r="Z57" s="77" t="n"/>
      <c r="AA57" s="77" t="n">
        <v>0</v>
      </c>
      <c r="AB57" s="77" t="n">
        <v>0</v>
      </c>
      <c r="AC57" s="78" t="n"/>
      <c r="AD57" s="78" t="n"/>
      <c r="AE57" s="78" t="n"/>
      <c r="AF57" s="78" t="n"/>
      <c r="AG57" s="78" t="n"/>
      <c r="AH57" s="78" t="n"/>
      <c r="AI57" s="77" t="n"/>
      <c r="AJ57" s="77" t="inlineStr">
        <is>
          <t>Claude + DeepSeek (see Extraction Log for per-cell decisions)</t>
        </is>
      </c>
      <c r="AK57" s="42" t="inlineStr">
        <is>
          <t>See Extraction Log Notes - Ind.23 LTIFR unit/methodology shift 2019-&gt;2020; Ind.16/17 proxy reintroduced inconsistently; Ind.18/20 major cross-edition conflicts for 2023 (recommend manual PDF check) | MANUAL FLAG cells use Claude value as placeholder pending manual review</t>
        </is>
      </c>
    </row>
    <row r="58" ht="15" customHeight="1" s="43">
      <c r="A58" s="79" t="n"/>
      <c r="B58" s="79" t="n"/>
      <c r="C58" s="79" t="inlineStr">
        <is>
          <t>Consumer Discretionary</t>
        </is>
      </c>
      <c r="D58" s="79" t="inlineStr">
        <is>
          <t>2024</t>
        </is>
      </c>
      <c r="E58" s="77" t="n">
        <v>0.13</v>
      </c>
      <c r="F58" s="77" t="n">
        <v>68.84999999999999</v>
      </c>
      <c r="G58" s="77" t="n">
        <v>25</v>
      </c>
      <c r="H58" s="77" t="n">
        <v>7.09</v>
      </c>
      <c r="I58" s="77" t="n">
        <v>0.9</v>
      </c>
      <c r="J58" s="77" t="n">
        <v>57.47</v>
      </c>
      <c r="K58" s="77" t="n"/>
      <c r="L58" s="77" t="n"/>
      <c r="M58" s="77" t="n">
        <v>25.7</v>
      </c>
      <c r="N58" s="77" t="n">
        <v>23.1</v>
      </c>
      <c r="O58" s="77" t="n"/>
      <c r="P58" s="77" t="n">
        <v>83000000</v>
      </c>
      <c r="Q58" s="77" t="n"/>
      <c r="R58" s="77" t="n">
        <v>900000</v>
      </c>
      <c r="S58" s="77" t="n">
        <v>65.63</v>
      </c>
      <c r="T58" s="77" t="n">
        <v>76</v>
      </c>
      <c r="U58" s="77" t="n">
        <v>5</v>
      </c>
      <c r="V58" s="77" t="n"/>
      <c r="W58" s="77" t="n"/>
      <c r="X58" s="77" t="n">
        <v>3.6</v>
      </c>
      <c r="Y58" s="77" t="n">
        <v>2.6</v>
      </c>
      <c r="Z58" s="77" t="n"/>
      <c r="AA58" s="77" t="n">
        <v>0.16</v>
      </c>
      <c r="AB58" s="77" t="n">
        <v>0</v>
      </c>
      <c r="AC58" s="78" t="n"/>
      <c r="AD58" s="78" t="n"/>
      <c r="AE58" s="78" t="n"/>
      <c r="AF58" s="78" t="n"/>
      <c r="AG58" s="78" t="n"/>
      <c r="AH58" s="78" t="n"/>
      <c r="AI58" s="77" t="n"/>
      <c r="AJ58" s="77" t="inlineStr">
        <is>
          <t>Claude + DeepSeek (see Extraction Log for per-cell decisions)</t>
        </is>
      </c>
      <c r="AK58" s="42" t="inlineStr">
        <is>
          <t>See Extraction Log Notes - Ind.23 LTIFR unit/methodology shift 2019-&gt;2020; Ind.16/17 proxy reintroduced inconsistently; Ind.18/20 major cross-edition conflicts for 2023 (recommend manual PDF check) | MANUAL FLAG cells use Claude value as placeholder pending manual review</t>
        </is>
      </c>
    </row>
    <row r="59" ht="15" customHeight="1" s="43">
      <c r="A59" s="75" t="inlineStr">
        <is>
          <t>SKC</t>
        </is>
      </c>
      <c r="B59" s="75" t="inlineStr">
        <is>
          <t>011790</t>
        </is>
      </c>
      <c r="C59" s="76" t="inlineStr">
        <is>
          <t>Materials</t>
        </is>
      </c>
      <c r="D59" s="76" t="inlineStr">
        <is>
          <t>2018</t>
        </is>
      </c>
      <c r="E59" s="77" t="n">
        <v>0.9</v>
      </c>
      <c r="F59" s="77" t="n">
        <v>9.44</v>
      </c>
      <c r="G59" s="77" t="n">
        <v>36.36</v>
      </c>
      <c r="H59" s="77" t="n">
        <v>3.94</v>
      </c>
      <c r="I59" s="77" t="n"/>
      <c r="J59" s="77" t="n">
        <v>22.92</v>
      </c>
      <c r="K59" s="77" t="n"/>
      <c r="L59" s="77" t="n"/>
      <c r="M59" s="77" t="n"/>
      <c r="N59" s="77" t="n"/>
      <c r="O59" s="77" t="n"/>
      <c r="P59" s="77" t="n"/>
      <c r="Q59" s="77" t="n">
        <v>0</v>
      </c>
      <c r="R59" s="77" t="n"/>
      <c r="S59" s="77" t="n">
        <v>11.4</v>
      </c>
      <c r="T59" s="77" t="n">
        <v>9</v>
      </c>
      <c r="U59" s="77" t="n">
        <v>0</v>
      </c>
      <c r="V59" s="77" t="n">
        <v>66.7</v>
      </c>
      <c r="W59" s="77" t="n"/>
      <c r="X59" s="77" t="n"/>
      <c r="Y59" s="77" t="n"/>
      <c r="Z59" s="77" t="n"/>
      <c r="AA59" s="77" t="n"/>
      <c r="AB59" s="77" t="n">
        <v>0</v>
      </c>
      <c r="AC59" s="78" t="n"/>
      <c r="AD59" s="78" t="n"/>
      <c r="AE59" s="78" t="n"/>
      <c r="AF59" s="78" t="n"/>
      <c r="AG59" s="78" t="n"/>
      <c r="AH59" s="78" t="n"/>
      <c r="AI59" s="77" t="n"/>
      <c r="AJ59" s="77" t="inlineStr">
        <is>
          <t>Claude + DeepSeek (see Extraction Log for per-cell decisions)</t>
        </is>
      </c>
      <c r="AK59" s="42" t="inlineStr">
        <is>
          <t>See Extraction Log Notes - 2019 excludes SK nexilis subsidiary (scope caveat); Ind.23 LTIFR unit change 2021-&gt;2022 (200k hrs -&gt; 1M hrs); Ind.1/2 show large jumps 2021-&gt;2022 worth verifying | MANUAL FLAG cells use Claude value as placeholder pending manual review</t>
        </is>
      </c>
    </row>
    <row r="60" ht="15" customHeight="1" s="43">
      <c r="A60" s="79" t="n"/>
      <c r="B60" s="79" t="n"/>
      <c r="C60" s="79" t="inlineStr">
        <is>
          <t>Materials</t>
        </is>
      </c>
      <c r="D60" s="79" t="inlineStr">
        <is>
          <t>2019</t>
        </is>
      </c>
      <c r="E60" s="77" t="n">
        <v>2.01</v>
      </c>
      <c r="F60" s="77" t="n">
        <v>9.720000000000001</v>
      </c>
      <c r="G60" s="77" t="n">
        <v>31.91</v>
      </c>
      <c r="H60" s="77" t="n">
        <v>10.64</v>
      </c>
      <c r="I60" s="77" t="n"/>
      <c r="J60" s="77" t="n">
        <v>10.84</v>
      </c>
      <c r="K60" s="77" t="n"/>
      <c r="L60" s="77" t="n"/>
      <c r="M60" s="77" t="n"/>
      <c r="N60" s="77" t="n"/>
      <c r="O60" s="77" t="n">
        <v>0</v>
      </c>
      <c r="P60" s="77" t="n"/>
      <c r="Q60" s="77" t="n">
        <v>0</v>
      </c>
      <c r="R60" s="77" t="n">
        <v>1120000</v>
      </c>
      <c r="S60" s="77" t="n">
        <v>21</v>
      </c>
      <c r="T60" s="77" t="n">
        <v>18</v>
      </c>
      <c r="U60" s="77" t="n">
        <v>3</v>
      </c>
      <c r="V60" s="77" t="n">
        <v>100</v>
      </c>
      <c r="W60" s="77" t="n">
        <v>13.4</v>
      </c>
      <c r="X60" s="77" t="n"/>
      <c r="Y60" s="77" t="n">
        <v>0</v>
      </c>
      <c r="Z60" s="77" t="n"/>
      <c r="AA60" s="77" t="n">
        <v>0.34</v>
      </c>
      <c r="AB60" s="77" t="n">
        <v>0</v>
      </c>
      <c r="AC60" s="78" t="n"/>
      <c r="AD60" s="78" t="n"/>
      <c r="AE60" s="78" t="n">
        <v>71.09999999999999</v>
      </c>
      <c r="AF60" s="78" t="n"/>
      <c r="AG60" s="78" t="n"/>
      <c r="AH60" s="78" t="n"/>
      <c r="AI60" s="77" t="n"/>
      <c r="AJ60" s="77" t="inlineStr">
        <is>
          <t>Claude + DeepSeek (see Extraction Log for per-cell decisions)</t>
        </is>
      </c>
      <c r="AK60" s="42" t="inlineStr">
        <is>
          <t>See Extraction Log Notes - 2019 excludes SK nexilis subsidiary (scope caveat); Ind.23 LTIFR unit change 2021-&gt;2022 (200k hrs -&gt; 1M hrs); Ind.1/2 show large jumps 2021-&gt;2022 worth verifying | MANUAL FLAG cells use Claude value as placeholder pending manual review</t>
        </is>
      </c>
    </row>
    <row r="61" ht="15" customHeight="1" s="43">
      <c r="A61" s="76" t="n"/>
      <c r="B61" s="76" t="n"/>
      <c r="C61" s="76" t="inlineStr">
        <is>
          <t>Materials</t>
        </is>
      </c>
      <c r="D61" s="76" t="inlineStr">
        <is>
          <t>2020</t>
        </is>
      </c>
      <c r="E61" s="77" t="n">
        <v>2.47</v>
      </c>
      <c r="F61" s="77" t="n">
        <v>9.039999999999999</v>
      </c>
      <c r="G61" s="77" t="n">
        <v>42.19</v>
      </c>
      <c r="H61" s="77" t="n">
        <v>9.199999999999999</v>
      </c>
      <c r="I61" s="77" t="n"/>
      <c r="J61" s="77" t="n">
        <v>13.45</v>
      </c>
      <c r="K61" s="77" t="n"/>
      <c r="L61" s="77" t="n"/>
      <c r="M61" s="77" t="n"/>
      <c r="N61" s="77" t="n"/>
      <c r="O61" s="77" t="n">
        <v>0</v>
      </c>
      <c r="P61" s="77" t="n"/>
      <c r="Q61" s="77" t="n">
        <v>0</v>
      </c>
      <c r="R61" s="77" t="n">
        <v>2102000</v>
      </c>
      <c r="S61" s="77" t="n">
        <v>44.3</v>
      </c>
      <c r="T61" s="77" t="n">
        <v>18</v>
      </c>
      <c r="U61" s="77" t="n">
        <v>3</v>
      </c>
      <c r="V61" s="77" t="n">
        <v>100</v>
      </c>
      <c r="W61" s="77" t="n">
        <v>13.1</v>
      </c>
      <c r="X61" s="77" t="n"/>
      <c r="Y61" s="77" t="n">
        <v>0.04</v>
      </c>
      <c r="Z61" s="77" t="n"/>
      <c r="AA61" s="77" t="n">
        <v>0.45</v>
      </c>
      <c r="AB61" s="77" t="n">
        <v>0</v>
      </c>
      <c r="AC61" s="78" t="n">
        <v>8</v>
      </c>
      <c r="AD61" s="78" t="n"/>
      <c r="AE61" s="78" t="n">
        <v>73</v>
      </c>
      <c r="AF61" s="78" t="n"/>
      <c r="AG61" s="78" t="n"/>
      <c r="AH61" s="78" t="n"/>
      <c r="AI61" s="77" t="n"/>
      <c r="AJ61" s="77" t="inlineStr">
        <is>
          <t>Claude + DeepSeek (see Extraction Log for per-cell decisions)</t>
        </is>
      </c>
      <c r="AK61" s="42" t="inlineStr">
        <is>
          <t>See Extraction Log Notes - 2019 excludes SK nexilis subsidiary (scope caveat); Ind.23 LTIFR unit change 2021-&gt;2022 (200k hrs -&gt; 1M hrs); Ind.1/2 show large jumps 2021-&gt;2022 worth verifying | MANUAL FLAG cells use Claude value as placeholder pending manual review</t>
        </is>
      </c>
    </row>
    <row r="62" ht="15" customHeight="1" s="43">
      <c r="A62" s="79" t="n"/>
      <c r="B62" s="79" t="n"/>
      <c r="C62" s="79" t="inlineStr">
        <is>
          <t>Materials</t>
        </is>
      </c>
      <c r="D62" s="79" t="inlineStr">
        <is>
          <t>2021</t>
        </is>
      </c>
      <c r="E62" s="77" t="n">
        <v>2.58</v>
      </c>
      <c r="F62" s="77" t="n">
        <v>9.98</v>
      </c>
      <c r="G62" s="77" t="n">
        <v>49.25</v>
      </c>
      <c r="H62" s="77" t="n">
        <v>11.51</v>
      </c>
      <c r="I62" s="77" t="n"/>
      <c r="J62" s="77" t="n">
        <v>22.26</v>
      </c>
      <c r="K62" s="77" t="n"/>
      <c r="L62" s="77" t="n"/>
      <c r="M62" s="77" t="n"/>
      <c r="N62" s="77" t="n"/>
      <c r="O62" s="77" t="n">
        <v>14</v>
      </c>
      <c r="P62" s="77" t="n"/>
      <c r="Q62" s="77" t="n">
        <v>0</v>
      </c>
      <c r="R62" s="77" t="n">
        <v>2150000</v>
      </c>
      <c r="S62" s="77" t="n">
        <v>37</v>
      </c>
      <c r="T62" s="77" t="n">
        <v>21</v>
      </c>
      <c r="U62" s="77" t="n">
        <v>6</v>
      </c>
      <c r="V62" s="77" t="n">
        <v>89</v>
      </c>
      <c r="W62" s="77" t="n">
        <v>12.9</v>
      </c>
      <c r="X62" s="77" t="n"/>
      <c r="Y62" s="77" t="n">
        <v>0.08</v>
      </c>
      <c r="Z62" s="77" t="n"/>
      <c r="AA62" s="77" t="n">
        <v>0.33</v>
      </c>
      <c r="AB62" s="77" t="n">
        <v>0</v>
      </c>
      <c r="AC62" s="78" t="n">
        <v>4</v>
      </c>
      <c r="AD62" s="78" t="n"/>
      <c r="AE62" s="78" t="n">
        <v>72.90000000000001</v>
      </c>
      <c r="AF62" s="78" t="n"/>
      <c r="AG62" s="78" t="n"/>
      <c r="AH62" s="78" t="inlineStr">
        <is>
          <t>A</t>
        </is>
      </c>
      <c r="AI62" s="77" t="n"/>
      <c r="AJ62" s="77" t="inlineStr">
        <is>
          <t>Claude + DeepSeek (see Extraction Log for per-cell decisions)</t>
        </is>
      </c>
      <c r="AK62" s="42" t="inlineStr">
        <is>
          <t>See Extraction Log Notes - 2019 excludes SK nexilis subsidiary (scope caveat); Ind.23 LTIFR unit change 2021-&gt;2022 (200k hrs -&gt; 1M hrs); Ind.1/2 show large jumps 2021-&gt;2022 worth verifying | MANUAL FLAG cells use Claude value as placeholder pending manual review</t>
        </is>
      </c>
    </row>
    <row r="63" ht="15" customHeight="1" s="43">
      <c r="A63" s="76" t="n"/>
      <c r="B63" s="76" t="n"/>
      <c r="C63" s="76" t="inlineStr">
        <is>
          <t>Materials</t>
        </is>
      </c>
      <c r="D63" s="76" t="inlineStr">
        <is>
          <t>2022</t>
        </is>
      </c>
      <c r="E63" s="77" t="n">
        <v>7.21</v>
      </c>
      <c r="F63" s="77" t="n">
        <v>12.8</v>
      </c>
      <c r="G63" s="77" t="n">
        <v>35.92</v>
      </c>
      <c r="H63" s="77" t="n">
        <v>14.72</v>
      </c>
      <c r="I63" s="77" t="n"/>
      <c r="J63" s="77" t="n">
        <v>31.2</v>
      </c>
      <c r="K63" s="77" t="n"/>
      <c r="L63" s="77" t="n"/>
      <c r="M63" s="77" t="n">
        <v>13.15</v>
      </c>
      <c r="N63" s="77" t="n">
        <v>3.45</v>
      </c>
      <c r="O63" s="77" t="n">
        <v>14.2857</v>
      </c>
      <c r="P63" s="77" t="n"/>
      <c r="Q63" s="77" t="n">
        <v>0</v>
      </c>
      <c r="R63" s="77" t="n">
        <v>2348000</v>
      </c>
      <c r="S63" s="77" t="n">
        <v>32.9</v>
      </c>
      <c r="T63" s="77" t="n">
        <v>22</v>
      </c>
      <c r="U63" s="77" t="n">
        <v>8</v>
      </c>
      <c r="V63" s="77" t="n">
        <v>70</v>
      </c>
      <c r="W63" s="77" t="n">
        <v>11.1</v>
      </c>
      <c r="X63" s="77" t="n">
        <v>6.6</v>
      </c>
      <c r="Y63" s="77" t="n">
        <v>2.44</v>
      </c>
      <c r="Z63" s="77" t="n">
        <v>100</v>
      </c>
      <c r="AA63" s="77" t="n">
        <v>3.27</v>
      </c>
      <c r="AB63" s="77" t="n">
        <v>0</v>
      </c>
      <c r="AC63" s="78" t="n"/>
      <c r="AD63" s="78" t="n"/>
      <c r="AE63" s="78" t="n"/>
      <c r="AF63" s="78" t="n"/>
      <c r="AG63" s="78" t="n"/>
      <c r="AH63" s="78" t="n"/>
      <c r="AI63" s="77" t="n"/>
      <c r="AJ63" s="77" t="inlineStr">
        <is>
          <t>Claude + DeepSeek (see Extraction Log for per-cell decisions)</t>
        </is>
      </c>
      <c r="AK63" s="42" t="inlineStr">
        <is>
          <t>See Extraction Log Notes - 2019 excludes SK nexilis subsidiary (scope caveat); Ind.23 LTIFR unit change 2021-&gt;2022 (200k hrs -&gt; 1M hrs); Ind.1/2 show large jumps 2021-&gt;2022 worth verifying | MANUAL FLAG cells use Claude value as placeholder pending manual review</t>
        </is>
      </c>
    </row>
    <row r="64" ht="15" customHeight="1" s="43">
      <c r="A64" s="79" t="n"/>
      <c r="B64" s="79" t="n"/>
      <c r="C64" s="79" t="inlineStr">
        <is>
          <t>Materials</t>
        </is>
      </c>
      <c r="D64" s="79" t="inlineStr">
        <is>
          <t>2023</t>
        </is>
      </c>
      <c r="E64" s="77" t="n">
        <v>8.91</v>
      </c>
      <c r="F64" s="77" t="n">
        <v>14.42</v>
      </c>
      <c r="G64" s="77" t="n">
        <v>36.21</v>
      </c>
      <c r="H64" s="77" t="n">
        <v>12.21</v>
      </c>
      <c r="I64" s="77" t="n"/>
      <c r="J64" s="77" t="n">
        <v>28.9</v>
      </c>
      <c r="K64" s="77" t="n"/>
      <c r="L64" s="77" t="n"/>
      <c r="M64" s="77" t="n">
        <v>13.2</v>
      </c>
      <c r="N64" s="77" t="n">
        <v>7.94</v>
      </c>
      <c r="O64" s="77" t="n">
        <v>28.5714</v>
      </c>
      <c r="P64" s="77" t="n"/>
      <c r="Q64" s="77" t="n">
        <v>0</v>
      </c>
      <c r="R64" s="77" t="n">
        <v>3791000</v>
      </c>
      <c r="S64" s="77" t="n">
        <v>35.9</v>
      </c>
      <c r="T64" s="77" t="n">
        <v>16</v>
      </c>
      <c r="U64" s="77" t="n">
        <v>11</v>
      </c>
      <c r="V64" s="77" t="n">
        <v>87.5</v>
      </c>
      <c r="W64" s="77" t="n">
        <v>11.1</v>
      </c>
      <c r="X64" s="77" t="n">
        <v>7.3</v>
      </c>
      <c r="Y64" s="77" t="n">
        <v>3.3</v>
      </c>
      <c r="Z64" s="77" t="n">
        <v>86.90000000000001</v>
      </c>
      <c r="AA64" s="77" t="n">
        <v>2.15</v>
      </c>
      <c r="AB64" s="77" t="n">
        <v>0</v>
      </c>
      <c r="AC64" s="78" t="n"/>
      <c r="AD64" s="78" t="n"/>
      <c r="AE64" s="78" t="n"/>
      <c r="AF64" s="78" t="n"/>
      <c r="AG64" s="78" t="n"/>
      <c r="AH64" s="78" t="n"/>
      <c r="AI64" s="77" t="n"/>
      <c r="AJ64" s="77" t="inlineStr">
        <is>
          <t>Claude + DeepSeek (see Extraction Log for per-cell decisions)</t>
        </is>
      </c>
      <c r="AK64" s="42" t="inlineStr">
        <is>
          <t>See Extraction Log Notes - 2019 excludes SK nexilis subsidiary (scope caveat); Ind.23 LTIFR unit change 2021-&gt;2022 (200k hrs -&gt; 1M hrs); Ind.1/2 show large jumps 2021-&gt;2022 worth verifying | MANUAL FLAG cells use Claude value as placeholder pending manual review</t>
        </is>
      </c>
    </row>
    <row r="65" ht="15" customHeight="1" s="43">
      <c r="A65" s="76" t="n"/>
      <c r="B65" s="76" t="n"/>
      <c r="C65" s="76" t="inlineStr">
        <is>
          <t>Materials</t>
        </is>
      </c>
      <c r="D65" s="76" t="inlineStr">
        <is>
          <t>2024</t>
        </is>
      </c>
      <c r="E65" s="77" t="n">
        <v>12.23</v>
      </c>
      <c r="F65" s="77" t="n">
        <v>20.37</v>
      </c>
      <c r="G65" s="77" t="n">
        <v>30.64</v>
      </c>
      <c r="H65" s="77" t="n">
        <v>7.42</v>
      </c>
      <c r="I65" s="77" t="n"/>
      <c r="J65" s="77" t="n">
        <v>21.9</v>
      </c>
      <c r="K65" s="77" t="n"/>
      <c r="L65" s="77" t="n"/>
      <c r="M65" s="77" t="n">
        <v>15.75</v>
      </c>
      <c r="N65" s="77" t="n">
        <v>9.52</v>
      </c>
      <c r="O65" s="77" t="n">
        <v>28.5714</v>
      </c>
      <c r="P65" s="77" t="n"/>
      <c r="Q65" s="77" t="n">
        <v>0</v>
      </c>
      <c r="R65" s="77" t="n">
        <v>2059000</v>
      </c>
      <c r="S65" s="77" t="n">
        <v>20.3</v>
      </c>
      <c r="T65" s="77" t="n">
        <v>9</v>
      </c>
      <c r="U65" s="77" t="n">
        <v>19</v>
      </c>
      <c r="V65" s="77" t="n">
        <v>78.90000000000001</v>
      </c>
      <c r="W65" s="77" t="n">
        <v>11.2</v>
      </c>
      <c r="X65" s="77" t="n">
        <v>8.699999999999999</v>
      </c>
      <c r="Y65" s="77" t="n">
        <v>1.06</v>
      </c>
      <c r="Z65" s="77" t="n">
        <v>88.40000000000001</v>
      </c>
      <c r="AA65" s="77" t="n">
        <v>1.73</v>
      </c>
      <c r="AB65" s="77" t="n">
        <v>0</v>
      </c>
      <c r="AC65" s="78" t="n"/>
      <c r="AD65" s="78" t="n"/>
      <c r="AE65" s="78" t="n">
        <v>70</v>
      </c>
      <c r="AF65" s="78" t="n"/>
      <c r="AG65" s="78" t="n"/>
      <c r="AH65" s="78" t="n"/>
      <c r="AI65" s="77" t="n"/>
      <c r="AJ65" s="77" t="inlineStr">
        <is>
          <t>Claude + DeepSeek (see Extraction Log for per-cell decisions)</t>
        </is>
      </c>
      <c r="AK65" s="42" t="inlineStr">
        <is>
          <t>See Extraction Log Notes - 2019 excludes SK nexilis subsidiary (scope caveat); Ind.23 LTIFR unit change 2021-&gt;2022 (200k hrs -&gt; 1M hrs); Ind.1/2 show large jumps 2021-&gt;2022 worth verifying | MANUAL FLAG cells use Claude value as placeholder pending manual review</t>
        </is>
      </c>
    </row>
    <row r="66" ht="15" customHeight="1" s="43">
      <c r="A66" s="80" t="inlineStr">
        <is>
          <t>DOOSAN BOBCAT</t>
        </is>
      </c>
      <c r="B66" s="80" t="inlineStr">
        <is>
          <t>241560</t>
        </is>
      </c>
      <c r="C66" s="79" t="inlineStr">
        <is>
          <t>Industrials</t>
        </is>
      </c>
      <c r="D66" s="79" t="inlineStr">
        <is>
          <t>2018</t>
        </is>
      </c>
      <c r="E66" s="77" t="n">
        <v>8.93</v>
      </c>
      <c r="F66" s="77" t="n">
        <v>20.73</v>
      </c>
      <c r="G66" s="77" t="n"/>
      <c r="H66" s="77" t="n"/>
      <c r="I66" s="77" t="n"/>
      <c r="J66" s="77" t="n"/>
      <c r="K66" s="77" t="n"/>
      <c r="L66" s="77" t="n"/>
      <c r="M66" s="77" t="n"/>
      <c r="N66" s="77" t="n"/>
      <c r="O66" s="77" t="n"/>
      <c r="P66" s="77" t="n"/>
      <c r="Q66" s="77" t="n"/>
      <c r="R66" s="77" t="n"/>
      <c r="S66" s="77" t="n">
        <v>15.9</v>
      </c>
      <c r="T66" s="77" t="n"/>
      <c r="U66" s="77" t="n"/>
      <c r="V66" s="77" t="n"/>
      <c r="W66" s="77" t="n"/>
      <c r="X66" s="77" t="n"/>
      <c r="Y66" s="77" t="n"/>
      <c r="Z66" s="77" t="n"/>
      <c r="AA66" s="77" t="n"/>
      <c r="AB66" s="77" t="n">
        <v>0</v>
      </c>
      <c r="AC66" s="78" t="n"/>
      <c r="AD66" s="78" t="n"/>
      <c r="AE66" s="78" t="n"/>
      <c r="AF66" s="78" t="n"/>
      <c r="AG66" s="78" t="n"/>
      <c r="AH66" s="78" t="inlineStr">
        <is>
          <t>A</t>
        </is>
      </c>
      <c r="AI66" s="77" t="n"/>
      <c r="AJ66" s="77" t="inlineStr">
        <is>
          <t>Claude + DeepSeek (see Extraction Log for per-cell decisions)</t>
        </is>
      </c>
      <c r="AK66" s="42" t="inlineStr">
        <is>
          <t>See Extraction Log Notes - Ind.23 LTIFR huge conflict 2022-23 report vs later (likely earlier erroneous); Ind.15 Training Hours conflict 2023/2024 between 2024 vs 2025 report; Ind.11 Female Board Directors 2023 retracted by two later reports; 2024 has expanded scope (Doosan Mottrol merger) | MANUAL FLAG cells use Claude value as placeholder pending manual review</t>
        </is>
      </c>
    </row>
    <row r="67" ht="15" customHeight="1" s="43">
      <c r="A67" s="76" t="n"/>
      <c r="B67" s="76" t="n"/>
      <c r="C67" s="76" t="inlineStr">
        <is>
          <t>Industrials</t>
        </is>
      </c>
      <c r="D67" s="76" t="inlineStr">
        <is>
          <t>2019</t>
        </is>
      </c>
      <c r="E67" s="77" t="n">
        <v>3.73</v>
      </c>
      <c r="F67" s="77" t="n">
        <v>21.47</v>
      </c>
      <c r="G67" s="77" t="n">
        <v>59.46</v>
      </c>
      <c r="H67" s="77" t="n"/>
      <c r="I67" s="77" t="n"/>
      <c r="J67" s="77" t="n"/>
      <c r="K67" s="77" t="n"/>
      <c r="L67" s="77" t="n"/>
      <c r="M67" s="77" t="n"/>
      <c r="N67" s="77" t="n"/>
      <c r="O67" s="77" t="n">
        <v>0</v>
      </c>
      <c r="P67" s="77" t="n"/>
      <c r="Q67" s="77" t="n"/>
      <c r="R67" s="77" t="n"/>
      <c r="S67" s="77" t="n">
        <v>12.59</v>
      </c>
      <c r="T67" s="77" t="n"/>
      <c r="U67" s="77" t="n"/>
      <c r="V67" s="77" t="n"/>
      <c r="W67" s="77" t="n"/>
      <c r="X67" s="77" t="n"/>
      <c r="Y67" s="77" t="n"/>
      <c r="Z67" s="77" t="n"/>
      <c r="AA67" s="77" t="n"/>
      <c r="AB67" s="77" t="n"/>
      <c r="AC67" s="78" t="n"/>
      <c r="AD67" s="78" t="n"/>
      <c r="AE67" s="78" t="n"/>
      <c r="AF67" s="78" t="n"/>
      <c r="AG67" s="78" t="n"/>
      <c r="AH67" s="78" t="n"/>
      <c r="AI67" s="77" t="n"/>
      <c r="AJ67" s="77" t="inlineStr">
        <is>
          <t>Claude + DeepSeek (see Extraction Log for per-cell decisions)</t>
        </is>
      </c>
      <c r="AK67" s="42" t="inlineStr">
        <is>
          <t>See Extraction Log Notes - Ind.23 LTIFR huge conflict 2022-23 report vs later (likely earlier erroneous); Ind.15 Training Hours conflict 2023/2024 between 2024 vs 2025 report; Ind.11 Female Board Directors 2023 retracted by two later reports; 2024 has expanded scope (Doosan Mottrol merger) | MANUAL FLAG cells use Claude value as placeholder pending manual review</t>
        </is>
      </c>
    </row>
    <row r="68" ht="15" customHeight="1" s="43">
      <c r="A68" s="79" t="n"/>
      <c r="B68" s="79" t="n"/>
      <c r="C68" s="79" t="inlineStr">
        <is>
          <t>Industrials</t>
        </is>
      </c>
      <c r="D68" s="79" t="inlineStr">
        <is>
          <t>2020</t>
        </is>
      </c>
      <c r="E68" s="77" t="n">
        <v>3.06</v>
      </c>
      <c r="F68" s="77" t="n">
        <v>20.29</v>
      </c>
      <c r="G68" s="77" t="n">
        <v>71.02</v>
      </c>
      <c r="H68" s="77" t="n"/>
      <c r="I68" s="77" t="n"/>
      <c r="J68" s="77" t="n"/>
      <c r="K68" s="77" t="n"/>
      <c r="L68" s="77" t="n"/>
      <c r="M68" s="77" t="n"/>
      <c r="N68" s="77" t="n"/>
      <c r="O68" s="77" t="n"/>
      <c r="P68" s="77" t="n"/>
      <c r="Q68" s="77" t="n"/>
      <c r="R68" s="77" t="n"/>
      <c r="S68" s="77" t="n">
        <v>11.48</v>
      </c>
      <c r="T68" s="77" t="n"/>
      <c r="U68" s="77" t="n"/>
      <c r="V68" s="77" t="n"/>
      <c r="W68" s="77" t="n"/>
      <c r="X68" s="77" t="n"/>
      <c r="Y68" s="77" t="n"/>
      <c r="Z68" s="77" t="n"/>
      <c r="AA68" s="77" t="n"/>
      <c r="AB68" s="77" t="n"/>
      <c r="AC68" s="78" t="n">
        <v>4</v>
      </c>
      <c r="AD68" s="78" t="n"/>
      <c r="AE68" s="78" t="n"/>
      <c r="AF68" s="78" t="n"/>
      <c r="AG68" s="78" t="n"/>
      <c r="AH68" s="78" t="inlineStr">
        <is>
          <t>A</t>
        </is>
      </c>
      <c r="AI68" s="77" t="n"/>
      <c r="AJ68" s="77" t="inlineStr">
        <is>
          <t>Claude + DeepSeek (see Extraction Log for per-cell decisions)</t>
        </is>
      </c>
      <c r="AK68" s="42" t="inlineStr">
        <is>
          <t>See Extraction Log Notes - Ind.23 LTIFR huge conflict 2022-23 report vs later (likely earlier erroneous); Ind.15 Training Hours conflict 2023/2024 between 2024 vs 2025 report; Ind.11 Female Board Directors 2023 retracted by two later reports; 2024 has expanded scope (Doosan Mottrol merger) | MANUAL FLAG cells use Claude value as placeholder pending manual review</t>
        </is>
      </c>
    </row>
    <row r="69" ht="15" customHeight="1" s="43">
      <c r="A69" s="76" t="n"/>
      <c r="B69" s="76" t="n"/>
      <c r="C69" s="76" t="inlineStr">
        <is>
          <t>Industrials</t>
        </is>
      </c>
      <c r="D69" s="76" t="inlineStr">
        <is>
          <t>2021</t>
        </is>
      </c>
      <c r="E69" s="77" t="n"/>
      <c r="F69" s="77" t="n"/>
      <c r="G69" s="77" t="n"/>
      <c r="H69" s="77" t="n"/>
      <c r="I69" s="77" t="n"/>
      <c r="J69" s="77" t="n">
        <v>19.14</v>
      </c>
      <c r="K69" s="77" t="n"/>
      <c r="L69" s="77" t="n"/>
      <c r="M69" s="77" t="n"/>
      <c r="N69" s="77" t="n">
        <v>0</v>
      </c>
      <c r="O69" s="77" t="n">
        <v>0</v>
      </c>
      <c r="P69" s="77" t="n"/>
      <c r="Q69" s="77" t="n"/>
      <c r="R69" s="77" t="n"/>
      <c r="S69" s="77" t="n">
        <v>8.609999999999999</v>
      </c>
      <c r="T69" s="77" t="n">
        <v>5</v>
      </c>
      <c r="U69" s="77" t="n">
        <v>11</v>
      </c>
      <c r="V69" s="77" t="n"/>
      <c r="W69" s="77" t="n"/>
      <c r="X69" s="77" t="n"/>
      <c r="Y69" s="77" t="n"/>
      <c r="Z69" s="77" t="n"/>
      <c r="AA69" s="77" t="n"/>
      <c r="AB69" s="77" t="n"/>
      <c r="AC69" s="78" t="n"/>
      <c r="AD69" s="78" t="n">
        <v>5</v>
      </c>
      <c r="AE69" s="78" t="n"/>
      <c r="AF69" s="78" t="n"/>
      <c r="AG69" s="78" t="n"/>
      <c r="AH69" s="78" t="n"/>
      <c r="AI69" s="77" t="n"/>
      <c r="AJ69" s="77" t="inlineStr">
        <is>
          <t>Claude + DeepSeek (see Extraction Log for per-cell decisions)</t>
        </is>
      </c>
      <c r="AK69" s="42" t="inlineStr">
        <is>
          <t>See Extraction Log Notes - Ind.23 LTIFR huge conflict 2022-23 report vs later (likely earlier erroneous); Ind.15 Training Hours conflict 2023/2024 between 2024 vs 2025 report; Ind.11 Female Board Directors 2023 retracted by two later reports; 2024 has expanded scope (Doosan Mottrol merger) | MANUAL FLAG cells use Claude value as placeholder pending manual review</t>
        </is>
      </c>
    </row>
    <row r="70" ht="15" customHeight="1" s="43">
      <c r="A70" s="79" t="n"/>
      <c r="B70" s="79" t="n"/>
      <c r="C70" s="79" t="inlineStr">
        <is>
          <t>Industrials</t>
        </is>
      </c>
      <c r="D70" s="79" t="inlineStr">
        <is>
          <t>2022</t>
        </is>
      </c>
      <c r="E70" s="77" t="n">
        <v>4.38</v>
      </c>
      <c r="F70" s="77" t="n">
        <v>20.07</v>
      </c>
      <c r="G70" s="77" t="n">
        <v>27.99</v>
      </c>
      <c r="H70" s="77" t="n">
        <v>22.27</v>
      </c>
      <c r="I70" s="77" t="n"/>
      <c r="J70" s="77" t="n">
        <v>22</v>
      </c>
      <c r="K70" s="77" t="n"/>
      <c r="L70" s="77" t="n"/>
      <c r="M70" s="77" t="n">
        <v>16.11</v>
      </c>
      <c r="N70" s="77" t="n">
        <v>5.45</v>
      </c>
      <c r="O70" s="77" t="n">
        <v>0</v>
      </c>
      <c r="P70" s="77" t="n"/>
      <c r="Q70" s="77" t="n"/>
      <c r="R70" s="77" t="n"/>
      <c r="S70" s="77" t="n">
        <v>7</v>
      </c>
      <c r="T70" s="77" t="n">
        <v>4</v>
      </c>
      <c r="U70" s="77" t="n">
        <v>15</v>
      </c>
      <c r="V70" s="77" t="n"/>
      <c r="W70" s="77" t="n"/>
      <c r="X70" s="77" t="n"/>
      <c r="Y70" s="77" t="n"/>
      <c r="Z70" s="77" t="n"/>
      <c r="AA70" s="77" t="n">
        <v>3.75</v>
      </c>
      <c r="AB70" s="77" t="n">
        <v>0</v>
      </c>
      <c r="AC70" s="78" t="n"/>
      <c r="AD70" s="78" t="n"/>
      <c r="AE70" s="78" t="n">
        <v>76</v>
      </c>
      <c r="AF70" s="78" t="n"/>
      <c r="AG70" s="78" t="n"/>
      <c r="AH70" s="78" t="n"/>
      <c r="AI70" s="77" t="n"/>
      <c r="AJ70" s="77" t="inlineStr">
        <is>
          <t>Claude + DeepSeek (see Extraction Log for per-cell decisions)</t>
        </is>
      </c>
      <c r="AK70" s="42" t="inlineStr">
        <is>
          <t>See Extraction Log Notes - Ind.23 LTIFR huge conflict 2022-23 report vs later (likely earlier erroneous); Ind.15 Training Hours conflict 2023/2024 between 2024 vs 2025 report; Ind.11 Female Board Directors 2023 retracted by two later reports; 2024 has expanded scope (Doosan Mottrol merger) | MANUAL FLAG cells use Claude value as placeholder pending manual review</t>
        </is>
      </c>
    </row>
    <row r="71" ht="15" customHeight="1" s="43">
      <c r="A71" s="76" t="n"/>
      <c r="B71" s="76" t="n"/>
      <c r="C71" s="76" t="inlineStr">
        <is>
          <t>Industrials</t>
        </is>
      </c>
      <c r="D71" s="76" t="inlineStr">
        <is>
          <t>2023</t>
        </is>
      </c>
      <c r="E71" s="77" t="n">
        <v>3.17</v>
      </c>
      <c r="F71" s="77" t="n">
        <v>20.41</v>
      </c>
      <c r="G71" s="77" t="n">
        <v>34.82</v>
      </c>
      <c r="H71" s="77" t="n">
        <v>17.9</v>
      </c>
      <c r="I71" s="77" t="n"/>
      <c r="J71" s="77" t="n">
        <v>21.8</v>
      </c>
      <c r="K71" s="77" t="n"/>
      <c r="L71" s="77" t="n"/>
      <c r="M71" s="77" t="n">
        <v>16.03</v>
      </c>
      <c r="N71" s="77" t="n">
        <v>7.02</v>
      </c>
      <c r="O71" s="77" t="n">
        <v>16.67</v>
      </c>
      <c r="P71" s="77" t="n"/>
      <c r="Q71" s="77" t="n"/>
      <c r="R71" s="77" t="n"/>
      <c r="S71" s="77" t="n">
        <v>21</v>
      </c>
      <c r="T71" s="77" t="n">
        <v>7</v>
      </c>
      <c r="U71" s="77" t="n">
        <v>21</v>
      </c>
      <c r="V71" s="77" t="n"/>
      <c r="W71" s="77" t="n"/>
      <c r="X71" s="77" t="n"/>
      <c r="Y71" s="77" t="n"/>
      <c r="Z71" s="77" t="n"/>
      <c r="AA71" s="77" t="n">
        <v>2.67</v>
      </c>
      <c r="AB71" s="77" t="n">
        <v>0</v>
      </c>
      <c r="AC71" s="78" t="n"/>
      <c r="AD71" s="78" t="n"/>
      <c r="AE71" s="78" t="n"/>
      <c r="AF71" s="78" t="n"/>
      <c r="AG71" s="78" t="n"/>
      <c r="AH71" s="78" t="n"/>
      <c r="AI71" s="77" t="n"/>
      <c r="AJ71" s="77" t="inlineStr">
        <is>
          <t>Claude + DeepSeek (see Extraction Log for per-cell decisions)</t>
        </is>
      </c>
      <c r="AK71" s="42" t="inlineStr">
        <is>
          <t>See Extraction Log Notes - Ind.23 LTIFR huge conflict 2022-23 report vs later (likely earlier erroneous); Ind.15 Training Hours conflict 2023/2024 between 2024 vs 2025 report; Ind.11 Female Board Directors 2023 retracted by two later reports; 2024 has expanded scope (Doosan Mottrol merger) | MANUAL FLAG cells use Claude value as placeholder pending manual review</t>
        </is>
      </c>
    </row>
    <row r="72" ht="15" customHeight="1" s="43">
      <c r="A72" s="79" t="n"/>
      <c r="B72" s="79" t="n"/>
      <c r="C72" s="79" t="inlineStr">
        <is>
          <t>Industrials</t>
        </is>
      </c>
      <c r="D72" s="79" t="inlineStr">
        <is>
          <t>2024</t>
        </is>
      </c>
      <c r="E72" s="77" t="n">
        <v>2.54</v>
      </c>
      <c r="F72" s="77" t="n">
        <v>20.12</v>
      </c>
      <c r="G72" s="77" t="n">
        <v>37.7</v>
      </c>
      <c r="H72" s="77" t="n">
        <v>9.470000000000001</v>
      </c>
      <c r="I72" s="77" t="n"/>
      <c r="J72" s="77" t="n">
        <v>18.7</v>
      </c>
      <c r="K72" s="77" t="n"/>
      <c r="L72" s="77" t="n"/>
      <c r="M72" s="77" t="n">
        <v>16.8</v>
      </c>
      <c r="N72" s="77" t="n">
        <v>5.97</v>
      </c>
      <c r="O72" s="77" t="n">
        <v>16.67</v>
      </c>
      <c r="P72" s="77" t="n"/>
      <c r="Q72" s="77" t="n"/>
      <c r="R72" s="77" t="n"/>
      <c r="S72" s="77" t="n">
        <v>17</v>
      </c>
      <c r="T72" s="77" t="n">
        <v>5</v>
      </c>
      <c r="U72" s="77" t="n">
        <v>13</v>
      </c>
      <c r="V72" s="77" t="n"/>
      <c r="W72" s="77" t="n"/>
      <c r="X72" s="77" t="n"/>
      <c r="Y72" s="77" t="n"/>
      <c r="Z72" s="77" t="n"/>
      <c r="AA72" s="77" t="n">
        <v>1.91</v>
      </c>
      <c r="AB72" s="77" t="n">
        <v>0</v>
      </c>
      <c r="AC72" s="78" t="n"/>
      <c r="AD72" s="78" t="n"/>
      <c r="AE72" s="78" t="n"/>
      <c r="AF72" s="78" t="n"/>
      <c r="AG72" s="78" t="n"/>
      <c r="AH72" s="78" t="n"/>
      <c r="AI72" s="77" t="n"/>
      <c r="AJ72" s="77" t="inlineStr">
        <is>
          <t>Claude + DeepSeek (see Extraction Log for per-cell decisions)</t>
        </is>
      </c>
      <c r="AK72" s="42" t="inlineStr">
        <is>
          <t>See Extraction Log Notes - Ind.23 LTIFR huge conflict 2022-23 report vs later (likely earlier erroneous); Ind.15 Training Hours conflict 2023/2024 between 2024 vs 2025 report; Ind.11 Female Board Directors 2023 retracted by two later reports; 2024 has expanded scope (Doosan Mottrol merger) | MANUAL FLAG cells use Claude value as placeholder pending manual review</t>
        </is>
      </c>
    </row>
    <row r="73" ht="15" customHeight="1" s="43">
      <c r="A73" s="75" t="inlineStr">
        <is>
          <t>DWEC</t>
        </is>
      </c>
      <c r="B73" s="75" t="inlineStr">
        <is>
          <t>047040</t>
        </is>
      </c>
      <c r="C73" s="76" t="inlineStr">
        <is>
          <t>Industrials</t>
        </is>
      </c>
      <c r="D73" s="76" t="inlineStr">
        <is>
          <t>2018</t>
        </is>
      </c>
      <c r="E73" s="77" t="n">
        <v>6.4</v>
      </c>
      <c r="F73" s="77" t="n">
        <v>8</v>
      </c>
      <c r="G73" s="77" t="n">
        <v>1.75</v>
      </c>
      <c r="H73" s="77" t="n">
        <v>0.97</v>
      </c>
      <c r="I73" s="77" t="n"/>
      <c r="J73" s="77" t="n">
        <v>11.54</v>
      </c>
      <c r="K73" s="77" t="n"/>
      <c r="L73" s="77" t="n"/>
      <c r="M73" s="77" t="n">
        <v>4.09</v>
      </c>
      <c r="N73" s="77" t="n">
        <v>0</v>
      </c>
      <c r="O73" s="77" t="n"/>
      <c r="P73" s="77" t="n"/>
      <c r="Q73" s="77" t="n"/>
      <c r="R73" s="77" t="n">
        <v>643135</v>
      </c>
      <c r="S73" s="77" t="n">
        <v>49</v>
      </c>
      <c r="T73" s="77" t="n">
        <v>16</v>
      </c>
      <c r="U73" s="77" t="n">
        <v>23</v>
      </c>
      <c r="V73" s="77" t="n">
        <v>67</v>
      </c>
      <c r="W73" s="77" t="n"/>
      <c r="X73" s="77" t="n"/>
      <c r="Y73" s="77" t="n">
        <v>0.45</v>
      </c>
      <c r="Z73" s="77" t="n">
        <v>34</v>
      </c>
      <c r="AA73" s="77" t="n"/>
      <c r="AB73" s="77" t="n">
        <v>0.5600000000000001</v>
      </c>
      <c r="AC73" s="78" t="n"/>
      <c r="AD73" s="78" t="n"/>
      <c r="AE73" s="78" t="n"/>
      <c r="AF73" s="78" t="n"/>
      <c r="AG73" s="78" t="n"/>
      <c r="AH73" s="78" t="n"/>
      <c r="AI73" s="77" t="n"/>
      <c r="AJ73" s="77" t="inlineStr">
        <is>
          <t>Claude + DeepSeek (see Extraction Log for per-cell decisions)</t>
        </is>
      </c>
      <c r="AK73" s="42" t="inlineStr">
        <is>
          <t>See Extraction Log Notes - Ind.1/3 Contract Worker % jumps dramatically 2020-&gt;2022 (possible definitional change, verify against source PDF); Ind.24 2024 is company-labeled estimated/preliminary | MANUAL FLAG cells use Claude value as placeholder pending manual review</t>
        </is>
      </c>
    </row>
    <row r="74" ht="15" customHeight="1" s="43">
      <c r="A74" s="79" t="n"/>
      <c r="B74" s="79" t="n"/>
      <c r="C74" s="79" t="inlineStr">
        <is>
          <t>Industrials</t>
        </is>
      </c>
      <c r="D74" s="79" t="inlineStr">
        <is>
          <t>2019</t>
        </is>
      </c>
      <c r="E74" s="77" t="n">
        <v>6.89</v>
      </c>
      <c r="F74" s="77" t="n">
        <v>8.25</v>
      </c>
      <c r="G74" s="77" t="n">
        <v>2.7</v>
      </c>
      <c r="H74" s="77" t="n">
        <v>2.23</v>
      </c>
      <c r="I74" s="77" t="n"/>
      <c r="J74" s="77" t="n">
        <v>15.83</v>
      </c>
      <c r="K74" s="77" t="n">
        <v>0.873</v>
      </c>
      <c r="L74" s="77" t="n">
        <v>0.371</v>
      </c>
      <c r="M74" s="77" t="n">
        <v>4.22</v>
      </c>
      <c r="N74" s="77" t="n">
        <v>0</v>
      </c>
      <c r="O74" s="77" t="n"/>
      <c r="P74" s="77" t="n"/>
      <c r="Q74" s="77" t="n">
        <v>0</v>
      </c>
      <c r="R74" s="77" t="n">
        <v>673937</v>
      </c>
      <c r="S74" s="77" t="n">
        <v>63</v>
      </c>
      <c r="T74" s="77" t="n">
        <v>17</v>
      </c>
      <c r="U74" s="77" t="n">
        <v>22</v>
      </c>
      <c r="V74" s="77" t="n">
        <v>67</v>
      </c>
      <c r="W74" s="77" t="n"/>
      <c r="X74" s="77" t="n">
        <v>1.45</v>
      </c>
      <c r="Y74" s="77" t="n"/>
      <c r="Z74" s="77" t="n">
        <v>40</v>
      </c>
      <c r="AA74" s="77" t="n">
        <v>0</v>
      </c>
      <c r="AB74" s="77" t="n">
        <v>1.77</v>
      </c>
      <c r="AC74" s="78" t="n"/>
      <c r="AD74" s="78" t="n"/>
      <c r="AE74" s="78" t="n"/>
      <c r="AF74" s="78" t="n"/>
      <c r="AG74" s="78" t="n"/>
      <c r="AH74" s="78" t="n"/>
      <c r="AI74" s="77" t="n"/>
      <c r="AJ74" s="77" t="inlineStr">
        <is>
          <t>Claude + DeepSeek (see Extraction Log for per-cell decisions) | Verified against DWEC_2022.pdf (ESG Data pp.110-113) during manual flag review; Claude values confirmed correct for Ind01,03,04,06,09,16,17,18,24.</t>
        </is>
      </c>
      <c r="AK74" s="42" t="inlineStr">
        <is>
          <t>UPDATED with 2022 report (supersedes 2021 report per most-recent rule). See Extraction Log Notes - Ind.16/17 have a confirmed M/F SWAP between report editions, recommend manual PDF verification. | MANUAL FLAG cells use Claude value as placeholder pending manual review</t>
        </is>
      </c>
    </row>
    <row r="75" ht="15" customHeight="1" s="43">
      <c r="A75" s="76" t="n"/>
      <c r="B75" s="76" t="n"/>
      <c r="C75" s="76" t="inlineStr">
        <is>
          <t>Industrials</t>
        </is>
      </c>
      <c r="D75" s="76" t="inlineStr">
        <is>
          <t>2020</t>
        </is>
      </c>
      <c r="E75" s="77" t="n">
        <v>8.970000000000001</v>
      </c>
      <c r="F75" s="77" t="n">
        <v>8.640000000000001</v>
      </c>
      <c r="G75" s="77" t="n">
        <v>2.66</v>
      </c>
      <c r="H75" s="77" t="n">
        <v>2.48</v>
      </c>
      <c r="I75" s="77" t="n"/>
      <c r="J75" s="77" t="n">
        <v>16.3</v>
      </c>
      <c r="K75" s="77" t="n">
        <v>0.77</v>
      </c>
      <c r="L75" s="77" t="n">
        <v>0.385</v>
      </c>
      <c r="M75" s="77" t="n">
        <v>4.29</v>
      </c>
      <c r="N75" s="77" t="n">
        <v>0</v>
      </c>
      <c r="O75" s="77" t="n"/>
      <c r="P75" s="77" t="n"/>
      <c r="Q75" s="77" t="n">
        <v>0</v>
      </c>
      <c r="R75" s="77" t="n">
        <v>497043</v>
      </c>
      <c r="S75" s="77" t="n">
        <v>64</v>
      </c>
      <c r="T75" s="77" t="n">
        <v>26</v>
      </c>
      <c r="U75" s="77" t="n">
        <v>20</v>
      </c>
      <c r="V75" s="77" t="n">
        <v>65</v>
      </c>
      <c r="W75" s="77" t="n"/>
      <c r="X75" s="77" t="n">
        <v>1.05</v>
      </c>
      <c r="Y75" s="77" t="n"/>
      <c r="Z75" s="77" t="n">
        <v>46</v>
      </c>
      <c r="AA75" s="77" t="n">
        <v>0</v>
      </c>
      <c r="AB75" s="77" t="n">
        <v>1</v>
      </c>
      <c r="AC75" s="78" t="n">
        <v>10</v>
      </c>
      <c r="AD75" s="78" t="n"/>
      <c r="AE75" s="78" t="n"/>
      <c r="AF75" s="78" t="n"/>
      <c r="AG75" s="78" t="n"/>
      <c r="AH75" s="78" t="n"/>
      <c r="AI75" s="77" t="n"/>
      <c r="AJ75" s="77" t="inlineStr">
        <is>
          <t>Claude + DeepSeek (see Extraction Log for per-cell decisions) | Verified against DWEC_2022.pdf (ESG Data pp.110-113) during manual flag review; Claude values confirmed correct for Ind01,03,04,06,09,16,17,18,24.</t>
        </is>
      </c>
      <c r="AK75" s="42" t="inlineStr">
        <is>
          <t>UPDATED with 2022 report (supersedes 2021 report per most-recent rule). See Extraction Log Notes - Ind.16/17 have a confirmed M/F SWAP between report editions, recommend manual PDF verification. | MANUAL FLAG cells use Claude value as placeholder pending manual review | Ind.'COVID-19 Response': manual verification inconclusive/unavailable in source per Notes - Claude value (10) retained as final per user decision.</t>
        </is>
      </c>
    </row>
    <row r="76" ht="15" customHeight="1" s="43">
      <c r="A76" s="79" t="n"/>
      <c r="B76" s="79" t="n"/>
      <c r="C76" s="79" t="inlineStr">
        <is>
          <t>Industrials</t>
        </is>
      </c>
      <c r="D76" s="79" t="inlineStr">
        <is>
          <t>2021</t>
        </is>
      </c>
      <c r="E76" s="77" t="n">
        <v>12.57</v>
      </c>
      <c r="F76" s="77" t="n">
        <v>8.91</v>
      </c>
      <c r="G76" s="77" t="n">
        <v>6.3</v>
      </c>
      <c r="H76" s="77" t="n">
        <v>3.44</v>
      </c>
      <c r="I76" s="77" t="n"/>
      <c r="J76" s="77" t="n">
        <v>10.16</v>
      </c>
      <c r="K76" s="77" t="n">
        <v>0.773</v>
      </c>
      <c r="L76" s="77" t="n">
        <v>0.313</v>
      </c>
      <c r="M76" s="77" t="n">
        <v>4.55</v>
      </c>
      <c r="N76" s="77" t="n">
        <v>0</v>
      </c>
      <c r="O76" s="77" t="n">
        <v>0</v>
      </c>
      <c r="P76" s="77" t="n"/>
      <c r="Q76" s="77" t="n">
        <v>0</v>
      </c>
      <c r="R76" s="77" t="n">
        <v>599682</v>
      </c>
      <c r="S76" s="77" t="n">
        <v>57</v>
      </c>
      <c r="T76" s="77" t="n">
        <v>21</v>
      </c>
      <c r="U76" s="77" t="n">
        <v>31</v>
      </c>
      <c r="V76" s="77" t="n">
        <v>67</v>
      </c>
      <c r="W76" s="77" t="n"/>
      <c r="X76" s="77" t="n">
        <v>3.83</v>
      </c>
      <c r="Y76" s="77" t="n"/>
      <c r="Z76" s="77" t="n">
        <v>53</v>
      </c>
      <c r="AA76" s="77" t="n">
        <v>0.12</v>
      </c>
      <c r="AB76" s="77" t="n">
        <v>0.73</v>
      </c>
      <c r="AC76" s="78" t="n">
        <v>11</v>
      </c>
      <c r="AD76" s="78" t="n">
        <v>8</v>
      </c>
      <c r="AE76" s="78" t="n"/>
      <c r="AF76" s="78" t="n">
        <v>31</v>
      </c>
      <c r="AG76" s="78" t="n"/>
      <c r="AH76" s="78" t="n"/>
      <c r="AI76" s="77" t="n"/>
      <c r="AJ76" s="77" t="inlineStr">
        <is>
          <t>Claude + DeepSeek (see Extraction Log for per-cell decisions) | Verified against DWEC_2022.pdf (ESG Data pp.110-113) during manual flag review; Claude values confirmed correct for Ind01,03,04,06,09,16,17,18,24.</t>
        </is>
      </c>
      <c r="AK76" s="42" t="inlineStr">
        <is>
          <t>NEW - previously ND, now populated from 2022 report (only source for this year). See Extraction Log Notes for proxy flags. | MANUAL FLAG cells use Claude value as placeholder pending manual review</t>
        </is>
      </c>
    </row>
    <row r="77" ht="15" customHeight="1" s="43">
      <c r="A77" s="76" t="n"/>
      <c r="B77" s="76" t="n"/>
      <c r="C77" s="76" t="inlineStr">
        <is>
          <t>Industrials</t>
        </is>
      </c>
      <c r="D77" s="76" t="inlineStr">
        <is>
          <t>2022</t>
        </is>
      </c>
      <c r="E77" s="77" t="n">
        <v>35.43</v>
      </c>
      <c r="F77" s="77" t="n">
        <v>9.77</v>
      </c>
      <c r="G77" s="77" t="n">
        <v>19.03</v>
      </c>
      <c r="H77" s="77" t="n">
        <v>4.55</v>
      </c>
      <c r="I77" s="77" t="n"/>
      <c r="J77" s="77" t="n">
        <v>19.92</v>
      </c>
      <c r="K77" s="77" t="n"/>
      <c r="L77" s="77" t="n"/>
      <c r="M77" s="77" t="n">
        <v>4.87</v>
      </c>
      <c r="N77" s="77" t="n">
        <v>1.01</v>
      </c>
      <c r="O77" s="77" t="n">
        <v>16.67</v>
      </c>
      <c r="P77" s="77" t="n">
        <v>94000000</v>
      </c>
      <c r="Q77" s="77" t="n">
        <v>40.4</v>
      </c>
      <c r="R77" s="77" t="n">
        <v>437089</v>
      </c>
      <c r="S77" s="77" t="n">
        <v>37</v>
      </c>
      <c r="T77" s="77" t="n">
        <v>21</v>
      </c>
      <c r="U77" s="77" t="n">
        <v>48</v>
      </c>
      <c r="V77" s="77" t="n">
        <v>75.36</v>
      </c>
      <c r="W77" s="77" t="n"/>
      <c r="X77" s="77" t="n">
        <v>2.5</v>
      </c>
      <c r="Y77" s="77" t="n"/>
      <c r="Z77" s="77" t="n">
        <v>58</v>
      </c>
      <c r="AA77" s="77" t="n"/>
      <c r="AB77" s="77" t="n">
        <v>0.9</v>
      </c>
      <c r="AC77" s="78" t="n"/>
      <c r="AD77" s="78" t="n"/>
      <c r="AE77" s="78" t="n"/>
      <c r="AF77" s="78" t="n"/>
      <c r="AG77" s="78" t="n"/>
      <c r="AH77" s="78" t="n"/>
      <c r="AI77" s="77" t="n"/>
      <c r="AJ77" s="77" t="inlineStr">
        <is>
          <t>Claude + DeepSeek (see Extraction Log for per-cell decisions)</t>
        </is>
      </c>
      <c r="AK77" s="42" t="inlineStr">
        <is>
          <t>See Extraction Log Notes - Ind.1/3 Contract Worker % jumps dramatically 2020-&gt;2022 (possible definitional change, verify against source PDF); Ind.24 2024 is company-labeled estimated/preliminary | MANUAL FLAG cells use Claude value as placeholder pending manual review</t>
        </is>
      </c>
    </row>
    <row r="78" ht="15" customHeight="1" s="43">
      <c r="A78" s="79" t="n"/>
      <c r="B78" s="79" t="n"/>
      <c r="C78" s="79" t="inlineStr">
        <is>
          <t>Industrials</t>
        </is>
      </c>
      <c r="D78" s="79" t="inlineStr">
        <is>
          <t>2023</t>
        </is>
      </c>
      <c r="E78" s="77" t="n">
        <v>37.05</v>
      </c>
      <c r="F78" s="77" t="n">
        <v>9.66</v>
      </c>
      <c r="G78" s="77" t="n">
        <v>17.41</v>
      </c>
      <c r="H78" s="77" t="n">
        <v>1.76</v>
      </c>
      <c r="I78" s="77" t="n"/>
      <c r="J78" s="77" t="n">
        <v>5.77</v>
      </c>
      <c r="K78" s="77" t="n"/>
      <c r="L78" s="77" t="n"/>
      <c r="M78" s="77" t="n">
        <v>5.12</v>
      </c>
      <c r="N78" s="77" t="n">
        <v>0</v>
      </c>
      <c r="O78" s="77" t="n">
        <v>25</v>
      </c>
      <c r="P78" s="77" t="n">
        <v>100000000</v>
      </c>
      <c r="Q78" s="77" t="n">
        <v>40</v>
      </c>
      <c r="R78" s="77" t="n">
        <v>508745</v>
      </c>
      <c r="S78" s="77" t="n">
        <v>43</v>
      </c>
      <c r="T78" s="77" t="n">
        <v>32</v>
      </c>
      <c r="U78" s="77" t="n">
        <v>28</v>
      </c>
      <c r="V78" s="77" t="n">
        <v>83.33</v>
      </c>
      <c r="W78" s="77" t="n"/>
      <c r="X78" s="77" t="n">
        <v>0.9399999999999999</v>
      </c>
      <c r="Y78" s="77" t="n"/>
      <c r="Z78" s="77" t="n">
        <v>67</v>
      </c>
      <c r="AA78" s="77" t="n"/>
      <c r="AB78" s="77" t="n">
        <v>0.52</v>
      </c>
      <c r="AC78" s="78" t="n"/>
      <c r="AD78" s="78" t="n"/>
      <c r="AE78" s="78" t="n"/>
      <c r="AF78" s="78" t="n"/>
      <c r="AG78" s="78" t="n"/>
      <c r="AH78" s="78" t="n"/>
      <c r="AI78" s="77" t="n"/>
      <c r="AJ78" s="77" t="inlineStr">
        <is>
          <t>Claude + DeepSeek (see Extraction Log for per-cell decisions)</t>
        </is>
      </c>
      <c r="AK78" s="42" t="inlineStr">
        <is>
          <t>See Extraction Log Notes - Ind.1/3 Contract Worker % jumps dramatically 2020-&gt;2022 (possible definitional change, verify against source PDF); Ind.24 2024 is company-labeled estimated/preliminary | MANUAL FLAG cells use Claude value as placeholder pending manual review</t>
        </is>
      </c>
    </row>
    <row r="79" ht="15" customHeight="1" s="43">
      <c r="A79" s="76" t="n"/>
      <c r="B79" s="76" t="n"/>
      <c r="C79" s="76" t="inlineStr">
        <is>
          <t>Industrials</t>
        </is>
      </c>
      <c r="D79" s="76" t="inlineStr">
        <is>
          <t>2024</t>
        </is>
      </c>
      <c r="E79" s="77" t="n">
        <v>33.51</v>
      </c>
      <c r="F79" s="77" t="n">
        <v>9.93</v>
      </c>
      <c r="G79" s="77" t="n">
        <v>17.62</v>
      </c>
      <c r="H79" s="77" t="n">
        <v>1.85</v>
      </c>
      <c r="I79" s="77" t="n"/>
      <c r="J79" s="77" t="n">
        <v>13.73</v>
      </c>
      <c r="K79" s="77" t="n"/>
      <c r="L79" s="77" t="n"/>
      <c r="M79" s="77" t="n">
        <v>4.51</v>
      </c>
      <c r="N79" s="77" t="n">
        <v>0</v>
      </c>
      <c r="O79" s="77" t="n">
        <v>28.57</v>
      </c>
      <c r="P79" s="77" t="n">
        <v>101000000</v>
      </c>
      <c r="Q79" s="77" t="n">
        <v>32.38</v>
      </c>
      <c r="R79" s="77" t="n">
        <v>475398</v>
      </c>
      <c r="S79" s="77" t="n">
        <v>56</v>
      </c>
      <c r="T79" s="77" t="n">
        <v>24</v>
      </c>
      <c r="U79" s="77" t="n">
        <v>28</v>
      </c>
      <c r="V79" s="77" t="n">
        <v>101.92</v>
      </c>
      <c r="W79" s="77" t="n"/>
      <c r="X79" s="77" t="n">
        <v>0.59</v>
      </c>
      <c r="Y79" s="77" t="n"/>
      <c r="Z79" s="77" t="n">
        <v>73</v>
      </c>
      <c r="AA79" s="77" t="n"/>
      <c r="AB79" s="77" t="n">
        <v>1.15</v>
      </c>
      <c r="AC79" s="78" t="n"/>
      <c r="AD79" s="78" t="n"/>
      <c r="AE79" s="78" t="n"/>
      <c r="AF79" s="78" t="n"/>
      <c r="AG79" s="78" t="n"/>
      <c r="AH79" s="78" t="n"/>
      <c r="AI79" s="77" t="n"/>
      <c r="AJ79" s="77" t="inlineStr">
        <is>
          <t>Claude + DeepSeek (see Extraction Log for per-cell decisions)</t>
        </is>
      </c>
      <c r="AK79" s="42" t="inlineStr">
        <is>
          <t>See Extraction Log Notes - Ind.1/3 Contract Worker % jumps dramatically 2020-&gt;2022 (possible definitional change, verify against source PDF); Ind.24 2024 is company-labeled estimated/preliminary | MANUAL FLAG cells use Claude value as placeholder pending manual review</t>
        </is>
      </c>
    </row>
    <row r="80" ht="15" customHeight="1" s="43">
      <c r="A80" s="80" t="inlineStr">
        <is>
          <t>HANWHA</t>
        </is>
      </c>
      <c r="B80" s="80" t="inlineStr">
        <is>
          <t>000880</t>
        </is>
      </c>
      <c r="C80" s="79" t="inlineStr">
        <is>
          <t>Industrials</t>
        </is>
      </c>
      <c r="D80" s="79" t="inlineStr">
        <is>
          <t>2018</t>
        </is>
      </c>
      <c r="E80" s="77" t="n">
        <v>5</v>
      </c>
      <c r="F80" s="77" t="n"/>
      <c r="G80" s="77" t="n"/>
      <c r="H80" s="77" t="n">
        <v>18.02</v>
      </c>
      <c r="I80" s="77" t="n">
        <v>56.99</v>
      </c>
      <c r="J80" s="77" t="n">
        <v>8.529999999999999</v>
      </c>
      <c r="K80" s="77" t="n"/>
      <c r="L80" s="77" t="n">
        <v>0.082</v>
      </c>
      <c r="M80" s="77" t="n">
        <v>4</v>
      </c>
      <c r="N80" s="77" t="n"/>
      <c r="O80" s="77" t="n">
        <v>0</v>
      </c>
      <c r="P80" s="77" t="n">
        <v>66000000</v>
      </c>
      <c r="Q80" s="77" t="n"/>
      <c r="R80" s="77" t="n">
        <v>911000</v>
      </c>
      <c r="S80" s="77" t="n">
        <v>32</v>
      </c>
      <c r="T80" s="77" t="n">
        <v>44</v>
      </c>
      <c r="U80" s="77" t="n">
        <v>10</v>
      </c>
      <c r="V80" s="77" t="n">
        <v>90.73999999999999</v>
      </c>
      <c r="W80" s="77" t="n">
        <v>9.9</v>
      </c>
      <c r="X80" s="77" t="n"/>
      <c r="Y80" s="77" t="n"/>
      <c r="Z80" s="77" t="n"/>
      <c r="AA80" s="77" t="n">
        <v>1.44</v>
      </c>
      <c r="AB80" s="77" t="n"/>
      <c r="AC80" s="78" t="n"/>
      <c r="AD80" s="78" t="n"/>
      <c r="AE80" s="78" t="n"/>
      <c r="AF80" s="78" t="n"/>
      <c r="AG80" s="78" t="n"/>
      <c r="AH80" s="78" t="inlineStr">
        <is>
          <t>A</t>
        </is>
      </c>
      <c r="AI80" s="77" t="n"/>
      <c r="AJ80" s="77" t="inlineStr">
        <is>
          <t>Claude + DeepSeek (see Extraction Log for per-cell decisions)</t>
        </is>
      </c>
      <c r="AK80" s="42" t="inlineStr">
        <is>
          <t>See Extraction Log Notes - Ind.1/3 large scope-driven jump 2020-&gt;2021 (divestment restatement); Ind.9 definitional change (broader-&gt;narrower middle-mgmt tier); Ind.30 KCGS A-streak ends after 2020 | MANUAL FLAG cells use Claude value as placeholder pending manual review</t>
        </is>
      </c>
    </row>
    <row r="81" ht="15" customHeight="1" s="43">
      <c r="A81" s="76" t="n"/>
      <c r="B81" s="76" t="n"/>
      <c r="C81" s="76" t="inlineStr">
        <is>
          <t>Industrials</t>
        </is>
      </c>
      <c r="D81" s="76" t="inlineStr">
        <is>
          <t>2019</t>
        </is>
      </c>
      <c r="E81" s="77" t="n">
        <v>7</v>
      </c>
      <c r="F81" s="77" t="n"/>
      <c r="G81" s="77" t="n"/>
      <c r="H81" s="77" t="n">
        <v>13.04</v>
      </c>
      <c r="I81" s="77" t="n">
        <v>51.24</v>
      </c>
      <c r="J81" s="77" t="n">
        <v>7.55</v>
      </c>
      <c r="K81" s="77" t="n"/>
      <c r="L81" s="77" t="n">
        <v>0.09</v>
      </c>
      <c r="M81" s="77" t="n">
        <v>5.2</v>
      </c>
      <c r="N81" s="77" t="n"/>
      <c r="O81" s="77" t="n">
        <v>0</v>
      </c>
      <c r="P81" s="77" t="n">
        <v>68000000</v>
      </c>
      <c r="Q81" s="77" t="n"/>
      <c r="R81" s="77" t="n">
        <v>1117000</v>
      </c>
      <c r="S81" s="77" t="n">
        <v>61</v>
      </c>
      <c r="T81" s="77" t="n">
        <v>42</v>
      </c>
      <c r="U81" s="77" t="n">
        <v>23</v>
      </c>
      <c r="V81" s="77" t="n">
        <v>95.38</v>
      </c>
      <c r="W81" s="77" t="n">
        <v>10</v>
      </c>
      <c r="X81" s="77" t="n"/>
      <c r="Y81" s="77" t="n"/>
      <c r="Z81" s="77" t="n"/>
      <c r="AA81" s="77" t="n">
        <v>0.95</v>
      </c>
      <c r="AB81" s="77" t="n"/>
      <c r="AC81" s="78" t="n"/>
      <c r="AD81" s="78" t="n"/>
      <c r="AE81" s="78" t="n"/>
      <c r="AF81" s="78" t="n"/>
      <c r="AG81" s="78" t="n"/>
      <c r="AH81" s="78" t="inlineStr">
        <is>
          <t>A</t>
        </is>
      </c>
      <c r="AI81" s="77" t="n"/>
      <c r="AJ81" s="77" t="inlineStr">
        <is>
          <t>Claude + DeepSeek (see Extraction Log for per-cell decisions) | Verified via manual flag review against hanwha_2021.pdf p.102-103 (ESG Factbook Social/인원현황): Contract Workers% (7%) confirmed as the report's own disclosed rounded label (underlying ratio 6.54%).</t>
        </is>
      </c>
      <c r="AK81" s="42" t="inlineStr">
        <is>
          <t>See Extraction Log Notes - Ind.1/3 large scope-driven jump 2020-&gt;2021 (divestment restatement); Ind.9 definitional change (broader-&gt;narrower middle-mgmt tier); Ind.30 KCGS A-streak ends after 2020 | MANUAL FLAG cells use Claude value as placeholder pending manual review</t>
        </is>
      </c>
    </row>
    <row r="82" ht="15" customHeight="1" s="43">
      <c r="A82" s="79" t="n"/>
      <c r="B82" s="79" t="n"/>
      <c r="C82" s="79" t="inlineStr">
        <is>
          <t>Industrials</t>
        </is>
      </c>
      <c r="D82" s="79" t="inlineStr">
        <is>
          <t>2020</t>
        </is>
      </c>
      <c r="E82" s="77" t="n">
        <v>4</v>
      </c>
      <c r="F82" s="77" t="n"/>
      <c r="G82" s="77" t="n"/>
      <c r="H82" s="77" t="n">
        <v>3.15</v>
      </c>
      <c r="I82" s="77" t="n">
        <v>40.13</v>
      </c>
      <c r="J82" s="77" t="n">
        <v>11.46</v>
      </c>
      <c r="K82" s="77" t="n"/>
      <c r="L82" s="77" t="n">
        <v>0.1</v>
      </c>
      <c r="M82" s="77" t="n">
        <v>5.5</v>
      </c>
      <c r="N82" s="77" t="n"/>
      <c r="O82" s="77" t="n">
        <v>0</v>
      </c>
      <c r="P82" s="77" t="n">
        <v>70000000</v>
      </c>
      <c r="Q82" s="77" t="n"/>
      <c r="R82" s="77" t="n">
        <v>371000</v>
      </c>
      <c r="S82" s="77" t="n">
        <v>25</v>
      </c>
      <c r="T82" s="77" t="n">
        <v>31</v>
      </c>
      <c r="U82" s="77" t="n">
        <v>46</v>
      </c>
      <c r="V82" s="77" t="n">
        <v>89.61</v>
      </c>
      <c r="W82" s="77" t="n">
        <v>10.7</v>
      </c>
      <c r="X82" s="77" t="n"/>
      <c r="Y82" s="77" t="n"/>
      <c r="Z82" s="77" t="n"/>
      <c r="AA82" s="77" t="n">
        <v>0.9399999999999999</v>
      </c>
      <c r="AB82" s="77" t="n">
        <v>0</v>
      </c>
      <c r="AC82" s="78" t="n">
        <v>10</v>
      </c>
      <c r="AD82" s="78" t="n">
        <v>5</v>
      </c>
      <c r="AE82" s="78" t="n"/>
      <c r="AF82" s="78" t="n"/>
      <c r="AG82" s="78" t="n"/>
      <c r="AH82" s="78" t="inlineStr">
        <is>
          <t>A</t>
        </is>
      </c>
      <c r="AI82" s="77" t="n"/>
      <c r="AJ82" s="77" t="inlineStr">
        <is>
          <t>Claude + DeepSeek (see Extraction Log for per-cell decisions)</t>
        </is>
      </c>
      <c r="AK82" s="42" t="inlineStr">
        <is>
          <t>See Extraction Log Notes - Ind.1/3 large scope-driven jump 2020-&gt;2021 (divestment restatement); Ind.9 definitional change (broader-&gt;narrower middle-mgmt tier); Ind.30 KCGS A-streak ends after 2020 | MANUAL FLAG cells use Claude value as placeholder pending manual review | Ind.'COVID-19 Response': manual verification inconclusive/unavailable in source per Notes - Claude value (10) retained as final per user decision.</t>
        </is>
      </c>
    </row>
    <row r="83" ht="15" customHeight="1" s="43">
      <c r="A83" s="76" t="n"/>
      <c r="B83" s="76" t="n"/>
      <c r="C83" s="76" t="inlineStr">
        <is>
          <t>Industrials</t>
        </is>
      </c>
      <c r="D83" s="76" t="inlineStr">
        <is>
          <t>2021</t>
        </is>
      </c>
      <c r="E83" s="77" t="n">
        <v>26.3</v>
      </c>
      <c r="F83" s="77" t="n">
        <v>7.83</v>
      </c>
      <c r="G83" s="77" t="n">
        <v>18.64</v>
      </c>
      <c r="H83" s="77" t="n">
        <v>10.96</v>
      </c>
      <c r="I83" s="77" t="n">
        <v>39.21</v>
      </c>
      <c r="J83" s="77" t="n">
        <v>5.79</v>
      </c>
      <c r="K83" s="77" t="n"/>
      <c r="L83" s="77" t="n"/>
      <c r="M83" s="77" t="n">
        <v>7.59</v>
      </c>
      <c r="N83" s="77" t="n">
        <v>0</v>
      </c>
      <c r="O83" s="77" t="n">
        <v>11.1</v>
      </c>
      <c r="P83" s="77" t="n">
        <v>76000000</v>
      </c>
      <c r="Q83" s="77" t="n">
        <v>45.57</v>
      </c>
      <c r="R83" s="77" t="n">
        <v>96364</v>
      </c>
      <c r="S83" s="77" t="n">
        <v>20.62</v>
      </c>
      <c r="T83" s="77" t="n">
        <v>14</v>
      </c>
      <c r="U83" s="77" t="n">
        <v>16</v>
      </c>
      <c r="V83" s="77" t="n">
        <v>87.5</v>
      </c>
      <c r="W83" s="77" t="n">
        <v>11.2</v>
      </c>
      <c r="X83" s="77" t="n">
        <v>10.14</v>
      </c>
      <c r="Y83" s="77" t="n">
        <v>0.35</v>
      </c>
      <c r="Z83" s="77" t="n">
        <v>100</v>
      </c>
      <c r="AA83" s="77" t="n">
        <v>0</v>
      </c>
      <c r="AB83" s="77" t="n">
        <v>0</v>
      </c>
      <c r="AC83" s="78" t="n"/>
      <c r="AD83" s="78" t="n"/>
      <c r="AE83" s="78" t="n"/>
      <c r="AF83" s="78" t="n"/>
      <c r="AG83" s="78" t="n"/>
      <c r="AH83" s="78" t="n"/>
      <c r="AI83" s="77" t="n"/>
      <c r="AJ83" s="77" t="inlineStr">
        <is>
          <t>Claude + DeepSeek (see Extraction Log for per-cell decisions) | Verified via manual flag review against hanwha_2025.pdf pp.101-103 (안전보건경영/임직원현황 tables): Contract Workers%, New Hire Rate%, Annual Pay, Voluntary/Involuntary Turnover%, and LTIFR all confirmed exact matches to Claude's values (disclosed 임직원-scope figures); DeepSeek's competing values traced to contractor-scope (LTIFR) or broader personnel-cost bases (Annual Pay) - see Flags to Review sheet rows 106,113,114,124,125 for detail.</t>
        </is>
      </c>
      <c r="AK83" s="42" t="inlineStr">
        <is>
          <t>See Extraction Log Notes - Ind.1/3 large scope-driven jump 2020-&gt;2021 (divestment restatement); Ind.9 definitional change (broader-&gt;narrower middle-mgmt tier); Ind.30 KCGS A-streak ends after 2020 | MANUAL FLAG cells use Claude value as placeholder pending manual review</t>
        </is>
      </c>
    </row>
    <row r="84" ht="15" customHeight="1" s="43">
      <c r="A84" s="79" t="n"/>
      <c r="B84" s="79" t="n"/>
      <c r="C84" s="79" t="inlineStr">
        <is>
          <t>Industrials</t>
        </is>
      </c>
      <c r="D84" s="79" t="inlineStr">
        <is>
          <t>2022</t>
        </is>
      </c>
      <c r="E84" s="77" t="n">
        <v>27.7</v>
      </c>
      <c r="F84" s="77" t="n">
        <v>9.59</v>
      </c>
      <c r="G84" s="77" t="n">
        <v>17.27</v>
      </c>
      <c r="H84" s="77" t="n">
        <v>16.25</v>
      </c>
      <c r="I84" s="77" t="n">
        <v>34.33</v>
      </c>
      <c r="J84" s="77" t="n">
        <v>9.85</v>
      </c>
      <c r="K84" s="77" t="n"/>
      <c r="L84" s="77" t="n"/>
      <c r="M84" s="77" t="n">
        <v>7.97</v>
      </c>
      <c r="N84" s="77" t="n">
        <v>2.3</v>
      </c>
      <c r="O84" s="77" t="n">
        <v>9.1</v>
      </c>
      <c r="P84" s="77" t="n">
        <v>85000000</v>
      </c>
      <c r="Q84" s="77" t="n">
        <v>28.17</v>
      </c>
      <c r="R84" s="77" t="n">
        <v>345379</v>
      </c>
      <c r="S84" s="77" t="n">
        <v>18.03</v>
      </c>
      <c r="T84" s="77" t="n">
        <v>18</v>
      </c>
      <c r="U84" s="77" t="n">
        <v>14</v>
      </c>
      <c r="V84" s="77" t="n">
        <v>82.34999999999999</v>
      </c>
      <c r="W84" s="77" t="n">
        <v>8</v>
      </c>
      <c r="X84" s="77" t="n">
        <v>6.77</v>
      </c>
      <c r="Y84" s="77" t="n">
        <v>0.57</v>
      </c>
      <c r="Z84" s="77" t="n">
        <v>94</v>
      </c>
      <c r="AA84" s="77" t="n">
        <v>0.02</v>
      </c>
      <c r="AB84" s="77" t="n">
        <v>0</v>
      </c>
      <c r="AC84" s="78" t="n"/>
      <c r="AD84" s="78" t="n"/>
      <c r="AE84" s="78" t="n"/>
      <c r="AF84" s="78" t="n"/>
      <c r="AG84" s="78" t="n"/>
      <c r="AH84" s="78" t="n"/>
      <c r="AI84" s="77" t="n"/>
      <c r="AJ84" s="77" t="inlineStr">
        <is>
          <t>Claude + DeepSeek (see Extraction Log for per-cell decisions) | Verified via manual flag review against hanwha_2025.pdf pp.101-104,109: Contract Workers%, New Hire Rate%, Annual Pay, Training Hours/Employee, Voluntary/Involuntary Turnover%, and LTIFR all confirmed exact matches to Claude's values. DeepSeek's competing values traced to contractor-scope (LTIFR), safety-training-only scope (Training Hours), or broader personnel-cost basis (Annual Pay) - see Flags to Review sheet rows 102,105,107,112,120,121,127.</t>
        </is>
      </c>
      <c r="AK84" s="42" t="inlineStr">
        <is>
          <t>See Extraction Log Notes - Ind.1/3 large scope-driven jump 2020-&gt;2021 (divestment restatement); Ind.9 definitional change (broader-&gt;narrower middle-mgmt tier); Ind.30 KCGS A-streak ends after 2020 | MANUAL FLAG cells use Claude value as placeholder pending manual review</t>
        </is>
      </c>
    </row>
    <row r="85" ht="15" customHeight="1" s="43">
      <c r="A85" s="76" t="n"/>
      <c r="B85" s="76" t="n"/>
      <c r="C85" s="76" t="inlineStr">
        <is>
          <t>Industrials</t>
        </is>
      </c>
      <c r="D85" s="76" t="inlineStr">
        <is>
          <t>2023</t>
        </is>
      </c>
      <c r="E85" s="77" t="n">
        <v>31</v>
      </c>
      <c r="F85" s="77" t="n">
        <v>9.970000000000001</v>
      </c>
      <c r="G85" s="77" t="n">
        <v>16.4</v>
      </c>
      <c r="H85" s="77" t="n">
        <v>10.95</v>
      </c>
      <c r="I85" s="77" t="n">
        <v>61.08</v>
      </c>
      <c r="J85" s="77" t="n">
        <v>12.9</v>
      </c>
      <c r="K85" s="77" t="n"/>
      <c r="L85" s="77" t="n"/>
      <c r="M85" s="77" t="n">
        <v>8.890000000000001</v>
      </c>
      <c r="N85" s="77" t="n">
        <v>0.9</v>
      </c>
      <c r="O85" s="77" t="n">
        <v>11.1</v>
      </c>
      <c r="P85" s="77" t="n">
        <v>90000000</v>
      </c>
      <c r="Q85" s="77" t="n">
        <v>34.88</v>
      </c>
      <c r="R85" s="77" t="n">
        <v>313706</v>
      </c>
      <c r="S85" s="77" t="n">
        <v>17.66</v>
      </c>
      <c r="T85" s="77" t="n">
        <v>17</v>
      </c>
      <c r="U85" s="77" t="n">
        <v>16</v>
      </c>
      <c r="V85" s="77" t="n">
        <v>100</v>
      </c>
      <c r="W85" s="77" t="n">
        <v>7.8</v>
      </c>
      <c r="X85" s="77" t="n">
        <v>5.67</v>
      </c>
      <c r="Y85" s="77" t="n">
        <v>0.34</v>
      </c>
      <c r="Z85" s="77" t="n">
        <v>90</v>
      </c>
      <c r="AA85" s="77" t="n">
        <v>0.02</v>
      </c>
      <c r="AB85" s="77" t="n">
        <v>0</v>
      </c>
      <c r="AC85" s="78" t="n"/>
      <c r="AD85" s="78" t="n"/>
      <c r="AE85" s="78" t="n"/>
      <c r="AF85" s="78" t="n"/>
      <c r="AG85" s="78" t="n"/>
      <c r="AH85" s="78" t="n"/>
      <c r="AI85" s="77" t="n"/>
      <c r="AJ85" s="77" t="inlineStr">
        <is>
          <t>Claude + DeepSeek (see Extraction Log for per-cell decisions) | Verified via manual flag review against hanwha_2025.pdf pp.101-104,109: Contract Workers%, New Hire Rate%, Annual Pay, Training Hours/Employee, Voluntary/Involuntary Turnover%, and LTIFR all confirmed exact matches to Claude's values. DeepSeek's competing values traced to contractor-scope (LTIFR), safety-training-only scope (Training Hours), or broader personnel-cost basis (Annual Pay) - see Flags to Review sheet rows 101,104,109,111,117,122,123.</t>
        </is>
      </c>
      <c r="AK85" s="42" t="inlineStr">
        <is>
          <t>See Extraction Log Notes - Ind.1/3 large scope-driven jump 2020-&gt;2021 (divestment restatement); Ind.9 definitional change (broader-&gt;narrower middle-mgmt tier); Ind.30 KCGS A-streak ends after 2020 | MANUAL FLAG cells use Claude value as placeholder pending manual review</t>
        </is>
      </c>
    </row>
    <row r="86" ht="15" customHeight="1" s="43">
      <c r="A86" s="79" t="n"/>
      <c r="B86" s="79" t="n"/>
      <c r="C86" s="79" t="inlineStr">
        <is>
          <t>Industrials</t>
        </is>
      </c>
      <c r="D86" s="79" t="inlineStr">
        <is>
          <t>2024</t>
        </is>
      </c>
      <c r="E86" s="77" t="n">
        <v>31.4</v>
      </c>
      <c r="F86" s="77" t="n">
        <v>11.06</v>
      </c>
      <c r="G86" s="77" t="n">
        <v>15.13</v>
      </c>
      <c r="H86" s="77" t="n">
        <v>8.65</v>
      </c>
      <c r="I86" s="77" t="n">
        <v>51.99</v>
      </c>
      <c r="J86" s="77" t="n">
        <v>17.22</v>
      </c>
      <c r="K86" s="77" t="n"/>
      <c r="L86" s="77" t="n"/>
      <c r="M86" s="77" t="n">
        <v>7.13</v>
      </c>
      <c r="N86" s="77" t="n">
        <v>1.1</v>
      </c>
      <c r="O86" s="77" t="n">
        <v>12.5</v>
      </c>
      <c r="P86" s="77" t="n">
        <v>88000000</v>
      </c>
      <c r="Q86" s="77" t="n">
        <v>30.14</v>
      </c>
      <c r="R86" s="77" t="n">
        <v>360240</v>
      </c>
      <c r="S86" s="77" t="n">
        <v>24.95</v>
      </c>
      <c r="T86" s="77" t="n">
        <v>19</v>
      </c>
      <c r="U86" s="77" t="n">
        <v>23</v>
      </c>
      <c r="V86" s="77" t="n">
        <v>80.59999999999999</v>
      </c>
      <c r="W86" s="77" t="n">
        <v>8.800000000000001</v>
      </c>
      <c r="X86" s="77" t="n">
        <v>10.69</v>
      </c>
      <c r="Y86" s="77" t="n">
        <v>0.79</v>
      </c>
      <c r="Z86" s="77" t="n">
        <v>90</v>
      </c>
      <c r="AA86" s="77" t="n">
        <v>0</v>
      </c>
      <c r="AB86" s="77" t="n">
        <v>0</v>
      </c>
      <c r="AC86" s="78" t="n"/>
      <c r="AD86" s="78" t="n"/>
      <c r="AE86" s="78" t="n"/>
      <c r="AF86" s="78" t="n"/>
      <c r="AG86" s="78" t="n"/>
      <c r="AH86" s="78" t="n"/>
      <c r="AI86" s="77" t="n"/>
      <c r="AJ86" s="77" t="inlineStr">
        <is>
          <t>Claude + DeepSeek (see Extraction Log for per-cell decisions) | Verified via manual flag review against hanwha_2025.pdf pp.101-104,109: Contract Workers%, New Hire Rate%, Annual Pay, Training Hours/Employee, Voluntary Turnover%, Involuntary Turnover%, and LTIFR all confirmed exact matches to Claude's values. DeepSeek's competing values traced to contractor-scope (LTIFR), safety-training-only scope (Training Hours), or broader personnel-cost basis (Annual Pay) - see Flags to Review sheet rows 100,103,108,110,115,118,119. COVID-19 Response (Ind.25, 2020) left UNRESOLVED - purple/external indicator, see Flags to Review row 116 note.</t>
        </is>
      </c>
      <c r="AK86" s="42" t="inlineStr">
        <is>
          <t>See Extraction Log Notes - Ind.1/3 large scope-driven jump 2020-&gt;2021 (divestment restatement); Ind.9 definitional change (broader-&gt;narrower middle-mgmt tier); Ind.30 KCGS A-streak ends after 2020 | MANUAL FLAG cells use Claude value as placeholder pending manual review</t>
        </is>
      </c>
    </row>
    <row r="87" ht="15" customHeight="1" s="43">
      <c r="A87" s="75" t="inlineStr">
        <is>
          <t>HANWHA AEROSPACE</t>
        </is>
      </c>
      <c r="B87" s="75" t="inlineStr">
        <is>
          <t>012450</t>
        </is>
      </c>
      <c r="C87" s="76" t="inlineStr">
        <is>
          <t>Industrials</t>
        </is>
      </c>
      <c r="D87" s="76" t="inlineStr">
        <is>
          <t>2018</t>
        </is>
      </c>
      <c r="E87" s="77" t="n">
        <v>5.31</v>
      </c>
      <c r="F87" s="77" t="n"/>
      <c r="G87" s="77" t="n">
        <v>2.41</v>
      </c>
      <c r="H87" s="77" t="n"/>
      <c r="I87" s="77" t="n"/>
      <c r="J87" s="77" t="n"/>
      <c r="K87" s="77" t="n"/>
      <c r="L87" s="77" t="n"/>
      <c r="M87" s="77" t="n">
        <v>4</v>
      </c>
      <c r="N87" s="77" t="n"/>
      <c r="O87" s="77" t="n">
        <v>0</v>
      </c>
      <c r="P87" s="77" t="n">
        <v>125350000</v>
      </c>
      <c r="Q87" s="77" t="n">
        <v>17</v>
      </c>
      <c r="R87" s="77" t="n">
        <v>680000</v>
      </c>
      <c r="S87" s="77" t="n">
        <v>40.6</v>
      </c>
      <c r="T87" s="77" t="n">
        <v>9</v>
      </c>
      <c r="U87" s="77" t="n">
        <v>5</v>
      </c>
      <c r="V87" s="77" t="n">
        <v>100</v>
      </c>
      <c r="W87" s="77" t="n"/>
      <c r="X87" s="77" t="n"/>
      <c r="Y87" s="77" t="n"/>
      <c r="Z87" s="77" t="n"/>
      <c r="AA87" s="77" t="n">
        <v>0.1</v>
      </c>
      <c r="AB87" s="77" t="n"/>
      <c r="AC87" s="78" t="n"/>
      <c r="AD87" s="78" t="n"/>
      <c r="AE87" s="78" t="n"/>
      <c r="AF87" s="78" t="n"/>
      <c r="AG87" s="78" t="n"/>
      <c r="AH87" s="78" t="inlineStr">
        <is>
          <t>B+</t>
        </is>
      </c>
      <c r="AI87" s="77" t="n"/>
      <c r="AJ87" s="77" t="inlineStr">
        <is>
          <t>Claude + DeepSeek (see Extraction Log for per-cell decisions)</t>
        </is>
      </c>
      <c r="AK87" s="42" t="inlineStr">
        <is>
          <t>See Extraction Log Notes - Ind.9/1 definitional shifts across editions; Ind.12/23 major cross-edition conflicts; Ind.24 fatality data unavailable 2022+ (scope discovery); merger noted around 2022-2023 affecting comparability | MANUAL FLAG cells use Claude value as placeholder pending manual review</t>
        </is>
      </c>
    </row>
    <row r="88" ht="15" customHeight="1" s="43">
      <c r="A88" s="79" t="n"/>
      <c r="B88" s="79" t="n"/>
      <c r="C88" s="79" t="inlineStr">
        <is>
          <t>Industrials</t>
        </is>
      </c>
      <c r="D88" s="79" t="inlineStr">
        <is>
          <t>2019</t>
        </is>
      </c>
      <c r="E88" s="77" t="n">
        <v>3.3</v>
      </c>
      <c r="F88" s="77" t="n"/>
      <c r="G88" s="77" t="n"/>
      <c r="H88" s="77" t="n">
        <v>2.5</v>
      </c>
      <c r="I88" s="77" t="n">
        <v>21.6</v>
      </c>
      <c r="J88" s="77" t="n">
        <v>23.5</v>
      </c>
      <c r="K88" s="77" t="n"/>
      <c r="L88" s="77" t="n"/>
      <c r="M88" s="77" t="n">
        <v>13.33</v>
      </c>
      <c r="N88" s="77" t="n">
        <v>3.4</v>
      </c>
      <c r="O88" s="77" t="n">
        <v>0</v>
      </c>
      <c r="P88" s="77" t="n">
        <v>84000000</v>
      </c>
      <c r="Q88" s="77" t="n">
        <v>18</v>
      </c>
      <c r="R88" s="77" t="n">
        <v>685000</v>
      </c>
      <c r="S88" s="77" t="n">
        <v>25</v>
      </c>
      <c r="T88" s="77" t="n">
        <v>13</v>
      </c>
      <c r="U88" s="77" t="n">
        <v>5</v>
      </c>
      <c r="V88" s="77" t="n">
        <v>77.8</v>
      </c>
      <c r="W88" s="77" t="n">
        <v>17.8</v>
      </c>
      <c r="X88" s="77" t="n">
        <v>1.6</v>
      </c>
      <c r="Y88" s="77" t="n">
        <v>1</v>
      </c>
      <c r="Z88" s="77" t="n">
        <v>38</v>
      </c>
      <c r="AA88" s="77" t="n">
        <v>0.93</v>
      </c>
      <c r="AB88" s="77" t="n">
        <v>0</v>
      </c>
      <c r="AC88" s="78" t="n"/>
      <c r="AD88" s="78" t="n"/>
      <c r="AE88" s="78" t="n"/>
      <c r="AF88" s="78" t="n"/>
      <c r="AG88" s="78" t="n"/>
      <c r="AH88" s="78" t="n"/>
      <c r="AI88" s="77" t="n"/>
      <c r="AJ88" s="77" t="inlineStr">
        <is>
          <t>Claude + DeepSeek (see Extraction Log for per-cell decisions)</t>
        </is>
      </c>
      <c r="AK88" s="42" t="inlineStr">
        <is>
          <t>See Extraction Log Notes - Ind.9/1 definitional shifts across editions; Ind.12/23 major cross-edition conflicts; Ind.24 fatality data unavailable 2022+ (scope discovery); merger noted around 2022-2023 affecting comparability | MANUAL FLAG cells use Claude value as placeholder pending manual review</t>
        </is>
      </c>
    </row>
    <row r="89" ht="15" customHeight="1" s="43">
      <c r="A89" s="76" t="n"/>
      <c r="B89" s="76" t="n"/>
      <c r="C89" s="76" t="inlineStr">
        <is>
          <t>Industrials</t>
        </is>
      </c>
      <c r="D89" s="76" t="inlineStr">
        <is>
          <t>2020</t>
        </is>
      </c>
      <c r="E89" s="77" t="n">
        <v>2</v>
      </c>
      <c r="F89" s="77" t="n"/>
      <c r="G89" s="77" t="n"/>
      <c r="H89" s="77" t="n">
        <v>1</v>
      </c>
      <c r="I89" s="77" t="n">
        <v>23.8</v>
      </c>
      <c r="J89" s="77" t="n">
        <v>19</v>
      </c>
      <c r="K89" s="77" t="n"/>
      <c r="L89" s="77" t="n"/>
      <c r="M89" s="77" t="n">
        <v>15.79</v>
      </c>
      <c r="N89" s="77" t="n">
        <v>3.4</v>
      </c>
      <c r="O89" s="77" t="n">
        <v>0</v>
      </c>
      <c r="P89" s="77" t="n">
        <v>79000000</v>
      </c>
      <c r="Q89" s="77" t="n">
        <v>18</v>
      </c>
      <c r="R89" s="77" t="n">
        <v>213000</v>
      </c>
      <c r="S89" s="77" t="n">
        <v>13</v>
      </c>
      <c r="T89" s="77" t="n">
        <v>7</v>
      </c>
      <c r="U89" s="77" t="n">
        <v>5</v>
      </c>
      <c r="V89" s="77" t="n">
        <v>83.3</v>
      </c>
      <c r="W89" s="77" t="n">
        <v>18.7</v>
      </c>
      <c r="X89" s="77" t="n">
        <v>1.1</v>
      </c>
      <c r="Y89" s="77" t="n">
        <v>1.6</v>
      </c>
      <c r="Z89" s="77" t="n">
        <v>36.2</v>
      </c>
      <c r="AA89" s="77" t="n">
        <v>0.24</v>
      </c>
      <c r="AB89" s="77" t="n">
        <v>0</v>
      </c>
      <c r="AC89" s="78" t="n">
        <v>5</v>
      </c>
      <c r="AD89" s="78" t="n"/>
      <c r="AE89" s="78" t="n"/>
      <c r="AF89" s="78" t="n"/>
      <c r="AG89" s="78" t="n"/>
      <c r="AH89" s="78" t="n"/>
      <c r="AI89" s="77" t="n"/>
      <c r="AJ89" s="77" t="inlineStr">
        <is>
          <t>Claude + DeepSeek (see Extraction Log for per-cell decisions)</t>
        </is>
      </c>
      <c r="AK89" s="42" t="inlineStr">
        <is>
          <t>See Extraction Log Notes - Ind.9/1 definitional shifts across editions; Ind.12/23 major cross-edition conflicts; Ind.24 fatality data unavailable 2022+ (scope discovery); merger noted around 2022-2023 affecting comparability | MANUAL FLAG cells use Claude value as placeholder pending manual review | Ind.'COVID-19 Response': manual verification inconclusive/unavailable in source per Notes - Claude value (5) retained as final per user decision.</t>
        </is>
      </c>
    </row>
    <row r="90" ht="15" customHeight="1" s="43">
      <c r="A90" s="79" t="n"/>
      <c r="B90" s="79" t="n"/>
      <c r="C90" s="79" t="inlineStr">
        <is>
          <t>Industrials</t>
        </is>
      </c>
      <c r="D90" s="79" t="inlineStr">
        <is>
          <t>2021</t>
        </is>
      </c>
      <c r="E90" s="77" t="n">
        <v>1.8</v>
      </c>
      <c r="F90" s="77" t="n"/>
      <c r="G90" s="77" t="n"/>
      <c r="H90" s="77" t="n">
        <v>1.7</v>
      </c>
      <c r="I90" s="77" t="n">
        <v>36.4</v>
      </c>
      <c r="J90" s="77" t="n">
        <v>12.1</v>
      </c>
      <c r="K90" s="77" t="n"/>
      <c r="L90" s="77" t="n"/>
      <c r="M90" s="77" t="n">
        <v>17.5</v>
      </c>
      <c r="N90" s="77" t="n">
        <v>3</v>
      </c>
      <c r="O90" s="77" t="n">
        <v>29</v>
      </c>
      <c r="P90" s="77" t="n">
        <v>80000000</v>
      </c>
      <c r="Q90" s="77" t="n">
        <v>16</v>
      </c>
      <c r="R90" s="77" t="n">
        <v>459000</v>
      </c>
      <c r="S90" s="77" t="n">
        <v>17</v>
      </c>
      <c r="T90" s="77" t="n">
        <v>7</v>
      </c>
      <c r="U90" s="77" t="n">
        <v>5</v>
      </c>
      <c r="V90" s="77" t="n">
        <v>100</v>
      </c>
      <c r="W90" s="77" t="n">
        <v>19.3</v>
      </c>
      <c r="X90" s="77" t="n">
        <v>1.8</v>
      </c>
      <c r="Y90" s="77" t="n">
        <v>1.2</v>
      </c>
      <c r="Z90" s="77" t="n">
        <v>34.1</v>
      </c>
      <c r="AA90" s="77" t="n">
        <v>0</v>
      </c>
      <c r="AB90" s="77" t="n">
        <v>0</v>
      </c>
      <c r="AC90" s="78" t="n">
        <v>5</v>
      </c>
      <c r="AD90" s="78" t="n"/>
      <c r="AE90" s="78" t="n"/>
      <c r="AF90" s="78" t="n"/>
      <c r="AG90" s="78" t="n"/>
      <c r="AH90" s="78" t="n"/>
      <c r="AI90" s="77" t="n"/>
      <c r="AJ90" s="77" t="inlineStr">
        <is>
          <t>Claude + DeepSeek (see Extraction Log for per-cell decisions)</t>
        </is>
      </c>
      <c r="AK90" s="42" t="inlineStr">
        <is>
          <t>See Extraction Log Notes - Ind.9/1 definitional shifts across editions; Ind.12/23 major cross-edition conflicts; Ind.24 fatality data unavailable 2022+ (scope discovery); merger noted around 2022-2023 affecting comparability | MANUAL FLAG cells use Claude value as placeholder pending manual review | Ind.'COVID-19 Response': manual verification inconclusive/unavailable in source per Notes - Claude value (5) retained as final per user decision.</t>
        </is>
      </c>
    </row>
    <row r="91" ht="15" customHeight="1" s="43">
      <c r="A91" s="76" t="n"/>
      <c r="B91" s="76" t="n"/>
      <c r="C91" s="76" t="inlineStr">
        <is>
          <t>Industrials</t>
        </is>
      </c>
      <c r="D91" s="76" t="inlineStr">
        <is>
          <t>2022</t>
        </is>
      </c>
      <c r="E91" s="77" t="n">
        <v>4.49</v>
      </c>
      <c r="F91" s="77" t="n">
        <v>6.6</v>
      </c>
      <c r="G91" s="77" t="n">
        <v>12.7</v>
      </c>
      <c r="H91" s="77" t="n">
        <v>6.18</v>
      </c>
      <c r="I91" s="77" t="n">
        <v>11.9</v>
      </c>
      <c r="J91" s="77" t="n">
        <v>14.1</v>
      </c>
      <c r="K91" s="77" t="n">
        <v>2.098</v>
      </c>
      <c r="L91" s="77" t="n"/>
      <c r="M91" s="77" t="n">
        <v>20.2</v>
      </c>
      <c r="N91" s="77" t="n">
        <v>1.3</v>
      </c>
      <c r="O91" s="77" t="n">
        <v>29</v>
      </c>
      <c r="P91" s="77" t="n">
        <v>102000000</v>
      </c>
      <c r="Q91" s="77" t="n">
        <v>16.9</v>
      </c>
      <c r="R91" s="77" t="n">
        <v>665533</v>
      </c>
      <c r="S91" s="77" t="n">
        <v>16.5</v>
      </c>
      <c r="T91" s="77" t="n">
        <v>22</v>
      </c>
      <c r="U91" s="77" t="n">
        <v>28</v>
      </c>
      <c r="V91" s="77" t="n"/>
      <c r="W91" s="77" t="n">
        <v>18.8</v>
      </c>
      <c r="X91" s="77" t="n">
        <v>1.6</v>
      </c>
      <c r="Y91" s="77" t="n">
        <v>1.4</v>
      </c>
      <c r="Z91" s="77" t="n"/>
      <c r="AA91" s="77" t="n">
        <v>0.09</v>
      </c>
      <c r="AB91" s="77" t="n"/>
      <c r="AC91" s="78" t="n"/>
      <c r="AD91" s="78" t="n"/>
      <c r="AE91" s="78" t="n"/>
      <c r="AF91" s="78" t="n"/>
      <c r="AG91" s="78" t="n"/>
      <c r="AH91" s="78" t="n"/>
      <c r="AI91" s="77" t="n"/>
      <c r="AJ91" s="77" t="inlineStr">
        <is>
          <t>Claude + DeepSeek (see Extraction Log for per-cell decisions)</t>
        </is>
      </c>
      <c r="AK91" s="42" t="inlineStr">
        <is>
          <t>See Extraction Log Notes - Ind.9/1 definitional shifts across editions; Ind.12/23 major cross-edition conflicts; Ind.24 fatality data unavailable 2022+ (scope discovery); merger noted around 2022-2023 affecting comparability | MANUAL FLAG cells use Claude value as placeholder pending manual review</t>
        </is>
      </c>
    </row>
    <row r="92" ht="15" customHeight="1" s="43">
      <c r="A92" s="79" t="n"/>
      <c r="B92" s="79" t="n"/>
      <c r="C92" s="79" t="inlineStr">
        <is>
          <t>Industrials</t>
        </is>
      </c>
      <c r="D92" s="79" t="inlineStr">
        <is>
          <t>2023</t>
        </is>
      </c>
      <c r="E92" s="77" t="n">
        <v>6.57</v>
      </c>
      <c r="F92" s="77" t="n">
        <v>7.6</v>
      </c>
      <c r="G92" s="77" t="n">
        <v>7.6</v>
      </c>
      <c r="H92" s="77" t="n">
        <v>10.39</v>
      </c>
      <c r="I92" s="77" t="n">
        <v>38.6</v>
      </c>
      <c r="J92" s="77" t="n">
        <v>10.9</v>
      </c>
      <c r="K92" s="77" t="n">
        <v>1.922</v>
      </c>
      <c r="L92" s="77" t="n"/>
      <c r="M92" s="77" t="n">
        <v>18.7</v>
      </c>
      <c r="N92" s="77" t="n">
        <v>2.9</v>
      </c>
      <c r="O92" s="77" t="n">
        <v>14</v>
      </c>
      <c r="P92" s="77" t="n">
        <v>91000000</v>
      </c>
      <c r="Q92" s="77" t="n">
        <v>12.5</v>
      </c>
      <c r="R92" s="77" t="n">
        <v>409038</v>
      </c>
      <c r="S92" s="77" t="n">
        <v>15.3</v>
      </c>
      <c r="T92" s="77" t="n">
        <v>19</v>
      </c>
      <c r="U92" s="77" t="n">
        <v>42</v>
      </c>
      <c r="V92" s="77" t="n"/>
      <c r="W92" s="77" t="n">
        <v>15.7</v>
      </c>
      <c r="X92" s="77" t="n">
        <v>1.8</v>
      </c>
      <c r="Y92" s="77" t="n">
        <v>0.7</v>
      </c>
      <c r="Z92" s="77" t="n"/>
      <c r="AA92" s="77" t="n">
        <v>0.76</v>
      </c>
      <c r="AB92" s="77" t="n"/>
      <c r="AC92" s="78" t="n"/>
      <c r="AD92" s="78" t="n"/>
      <c r="AE92" s="78" t="n"/>
      <c r="AF92" s="78" t="n"/>
      <c r="AG92" s="78" t="n"/>
      <c r="AH92" s="78" t="n"/>
      <c r="AI92" s="77" t="n"/>
      <c r="AJ92" s="77" t="inlineStr">
        <is>
          <t>Claude + DeepSeek (see Extraction Log for per-cell decisions)</t>
        </is>
      </c>
      <c r="AK92" s="42" t="inlineStr">
        <is>
          <t>See Extraction Log Notes - Ind.9/1 definitional shifts across editions; Ind.12/23 major cross-edition conflicts; Ind.24 fatality data unavailable 2022+ (scope discovery); merger noted around 2022-2023 affecting comparability | MANUAL FLAG cells use Claude value as placeholder pending manual review</t>
        </is>
      </c>
    </row>
    <row r="93" ht="15" customHeight="1" s="43">
      <c r="A93" s="76" t="n"/>
      <c r="B93" s="76" t="n"/>
      <c r="C93" s="76" t="inlineStr">
        <is>
          <t>Industrials</t>
        </is>
      </c>
      <c r="D93" s="76" t="inlineStr">
        <is>
          <t>2024</t>
        </is>
      </c>
      <c r="E93" s="77" t="n">
        <v>9.98</v>
      </c>
      <c r="F93" s="77" t="n">
        <v>8.5</v>
      </c>
      <c r="G93" s="77" t="n">
        <v>6.7</v>
      </c>
      <c r="H93" s="77" t="n">
        <v>14.27</v>
      </c>
      <c r="I93" s="77" t="n">
        <v>69</v>
      </c>
      <c r="J93" s="77" t="n">
        <v>11.8</v>
      </c>
      <c r="K93" s="77" t="n">
        <v>1.998</v>
      </c>
      <c r="L93" s="77" t="n"/>
      <c r="M93" s="77" t="n">
        <v>20.3</v>
      </c>
      <c r="N93" s="77" t="n">
        <v>2.7</v>
      </c>
      <c r="O93" s="77" t="n">
        <v>14</v>
      </c>
      <c r="P93" s="77" t="n">
        <v>118000000</v>
      </c>
      <c r="Q93" s="77" t="n">
        <v>10.7</v>
      </c>
      <c r="R93" s="77" t="n">
        <v>746308</v>
      </c>
      <c r="S93" s="77" t="n">
        <v>23.2</v>
      </c>
      <c r="T93" s="77" t="n">
        <v>39</v>
      </c>
      <c r="U93" s="77" t="n">
        <v>54</v>
      </c>
      <c r="V93" s="77" t="n"/>
      <c r="W93" s="77" t="n">
        <v>14.8</v>
      </c>
      <c r="X93" s="77" t="n">
        <v>2.6</v>
      </c>
      <c r="Y93" s="77" t="n">
        <v>1.4</v>
      </c>
      <c r="Z93" s="77" t="n">
        <v>32.2</v>
      </c>
      <c r="AA93" s="77" t="n">
        <v>0.68</v>
      </c>
      <c r="AB93" s="77" t="n"/>
      <c r="AC93" s="78" t="n"/>
      <c r="AD93" s="78" t="n">
        <v>7</v>
      </c>
      <c r="AE93" s="78" t="n"/>
      <c r="AF93" s="78" t="n"/>
      <c r="AG93" s="78" t="n"/>
      <c r="AH93" s="78" t="inlineStr">
        <is>
          <t>A</t>
        </is>
      </c>
      <c r="AI93" s="77" t="n"/>
      <c r="AJ93" s="77" t="inlineStr">
        <is>
          <t>Claude + DeepSeek (see Extraction Log for per-cell decisions)</t>
        </is>
      </c>
      <c r="AK93" s="42" t="inlineStr">
        <is>
          <t>See Extraction Log Notes - Ind.9/1 definitional shifts across editions; Ind.12/23 major cross-edition conflicts; Ind.24 fatality data unavailable 2022+ (scope discovery); merger noted around 2022-2023 affecting comparability | MANUAL FLAG cells use Claude value as placeholder pending manual review</t>
        </is>
      </c>
    </row>
    <row r="94" ht="15" customHeight="1" s="43">
      <c r="A94" s="80" t="inlineStr">
        <is>
          <t>HANWHA OCEAN</t>
        </is>
      </c>
      <c r="B94" s="80" t="inlineStr">
        <is>
          <t>042660</t>
        </is>
      </c>
      <c r="C94" s="79" t="inlineStr">
        <is>
          <t>Industrials</t>
        </is>
      </c>
      <c r="D94" s="79" t="inlineStr">
        <is>
          <t>2018</t>
        </is>
      </c>
      <c r="E94" s="77" t="n"/>
      <c r="F94" s="77" t="n"/>
      <c r="G94" s="77" t="n"/>
      <c r="H94" s="77" t="n"/>
      <c r="I94" s="77" t="n"/>
      <c r="J94" s="77" t="n"/>
      <c r="K94" s="77" t="n"/>
      <c r="L94" s="77" t="n"/>
      <c r="M94" s="77" t="n"/>
      <c r="N94" s="77" t="n"/>
      <c r="O94" s="77" t="n"/>
      <c r="P94" s="77" t="n"/>
      <c r="Q94" s="77" t="n"/>
      <c r="R94" s="77" t="n"/>
      <c r="S94" s="77" t="n"/>
      <c r="T94" s="77" t="n"/>
      <c r="U94" s="77" t="n"/>
      <c r="V94" s="77" t="n"/>
      <c r="W94" s="77" t="n"/>
      <c r="X94" s="77" t="n"/>
      <c r="Y94" s="77" t="n"/>
      <c r="Z94" s="77" t="n"/>
      <c r="AA94" s="77" t="n"/>
      <c r="AB94" s="77" t="n"/>
      <c r="AC94" s="78" t="n"/>
      <c r="AD94" s="78" t="n"/>
      <c r="AE94" s="78" t="n"/>
      <c r="AF94" s="78" t="n"/>
      <c r="AG94" s="78" t="n"/>
      <c r="AH94" s="78" t="n"/>
      <c r="AI94" s="77" t="n"/>
      <c r="AJ94" s="77" t="inlineStr">
        <is>
          <t>Claude + DeepSeek (see Extraction Log for per-cell decisions)</t>
        </is>
      </c>
      <c r="AK94" s="42" t="inlineStr">
        <is>
          <t>2018/2019/2024 no data - report window is 2020-2023. See Extraction Log Notes for Ind.4 restatements, Ind.21 proxy method, Ind.23/24 unit notes. | MANUAL FLAG cells use Claude value as placeholder pending manual review</t>
        </is>
      </c>
    </row>
    <row r="95" ht="15" customHeight="1" s="43">
      <c r="A95" s="76" t="n"/>
      <c r="B95" s="76" t="n"/>
      <c r="C95" s="76" t="inlineStr">
        <is>
          <t>Industrials</t>
        </is>
      </c>
      <c r="D95" s="76" t="inlineStr">
        <is>
          <t>2019</t>
        </is>
      </c>
      <c r="E95" s="77" t="n"/>
      <c r="F95" s="77" t="n"/>
      <c r="G95" s="77" t="n"/>
      <c r="H95" s="77" t="n"/>
      <c r="I95" s="77" t="n"/>
      <c r="J95" s="77" t="n"/>
      <c r="K95" s="77" t="n"/>
      <c r="L95" s="77" t="n"/>
      <c r="M95" s="77" t="n"/>
      <c r="N95" s="77" t="n"/>
      <c r="O95" s="77" t="n"/>
      <c r="P95" s="77" t="n"/>
      <c r="Q95" s="77" t="n"/>
      <c r="R95" s="77" t="n"/>
      <c r="S95" s="77" t="n"/>
      <c r="T95" s="77" t="n"/>
      <c r="U95" s="77" t="n"/>
      <c r="V95" s="77" t="n"/>
      <c r="W95" s="77" t="n"/>
      <c r="X95" s="77" t="n"/>
      <c r="Y95" s="77" t="n"/>
      <c r="Z95" s="77" t="n"/>
      <c r="AA95" s="77" t="n"/>
      <c r="AB95" s="77" t="n"/>
      <c r="AC95" s="78" t="n"/>
      <c r="AD95" s="78" t="n"/>
      <c r="AE95" s="78" t="n"/>
      <c r="AF95" s="78" t="n"/>
      <c r="AG95" s="78" t="n"/>
      <c r="AH95" s="78" t="n"/>
      <c r="AI95" s="77" t="n"/>
      <c r="AJ95" s="77" t="inlineStr">
        <is>
          <t>Claude + DeepSeek (see Extraction Log for per-cell decisions)</t>
        </is>
      </c>
      <c r="AK95" s="42" t="inlineStr">
        <is>
          <t>2018/2019/2024 no data - report window is 2020-2023. See Extraction Log Notes for Ind.4 restatements, Ind.21 proxy method, Ind.23/24 unit notes. | MANUAL FLAG cells use Claude value as placeholder pending manual review</t>
        </is>
      </c>
    </row>
    <row r="96" ht="15" customHeight="1" s="43">
      <c r="A96" s="79" t="n"/>
      <c r="B96" s="79" t="n"/>
      <c r="C96" s="79" t="inlineStr">
        <is>
          <t>Industrials</t>
        </is>
      </c>
      <c r="D96" s="79" t="inlineStr">
        <is>
          <t>2020</t>
        </is>
      </c>
      <c r="E96" s="77" t="n">
        <v>4.27</v>
      </c>
      <c r="F96" s="77" t="n">
        <v>3.35</v>
      </c>
      <c r="G96" s="77" t="n">
        <v>20.1</v>
      </c>
      <c r="H96" s="77" t="n">
        <v>4.39</v>
      </c>
      <c r="I96" s="77" t="n">
        <v>20.93</v>
      </c>
      <c r="J96" s="77" t="n">
        <v>3.13</v>
      </c>
      <c r="K96" s="77" t="n"/>
      <c r="L96" s="77" t="n">
        <v>0</v>
      </c>
      <c r="M96" s="77" t="n">
        <v>11.24</v>
      </c>
      <c r="N96" s="77" t="n">
        <v>0</v>
      </c>
      <c r="O96" s="77" t="n">
        <v>0</v>
      </c>
      <c r="P96" s="77" t="n">
        <v>72514000</v>
      </c>
      <c r="Q96" s="77" t="n">
        <v>34.67</v>
      </c>
      <c r="R96" s="77" t="n">
        <v>282000</v>
      </c>
      <c r="S96" s="77" t="n">
        <v>41.3</v>
      </c>
      <c r="T96" s="77" t="n">
        <v>30</v>
      </c>
      <c r="U96" s="77" t="n">
        <v>77</v>
      </c>
      <c r="V96" s="77" t="n"/>
      <c r="W96" s="77" t="n">
        <v>18.3</v>
      </c>
      <c r="X96" s="77" t="n">
        <v>0.79</v>
      </c>
      <c r="Y96" s="77" t="n">
        <v>5.11</v>
      </c>
      <c r="Z96" s="77" t="n">
        <v>100</v>
      </c>
      <c r="AA96" s="77" t="n">
        <v>0.29</v>
      </c>
      <c r="AB96" s="77" t="n">
        <v>0</v>
      </c>
      <c r="AC96" s="78" t="n"/>
      <c r="AD96" s="78" t="n"/>
      <c r="AE96" s="78" t="n"/>
      <c r="AF96" s="78" t="n"/>
      <c r="AG96" s="78" t="n"/>
      <c r="AH96" s="78" t="n"/>
      <c r="AI96" s="77" t="n"/>
      <c r="AJ96" s="77" t="inlineStr">
        <is>
          <t>Claude + DeepSeek (see Extraction Log for per-cell decisions)</t>
        </is>
      </c>
      <c r="AK96" s="42" t="inlineStr">
        <is>
          <t>2018/2019/2024 no data - report window is 2020-2023. See Extraction Log Notes for Ind.4 restatements, Ind.21 proxy method, Ind.23/24 unit notes. | MANUAL FLAG cells use Claude value as placeholder pending manual review</t>
        </is>
      </c>
    </row>
    <row r="97" ht="15" customHeight="1" s="43">
      <c r="A97" s="76" t="n"/>
      <c r="B97" s="76" t="n"/>
      <c r="C97" s="76" t="inlineStr">
        <is>
          <t>Industrials</t>
        </is>
      </c>
      <c r="D97" s="76" t="inlineStr">
        <is>
          <t>2021</t>
        </is>
      </c>
      <c r="E97" s="77" t="n">
        <v>1.66</v>
      </c>
      <c r="F97" s="77" t="n">
        <v>3.44</v>
      </c>
      <c r="G97" s="77" t="n">
        <v>52.05</v>
      </c>
      <c r="H97" s="77" t="n">
        <v>1.6</v>
      </c>
      <c r="I97" s="77" t="n">
        <v>6.67</v>
      </c>
      <c r="J97" s="77" t="n">
        <v>7.8</v>
      </c>
      <c r="K97" s="77" t="n"/>
      <c r="L97" s="77" t="n">
        <v>0</v>
      </c>
      <c r="M97" s="77" t="n">
        <v>13.16</v>
      </c>
      <c r="N97" s="77" t="n">
        <v>0</v>
      </c>
      <c r="O97" s="77" t="n">
        <v>0</v>
      </c>
      <c r="P97" s="77" t="n">
        <v>67912000</v>
      </c>
      <c r="Q97" s="77" t="n">
        <v>33.78</v>
      </c>
      <c r="R97" s="77" t="n">
        <v>246000</v>
      </c>
      <c r="S97" s="77" t="n">
        <v>45</v>
      </c>
      <c r="T97" s="77" t="n">
        <v>27</v>
      </c>
      <c r="U97" s="77" t="n">
        <v>153</v>
      </c>
      <c r="V97" s="77" t="n"/>
      <c r="W97" s="77" t="n">
        <v>19</v>
      </c>
      <c r="X97" s="77" t="n">
        <v>1.26</v>
      </c>
      <c r="Y97" s="77" t="n">
        <v>4.24</v>
      </c>
      <c r="Z97" s="77" t="n">
        <v>100</v>
      </c>
      <c r="AA97" s="77" t="n">
        <v>0.28</v>
      </c>
      <c r="AB97" s="77" t="n">
        <v>0</v>
      </c>
      <c r="AC97" s="78" t="n"/>
      <c r="AD97" s="78" t="n"/>
      <c r="AE97" s="78" t="n"/>
      <c r="AF97" s="78" t="n"/>
      <c r="AG97" s="78" t="n"/>
      <c r="AH97" s="78" t="n"/>
      <c r="AI97" s="77" t="n"/>
      <c r="AJ97" s="77" t="inlineStr">
        <is>
          <t>Claude + DeepSeek (see Extraction Log for per-cell decisions)</t>
        </is>
      </c>
      <c r="AK97" s="42" t="inlineStr">
        <is>
          <t>2018/2019/2024 no data - report window is 2020-2023. See Extraction Log Notes for Ind.4 restatements, Ind.21 proxy method, Ind.23/24 unit notes. | MANUAL FLAG cells use Claude value as placeholder pending manual review</t>
        </is>
      </c>
    </row>
    <row r="98" ht="15" customHeight="1" s="43">
      <c r="A98" s="79" t="n"/>
      <c r="B98" s="79" t="n"/>
      <c r="C98" s="79" t="inlineStr">
        <is>
          <t>Industrials</t>
        </is>
      </c>
      <c r="D98" s="79" t="inlineStr">
        <is>
          <t>2022</t>
        </is>
      </c>
      <c r="E98" s="77" t="n">
        <v>3.71</v>
      </c>
      <c r="F98" s="77" t="n">
        <v>3.69</v>
      </c>
      <c r="G98" s="77" t="n">
        <v>29.38</v>
      </c>
      <c r="H98" s="77" t="n">
        <v>6.65</v>
      </c>
      <c r="I98" s="77" t="n">
        <v>12.83</v>
      </c>
      <c r="J98" s="77" t="n">
        <v>10.45</v>
      </c>
      <c r="K98" s="77" t="n"/>
      <c r="L98" s="77" t="n">
        <v>0</v>
      </c>
      <c r="M98" s="77" t="n">
        <v>17.06</v>
      </c>
      <c r="N98" s="77" t="n">
        <v>0</v>
      </c>
      <c r="O98" s="77" t="n">
        <v>14.29</v>
      </c>
      <c r="P98" s="77" t="n">
        <v>73665000</v>
      </c>
      <c r="Q98" s="77" t="n">
        <v>29.59</v>
      </c>
      <c r="R98" s="77" t="n">
        <v>323000</v>
      </c>
      <c r="S98" s="77" t="n">
        <v>87.02</v>
      </c>
      <c r="T98" s="77" t="n">
        <v>52</v>
      </c>
      <c r="U98" s="77" t="n">
        <v>213</v>
      </c>
      <c r="V98" s="77" t="n"/>
      <c r="W98" s="77" t="n">
        <v>19</v>
      </c>
      <c r="X98" s="77" t="n">
        <v>5.65</v>
      </c>
      <c r="Y98" s="77" t="n">
        <v>2.35</v>
      </c>
      <c r="Z98" s="77" t="n">
        <v>100</v>
      </c>
      <c r="AA98" s="77" t="n">
        <v>0.21</v>
      </c>
      <c r="AB98" s="77" t="n">
        <v>1.28</v>
      </c>
      <c r="AC98" s="78" t="n"/>
      <c r="AD98" s="78" t="n"/>
      <c r="AE98" s="78" t="n"/>
      <c r="AF98" s="78" t="n"/>
      <c r="AG98" s="78" t="n"/>
      <c r="AH98" s="78" t="n"/>
      <c r="AI98" s="77" t="n"/>
      <c r="AJ98" s="77" t="inlineStr">
        <is>
          <t>Claude + DeepSeek (see Extraction Log for per-cell decisions)</t>
        </is>
      </c>
      <c r="AK98" s="42" t="inlineStr">
        <is>
          <t>2018/2019/2024 no data - report window is 2020-2023. See Extraction Log Notes for Ind.4 restatements, Ind.21 proxy method, Ind.23/24 unit notes. | MANUAL FLAG cells use Claude value as placeholder pending manual review</t>
        </is>
      </c>
    </row>
    <row r="99" ht="15" customHeight="1" s="43">
      <c r="A99" s="76" t="n"/>
      <c r="B99" s="76" t="n"/>
      <c r="C99" s="76" t="inlineStr">
        <is>
          <t>Industrials</t>
        </is>
      </c>
      <c r="D99" s="76" t="inlineStr">
        <is>
          <t>2023</t>
        </is>
      </c>
      <c r="E99" s="77" t="n">
        <v>5.36</v>
      </c>
      <c r="F99" s="77" t="n">
        <v>3.75</v>
      </c>
      <c r="G99" s="77" t="n">
        <v>20.13</v>
      </c>
      <c r="H99" s="77" t="n">
        <v>3.66</v>
      </c>
      <c r="I99" s="77" t="n">
        <v>8.59</v>
      </c>
      <c r="J99" s="77" t="n">
        <v>11.66</v>
      </c>
      <c r="K99" s="77" t="n"/>
      <c r="L99" s="77" t="n"/>
      <c r="M99" s="77" t="n">
        <v>21.48</v>
      </c>
      <c r="N99" s="77" t="n">
        <v>0</v>
      </c>
      <c r="O99" s="77" t="n">
        <v>11.11</v>
      </c>
      <c r="P99" s="77" t="n">
        <v>83000000</v>
      </c>
      <c r="Q99" s="77" t="n">
        <v>30.95</v>
      </c>
      <c r="R99" s="77" t="n">
        <v>319000</v>
      </c>
      <c r="S99" s="77" t="n">
        <v>28</v>
      </c>
      <c r="T99" s="77" t="n">
        <v>35</v>
      </c>
      <c r="U99" s="77" t="n">
        <v>118</v>
      </c>
      <c r="V99" s="77" t="n"/>
      <c r="W99" s="77" t="n">
        <v>18.5</v>
      </c>
      <c r="X99" s="77" t="n">
        <v>1.93</v>
      </c>
      <c r="Y99" s="77" t="n">
        <v>2.27</v>
      </c>
      <c r="Z99" s="77" t="n">
        <v>100</v>
      </c>
      <c r="AA99" s="77" t="n">
        <v>0.19</v>
      </c>
      <c r="AB99" s="77" t="n">
        <v>0.36</v>
      </c>
      <c r="AC99" s="78" t="n"/>
      <c r="AD99" s="78" t="n">
        <v>5</v>
      </c>
      <c r="AE99" s="78" t="n"/>
      <c r="AF99" s="78" t="n"/>
      <c r="AG99" s="78" t="n"/>
      <c r="AH99" s="78" t="n"/>
      <c r="AI99" s="77" t="n"/>
      <c r="AJ99" s="77" t="inlineStr">
        <is>
          <t>Claude + DeepSeek (see Extraction Log for per-cell decisions)</t>
        </is>
      </c>
      <c r="AK99" s="42" t="inlineStr">
        <is>
          <t>2018/2019/2024 no data - report window is 2020-2023. See Extraction Log Notes for Ind.4 restatements, Ind.21 proxy method, Ind.23/24 unit notes. | MANUAL FLAG cells use Claude value as placeholder pending manual review</t>
        </is>
      </c>
    </row>
    <row r="100" ht="15" customHeight="1" s="43">
      <c r="A100" s="79" t="n"/>
      <c r="B100" s="79" t="n"/>
      <c r="C100" s="79" t="inlineStr">
        <is>
          <t>Industrials</t>
        </is>
      </c>
      <c r="D100" s="79" t="inlineStr">
        <is>
          <t>2024</t>
        </is>
      </c>
      <c r="E100" s="77" t="n"/>
      <c r="F100" s="77" t="n"/>
      <c r="G100" s="77" t="n"/>
      <c r="H100" s="77" t="n"/>
      <c r="I100" s="77" t="n"/>
      <c r="J100" s="77" t="n"/>
      <c r="K100" s="77" t="n"/>
      <c r="L100" s="77" t="n"/>
      <c r="M100" s="77" t="n"/>
      <c r="N100" s="77" t="n"/>
      <c r="O100" s="77" t="n"/>
      <c r="P100" s="77" t="n"/>
      <c r="Q100" s="77" t="n"/>
      <c r="R100" s="77" t="n"/>
      <c r="S100" s="77" t="n"/>
      <c r="T100" s="77" t="n"/>
      <c r="U100" s="77" t="n"/>
      <c r="V100" s="77" t="n"/>
      <c r="W100" s="77" t="n"/>
      <c r="X100" s="77" t="n"/>
      <c r="Y100" s="77" t="n"/>
      <c r="Z100" s="77" t="n"/>
      <c r="AA100" s="77" t="n"/>
      <c r="AB100" s="77" t="n"/>
      <c r="AC100" s="78" t="n"/>
      <c r="AD100" s="78" t="n"/>
      <c r="AE100" s="78" t="n"/>
      <c r="AF100" s="78" t="n"/>
      <c r="AG100" s="78" t="n"/>
      <c r="AH100" s="78" t="n"/>
      <c r="AI100" s="77" t="n"/>
      <c r="AJ100" s="77" t="inlineStr">
        <is>
          <t>Claude + DeepSeek (see Extraction Log for per-cell decisions)</t>
        </is>
      </c>
      <c r="AK100" s="42" t="inlineStr">
        <is>
          <t>2018/2019/2024 no data - report window is 2020-2023. See Extraction Log Notes for Ind.4 restatements, Ind.21 proxy method, Ind.23/24 unit notes. | MANUAL FLAG cells use Claude value as placeholder pending manual review</t>
        </is>
      </c>
    </row>
    <row r="101" ht="15" customHeight="1" s="43">
      <c r="A101" s="75" t="inlineStr">
        <is>
          <t>HANWHA SYSTEMS</t>
        </is>
      </c>
      <c r="B101" s="75" t="inlineStr">
        <is>
          <t>272210</t>
        </is>
      </c>
      <c r="C101" s="76" t="inlineStr">
        <is>
          <t>Industrials</t>
        </is>
      </c>
      <c r="D101" s="76" t="inlineStr">
        <is>
          <t>2018</t>
        </is>
      </c>
      <c r="E101" s="77" t="n">
        <v>1.98</v>
      </c>
      <c r="F101" s="77" t="n"/>
      <c r="G101" s="77" t="n"/>
      <c r="H101" s="77" t="n">
        <v>11.81</v>
      </c>
      <c r="I101" s="77" t="n">
        <v>12.25</v>
      </c>
      <c r="J101" s="77" t="n">
        <v>26.5</v>
      </c>
      <c r="K101" s="77" t="n"/>
      <c r="L101" s="77" t="n"/>
      <c r="M101" s="77" t="n">
        <v>29</v>
      </c>
      <c r="N101" s="77" t="n"/>
      <c r="O101" s="77" t="n"/>
      <c r="P101" s="77" t="n">
        <v>63574400</v>
      </c>
      <c r="Q101" s="77" t="n">
        <v>21</v>
      </c>
      <c r="R101" s="77" t="n">
        <v>1180637</v>
      </c>
      <c r="S101" s="77" t="n">
        <v>54</v>
      </c>
      <c r="T101" s="77" t="n">
        <v>20</v>
      </c>
      <c r="U101" s="77" t="n">
        <v>4</v>
      </c>
      <c r="V101" s="77" t="n">
        <v>92</v>
      </c>
      <c r="W101" s="77" t="n">
        <v>10.5</v>
      </c>
      <c r="X101" s="77" t="n">
        <v>5.6</v>
      </c>
      <c r="Y101" s="77" t="n">
        <v>0.3</v>
      </c>
      <c r="Z101" s="77" t="n">
        <v>79.90000000000001</v>
      </c>
      <c r="AA101" s="77" t="n"/>
      <c r="AB101" s="77" t="n"/>
      <c r="AC101" s="78" t="n"/>
      <c r="AD101" s="78" t="n">
        <v>5</v>
      </c>
      <c r="AE101" s="78" t="n">
        <v>44.7</v>
      </c>
      <c r="AF101" s="78" t="n"/>
      <c r="AG101" s="78" t="n"/>
      <c r="AH101" s="78" t="n"/>
      <c r="AI101" s="77" t="n"/>
      <c r="AJ101" s="77" t="inlineStr">
        <is>
          <t>Claude + DeepSeek (see Extraction Log for per-cell decisions)</t>
        </is>
      </c>
      <c r="AK101" s="42" t="inlineStr">
        <is>
          <t>See Extraction Log Notes - Ind.9 has 3 incompatible definitions across editions; Ind.12 unusable throughout (no ungendered figure ever confirmed); Ind.25 COVID count conflicts (14 vs 2); Ind.30 KCGS confidence downgraded for 2021 | MANUAL FLAG cells use Claude value as placeholder pending manual review</t>
        </is>
      </c>
    </row>
    <row r="102" ht="15" customHeight="1" s="43">
      <c r="A102" s="79" t="n"/>
      <c r="B102" s="79" t="n"/>
      <c r="C102" s="79" t="inlineStr">
        <is>
          <t>Industrials</t>
        </is>
      </c>
      <c r="D102" s="79" t="inlineStr">
        <is>
          <t>2019</t>
        </is>
      </c>
      <c r="E102" s="77" t="n">
        <v>2.7</v>
      </c>
      <c r="F102" s="77" t="n"/>
      <c r="G102" s="77" t="n"/>
      <c r="H102" s="77" t="n">
        <v>11.4</v>
      </c>
      <c r="I102" s="77" t="n">
        <v>13.1</v>
      </c>
      <c r="J102" s="77" t="n"/>
      <c r="K102" s="77" t="n">
        <v>1.302</v>
      </c>
      <c r="L102" s="77" t="n">
        <v>0.055</v>
      </c>
      <c r="M102" s="77" t="n">
        <v>5.6</v>
      </c>
      <c r="N102" s="77" t="n"/>
      <c r="O102" s="77" t="n">
        <v>0</v>
      </c>
      <c r="P102" s="77" t="n">
        <v>80011631</v>
      </c>
      <c r="Q102" s="77" t="n">
        <v>22</v>
      </c>
      <c r="R102" s="77" t="n">
        <v>1318082</v>
      </c>
      <c r="S102" s="77" t="n">
        <v>46.49</v>
      </c>
      <c r="T102" s="77" t="n">
        <v>30</v>
      </c>
      <c r="U102" s="77" t="n">
        <v>11</v>
      </c>
      <c r="V102" s="77" t="n">
        <v>100</v>
      </c>
      <c r="W102" s="77" t="n">
        <v>10.6</v>
      </c>
      <c r="X102" s="77" t="n">
        <v>5.3</v>
      </c>
      <c r="Y102" s="77" t="n">
        <v>0</v>
      </c>
      <c r="Z102" s="77" t="n"/>
      <c r="AA102" s="77" t="n">
        <v>0.15</v>
      </c>
      <c r="AB102" s="77" t="n">
        <v>0</v>
      </c>
      <c r="AC102" s="78" t="n">
        <v>0</v>
      </c>
      <c r="AD102" s="78" t="n"/>
      <c r="AE102" s="78" t="n">
        <v>59.1</v>
      </c>
      <c r="AF102" s="78" t="n"/>
      <c r="AG102" s="78" t="n"/>
      <c r="AH102" s="78" t="n"/>
      <c r="AI102" s="77" t="n"/>
      <c r="AJ102" s="77" t="inlineStr">
        <is>
          <t>Claude + DeepSeek (see Extraction Log for per-cell decisions)</t>
        </is>
      </c>
      <c r="AK102" s="42" t="inlineStr">
        <is>
          <t>See Extraction Log Notes - Ind.9 has 3 incompatible definitions across editions; Ind.12 unusable throughout (no ungendered figure ever confirmed); Ind.25 COVID count conflicts (14 vs 2); Ind.30 KCGS confidence downgraded for 2021 | MANUAL FLAG cells use Claude value as placeholder pending manual review</t>
        </is>
      </c>
    </row>
    <row r="103" ht="15" customHeight="1" s="43">
      <c r="A103" s="76" t="n"/>
      <c r="B103" s="76" t="n"/>
      <c r="C103" s="76" t="inlineStr">
        <is>
          <t>Industrials</t>
        </is>
      </c>
      <c r="D103" s="76" t="inlineStr">
        <is>
          <t>2020</t>
        </is>
      </c>
      <c r="E103" s="77" t="n">
        <v>2.9</v>
      </c>
      <c r="F103" s="77" t="n"/>
      <c r="G103" s="77" t="n"/>
      <c r="H103" s="77" t="n">
        <v>6.7</v>
      </c>
      <c r="I103" s="77" t="n">
        <v>19.4</v>
      </c>
      <c r="J103" s="77" t="n"/>
      <c r="K103" s="77" t="n">
        <v>1.327</v>
      </c>
      <c r="L103" s="77" t="n">
        <v>0.054</v>
      </c>
      <c r="M103" s="77" t="n">
        <v>6.2</v>
      </c>
      <c r="N103" s="77" t="n"/>
      <c r="O103" s="77" t="n">
        <v>0</v>
      </c>
      <c r="P103" s="77" t="n">
        <v>84991333</v>
      </c>
      <c r="Q103" s="77" t="n">
        <v>21</v>
      </c>
      <c r="R103" s="77" t="n">
        <v>156555</v>
      </c>
      <c r="S103" s="77" t="n">
        <v>18.28</v>
      </c>
      <c r="T103" s="77" t="n">
        <v>26</v>
      </c>
      <c r="U103" s="77" t="n">
        <v>16</v>
      </c>
      <c r="V103" s="77" t="n">
        <v>100</v>
      </c>
      <c r="W103" s="77" t="n">
        <v>11.1</v>
      </c>
      <c r="X103" s="77" t="n">
        <v>5</v>
      </c>
      <c r="Y103" s="77" t="n">
        <v>0</v>
      </c>
      <c r="Z103" s="77" t="n"/>
      <c r="AA103" s="77" t="n">
        <v>0</v>
      </c>
      <c r="AB103" s="77" t="n">
        <v>0</v>
      </c>
      <c r="AC103" s="78" t="n">
        <v>2</v>
      </c>
      <c r="AD103" s="78" t="n"/>
      <c r="AE103" s="78" t="n"/>
      <c r="AF103" s="78" t="n"/>
      <c r="AG103" s="78" t="n"/>
      <c r="AH103" s="78" t="n"/>
      <c r="AI103" s="77" t="n"/>
      <c r="AJ103" s="77" t="inlineStr">
        <is>
          <t>Claude + DeepSeek (see Extraction Log for per-cell decisions)</t>
        </is>
      </c>
      <c r="AK103" s="42" t="inlineStr">
        <is>
          <t>See Extraction Log Notes - Ind.9 has 3 incompatible definitions across editions; Ind.12 unusable throughout (no ungendered figure ever confirmed); Ind.25 COVID count conflicts (14 vs 2); Ind.30 KCGS confidence downgraded for 2021 | MANUAL FLAG cells use Claude value as placeholder pending manual review | Ind.'COVID-19 Response': manual verification inconclusive/unavailable in source per Notes - Claude value (2) retained as final per user decision.</t>
        </is>
      </c>
    </row>
    <row r="104" ht="15" customHeight="1" s="43">
      <c r="A104" s="79" t="n"/>
      <c r="B104" s="79" t="n"/>
      <c r="C104" s="79" t="inlineStr">
        <is>
          <t>Industrials</t>
        </is>
      </c>
      <c r="D104" s="79" t="inlineStr">
        <is>
          <t>2021</t>
        </is>
      </c>
      <c r="E104" s="77" t="n">
        <v>4.8</v>
      </c>
      <c r="F104" s="77" t="n"/>
      <c r="G104" s="77" t="n"/>
      <c r="H104" s="77" t="n">
        <v>12.5</v>
      </c>
      <c r="I104" s="77" t="n">
        <v>19.2</v>
      </c>
      <c r="J104" s="77" t="n"/>
      <c r="K104" s="77" t="n">
        <v>1.297</v>
      </c>
      <c r="L104" s="77" t="n">
        <v>0.076</v>
      </c>
      <c r="M104" s="77" t="n">
        <v>6.7</v>
      </c>
      <c r="N104" s="77" t="n"/>
      <c r="O104" s="77" t="n">
        <v>0</v>
      </c>
      <c r="P104" s="77" t="n">
        <v>88840499</v>
      </c>
      <c r="Q104" s="77" t="n">
        <v>19</v>
      </c>
      <c r="R104" s="77" t="n">
        <v>299669</v>
      </c>
      <c r="S104" s="77" t="n">
        <v>36.8</v>
      </c>
      <c r="T104" s="77" t="n">
        <v>31</v>
      </c>
      <c r="U104" s="77" t="n">
        <v>16</v>
      </c>
      <c r="V104" s="77" t="n">
        <v>91</v>
      </c>
      <c r="W104" s="77" t="n">
        <v>10.9</v>
      </c>
      <c r="X104" s="77" t="n">
        <v>6.1</v>
      </c>
      <c r="Y104" s="77" t="n">
        <v>0.2</v>
      </c>
      <c r="Z104" s="77" t="n"/>
      <c r="AA104" s="77" t="n">
        <v>0</v>
      </c>
      <c r="AB104" s="77" t="n">
        <v>0</v>
      </c>
      <c r="AC104" s="78" t="n">
        <v>3</v>
      </c>
      <c r="AD104" s="78" t="n"/>
      <c r="AE104" s="78" t="n">
        <v>59.8</v>
      </c>
      <c r="AF104" s="78" t="n"/>
      <c r="AG104" s="78" t="n"/>
      <c r="AH104" s="78" t="inlineStr">
        <is>
          <t>A</t>
        </is>
      </c>
      <c r="AI104" s="77" t="n"/>
      <c r="AJ104" s="77" t="inlineStr">
        <is>
          <t>Claude + DeepSeek (see Extraction Log for per-cell decisions)</t>
        </is>
      </c>
      <c r="AK104" s="42" t="inlineStr">
        <is>
          <t>See Extraction Log Notes - Ind.9 has 3 incompatible definitions across editions; Ind.12 unusable throughout (no ungendered figure ever confirmed); Ind.25 COVID count conflicts (14 vs 2); Ind.30 KCGS confidence downgraded for 2021 | MANUAL FLAG cells use Claude value as placeholder pending manual review | Ind.'COVID-19 Response': manual verification inconclusive/unavailable in source per Notes - Claude value (3) retained as final per user decision.</t>
        </is>
      </c>
    </row>
    <row r="105" ht="15" customHeight="1" s="43">
      <c r="A105" s="76" t="n"/>
      <c r="B105" s="76" t="n"/>
      <c r="C105" s="76" t="inlineStr">
        <is>
          <t>Industrials</t>
        </is>
      </c>
      <c r="D105" s="76" t="inlineStr">
        <is>
          <t>2022</t>
        </is>
      </c>
      <c r="E105" s="77" t="n">
        <v>5.6</v>
      </c>
      <c r="F105" s="77" t="n">
        <v>14.34</v>
      </c>
      <c r="G105" s="77" t="n">
        <v>18.26</v>
      </c>
      <c r="H105" s="77" t="n">
        <v>15.54</v>
      </c>
      <c r="I105" s="77" t="n">
        <v>21.59</v>
      </c>
      <c r="J105" s="77" t="n">
        <v>19.94</v>
      </c>
      <c r="K105" s="77" t="n"/>
      <c r="L105" s="77" t="n"/>
      <c r="M105" s="77" t="n">
        <v>17.45</v>
      </c>
      <c r="N105" s="77" t="n">
        <v>0</v>
      </c>
      <c r="O105" s="77" t="n">
        <v>11.1</v>
      </c>
      <c r="P105" s="77" t="n">
        <v>73973000</v>
      </c>
      <c r="Q105" s="77" t="n">
        <v>16.75</v>
      </c>
      <c r="R105" s="77" t="n">
        <v>668220</v>
      </c>
      <c r="S105" s="77" t="n">
        <v>31.8</v>
      </c>
      <c r="T105" s="77" t="n">
        <v>39</v>
      </c>
      <c r="U105" s="77" t="n">
        <v>40</v>
      </c>
      <c r="V105" s="77" t="n"/>
      <c r="W105" s="77" t="n">
        <v>9.800000000000001</v>
      </c>
      <c r="X105" s="77" t="n">
        <v>5.8</v>
      </c>
      <c r="Y105" s="77" t="n">
        <v>1.9</v>
      </c>
      <c r="Z105" s="77" t="n"/>
      <c r="AA105" s="77" t="n">
        <v>0</v>
      </c>
      <c r="AB105" s="77" t="n">
        <v>0</v>
      </c>
      <c r="AC105" s="78" t="n"/>
      <c r="AD105" s="78" t="n"/>
      <c r="AE105" s="78" t="n">
        <v>52.6</v>
      </c>
      <c r="AF105" s="78" t="n"/>
      <c r="AG105" s="78" t="n"/>
      <c r="AH105" s="78" t="inlineStr">
        <is>
          <t>A</t>
        </is>
      </c>
      <c r="AI105" s="77" t="n"/>
      <c r="AJ105" s="77" t="inlineStr">
        <is>
          <t>Claude + DeepSeek (see Extraction Log for per-cell decisions)</t>
        </is>
      </c>
      <c r="AK105" s="42" t="inlineStr">
        <is>
          <t>See Extraction Log Notes - Ind.9 has 3 incompatible definitions across editions; Ind.12 unusable throughout (no ungendered figure ever confirmed); Ind.25 COVID count conflicts (14 vs 2); Ind.30 KCGS confidence downgraded for 2021 | MANUAL FLAG cells use Claude value as placeholder pending manual review</t>
        </is>
      </c>
    </row>
    <row r="106" ht="15" customHeight="1" s="43">
      <c r="A106" s="79" t="n"/>
      <c r="B106" s="79" t="n"/>
      <c r="C106" s="79" t="inlineStr">
        <is>
          <t>Industrials</t>
        </is>
      </c>
      <c r="D106" s="79" t="inlineStr">
        <is>
          <t>2023</t>
        </is>
      </c>
      <c r="E106" s="77" t="n">
        <v>5.8</v>
      </c>
      <c r="F106" s="77" t="n">
        <v>14.97</v>
      </c>
      <c r="G106" s="77" t="n">
        <v>20.96</v>
      </c>
      <c r="H106" s="77" t="n">
        <v>16.79</v>
      </c>
      <c r="I106" s="77" t="n">
        <v>19.4</v>
      </c>
      <c r="J106" s="77" t="n">
        <v>21.41</v>
      </c>
      <c r="K106" s="77" t="n"/>
      <c r="L106" s="77" t="n"/>
      <c r="M106" s="77" t="n">
        <v>18.62</v>
      </c>
      <c r="N106" s="77" t="n">
        <v>0</v>
      </c>
      <c r="O106" s="77" t="n">
        <v>20</v>
      </c>
      <c r="P106" s="77" t="n">
        <v>76316000</v>
      </c>
      <c r="Q106" s="77" t="n">
        <v>15.92</v>
      </c>
      <c r="R106" s="77" t="n">
        <v>491647</v>
      </c>
      <c r="S106" s="77" t="n">
        <v>28.44</v>
      </c>
      <c r="T106" s="77" t="n">
        <v>39</v>
      </c>
      <c r="U106" s="77" t="n">
        <v>49</v>
      </c>
      <c r="V106" s="77" t="n"/>
      <c r="W106" s="77" t="n">
        <v>10.3</v>
      </c>
      <c r="X106" s="77" t="n">
        <v>4.7</v>
      </c>
      <c r="Y106" s="77" t="n">
        <v>4.1</v>
      </c>
      <c r="Z106" s="77" t="n"/>
      <c r="AA106" s="77" t="n">
        <v>0</v>
      </c>
      <c r="AB106" s="77" t="n">
        <v>0</v>
      </c>
      <c r="AC106" s="78" t="n"/>
      <c r="AD106" s="78" t="n"/>
      <c r="AE106" s="78" t="n">
        <v>58.7</v>
      </c>
      <c r="AF106" s="78" t="n"/>
      <c r="AG106" s="78" t="n"/>
      <c r="AH106" s="78" t="inlineStr">
        <is>
          <t>A</t>
        </is>
      </c>
      <c r="AI106" s="77" t="n"/>
      <c r="AJ106" s="77" t="inlineStr">
        <is>
          <t>Claude + DeepSeek (see Extraction Log for per-cell decisions)</t>
        </is>
      </c>
      <c r="AK106" s="42" t="inlineStr">
        <is>
          <t>See Extraction Log Notes - Ind.9 has 3 incompatible definitions across editions; Ind.12 unusable throughout (no ungendered figure ever confirmed); Ind.25 COVID count conflicts (14 vs 2); Ind.30 KCGS confidence downgraded for 2021 | MANUAL FLAG cells use Claude value as placeholder pending manual review</t>
        </is>
      </c>
    </row>
    <row r="107" ht="15" customHeight="1" s="43">
      <c r="A107" s="76" t="n"/>
      <c r="B107" s="76" t="n"/>
      <c r="C107" s="76" t="inlineStr">
        <is>
          <t>Industrials</t>
        </is>
      </c>
      <c r="D107" s="76" t="inlineStr">
        <is>
          <t>2024</t>
        </is>
      </c>
      <c r="E107" s="77" t="n">
        <v>4.3</v>
      </c>
      <c r="F107" s="77" t="n">
        <v>15.29</v>
      </c>
      <c r="G107" s="77" t="n">
        <v>19.9</v>
      </c>
      <c r="H107" s="77" t="n">
        <v>7.6</v>
      </c>
      <c r="I107" s="77" t="n">
        <v>33.24</v>
      </c>
      <c r="J107" s="77" t="n">
        <v>22.71</v>
      </c>
      <c r="K107" s="77" t="n"/>
      <c r="L107" s="77" t="n"/>
      <c r="M107" s="77" t="n">
        <v>18.97</v>
      </c>
      <c r="N107" s="77" t="n">
        <v>1.89</v>
      </c>
      <c r="O107" s="77" t="n">
        <v>20</v>
      </c>
      <c r="P107" s="77" t="n">
        <v>79296000</v>
      </c>
      <c r="Q107" s="77" t="n">
        <v>16.53</v>
      </c>
      <c r="R107" s="77" t="n">
        <v>503473</v>
      </c>
      <c r="S107" s="77" t="n">
        <v>29.23</v>
      </c>
      <c r="T107" s="77" t="n">
        <v>48</v>
      </c>
      <c r="U107" s="77" t="n">
        <v>47</v>
      </c>
      <c r="V107" s="77" t="n"/>
      <c r="W107" s="77" t="n">
        <v>10.2</v>
      </c>
      <c r="X107" s="77" t="n">
        <v>2.6</v>
      </c>
      <c r="Y107" s="77" t="n">
        <v>6.2</v>
      </c>
      <c r="Z107" s="77" t="n"/>
      <c r="AA107" s="77" t="n">
        <v>0.11</v>
      </c>
      <c r="AB107" s="77" t="n">
        <v>0</v>
      </c>
      <c r="AC107" s="78" t="n"/>
      <c r="AD107" s="78" t="n"/>
      <c r="AE107" s="78" t="n">
        <v>62.21</v>
      </c>
      <c r="AF107" s="78" t="n"/>
      <c r="AG107" s="78" t="n"/>
      <c r="AH107" s="78" t="inlineStr">
        <is>
          <t>A</t>
        </is>
      </c>
      <c r="AI107" s="77" t="n"/>
      <c r="AJ107" s="77" t="inlineStr">
        <is>
          <t>Claude + DeepSeek (see Extraction Log for per-cell decisions)</t>
        </is>
      </c>
      <c r="AK107" s="42" t="inlineStr">
        <is>
          <t>See Extraction Log Notes - Ind.9 has 3 incompatible definitions across editions; Ind.12 unusable throughout (no ungendered figure ever confirmed); Ind.25 COVID count conflicts (14 vs 2); Ind.30 KCGS confidence downgraded for 2021 | MANUAL FLAG cells use Claude value as placeholder pending manual review</t>
        </is>
      </c>
    </row>
    <row r="108" ht="15" customHeight="1" s="43">
      <c r="A108" s="80" t="inlineStr">
        <is>
          <t>HD HYUNDAI ELECTRIC</t>
        </is>
      </c>
      <c r="B108" s="80" t="inlineStr">
        <is>
          <t>267260</t>
        </is>
      </c>
      <c r="C108" s="79" t="inlineStr">
        <is>
          <t>Industrials</t>
        </is>
      </c>
      <c r="D108" s="79" t="inlineStr">
        <is>
          <t>2018</t>
        </is>
      </c>
      <c r="E108" s="77" t="n"/>
      <c r="F108" s="77" t="n"/>
      <c r="G108" s="77" t="n"/>
      <c r="H108" s="77" t="n"/>
      <c r="I108" s="77" t="n"/>
      <c r="J108" s="77" t="n"/>
      <c r="K108" s="77" t="n"/>
      <c r="L108" s="77" t="n"/>
      <c r="M108" s="77" t="n"/>
      <c r="N108" s="77" t="n"/>
      <c r="O108" s="77" t="n"/>
      <c r="P108" s="77" t="n"/>
      <c r="Q108" s="77" t="n"/>
      <c r="R108" s="77" t="n"/>
      <c r="S108" s="77" t="n">
        <v>10</v>
      </c>
      <c r="T108" s="77" t="n">
        <v>3</v>
      </c>
      <c r="U108" s="77" t="n">
        <v>16</v>
      </c>
      <c r="V108" s="77" t="n"/>
      <c r="W108" s="77" t="n">
        <v>1</v>
      </c>
      <c r="X108" s="77" t="n"/>
      <c r="Y108" s="77" t="n"/>
      <c r="Z108" s="77" t="n">
        <v>94.8</v>
      </c>
      <c r="AA108" s="77" t="n">
        <v>2.06</v>
      </c>
      <c r="AB108" s="77" t="n">
        <v>0</v>
      </c>
      <c r="AC108" s="78" t="n"/>
      <c r="AD108" s="78" t="n">
        <v>5</v>
      </c>
      <c r="AE108" s="78" t="n"/>
      <c r="AF108" s="78" t="n"/>
      <c r="AG108" s="78" t="n"/>
      <c r="AH108" s="78" t="n"/>
      <c r="AI108" s="77" t="n"/>
      <c r="AJ108" s="77" t="inlineStr">
        <is>
          <t>Claude + DeepSeek (see Extraction Log for per-cell decisions) | Manual flag review (2020 &amp; 2023 report PDFs): Parental Leave F/M (2018,2019), Annual Pay (2019), New Hire Rate (2021), Gender Pay Gap (2023), Contract Workers% (2023) confirmed Claude correct — no value change needed. LTIFR 2022/2023 corrected to DeepSeek's values (0.66 / 0.41) per 2023 report p.66 산업재해 지표 table. 2024 LTIFR/Gender Pay Gap/Female Permanent%/Contract% and 2023 Female Permanent% remain unresolved (need HD_HYUNDAI_ELECTRIC_2025.pdf or gender x employment-type breakdown not published). | CORRECTION (after reviewing HD_HYUNDAI_ELECTRIC_2025.pdf): LTIFR 2022/2023 reverted from 0.66/0.41 back to 1.977/1.433 (Claude's original values) — the 2025 report's own '산업재해 지표' table explicitly labels these as 근로손실재해율(LTIFR) for 임직원, exact match to Claude. The 2023 report's LTIFR/도수율 figures (0.66/0.41) reflect a different, superseded calculation basis. 2024 Gender Pay Gap, Female Permanent%, Contract Workers%, and LTIFR (previously placeholder values matching Claude) are now formally confirmed against the 2025 report.</t>
        </is>
      </c>
      <c r="AK108" s="42" t="inlineStr">
        <is>
          <t>See Extraction Log Notes - multiple major cross-edition conflicts (Ind.15/17/20/23) for 2022/2023 between 2023 and 2025 reports; recommend manual PDF verification | MANUAL FLAG cells use Claude value as placeholder pending manual review</t>
        </is>
      </c>
    </row>
    <row r="109" ht="15" customHeight="1" s="43">
      <c r="A109" s="76" t="n"/>
      <c r="B109" s="76" t="n"/>
      <c r="C109" s="76" t="inlineStr">
        <is>
          <t>Industrials</t>
        </is>
      </c>
      <c r="D109" s="76" t="inlineStr">
        <is>
          <t>2019</t>
        </is>
      </c>
      <c r="E109" s="77" t="n"/>
      <c r="F109" s="77" t="n">
        <v>21.1</v>
      </c>
      <c r="G109" s="77" t="n"/>
      <c r="H109" s="77" t="n"/>
      <c r="I109" s="77" t="n"/>
      <c r="J109" s="77" t="n"/>
      <c r="K109" s="77" t="n"/>
      <c r="L109" s="77" t="n"/>
      <c r="M109" s="77" t="n"/>
      <c r="N109" s="77" t="n"/>
      <c r="O109" s="77" t="n"/>
      <c r="P109" s="77" t="n">
        <v>73472042</v>
      </c>
      <c r="Q109" s="77" t="n"/>
      <c r="R109" s="77" t="n">
        <v>48413</v>
      </c>
      <c r="S109" s="77" t="n">
        <v>16</v>
      </c>
      <c r="T109" s="77" t="n">
        <v>1</v>
      </c>
      <c r="U109" s="77" t="n">
        <v>6</v>
      </c>
      <c r="V109" s="77" t="n"/>
      <c r="W109" s="77" t="n">
        <v>1.9</v>
      </c>
      <c r="X109" s="77" t="n"/>
      <c r="Y109" s="77" t="n"/>
      <c r="Z109" s="77" t="n">
        <v>92.90000000000001</v>
      </c>
      <c r="AA109" s="77" t="n">
        <v>1.13</v>
      </c>
      <c r="AB109" s="77" t="n">
        <v>0</v>
      </c>
      <c r="AC109" s="78" t="n"/>
      <c r="AD109" s="78" t="n">
        <v>5</v>
      </c>
      <c r="AE109" s="78" t="n"/>
      <c r="AF109" s="78" t="n"/>
      <c r="AG109" s="78" t="n"/>
      <c r="AH109" s="78" t="n"/>
      <c r="AI109" s="77" t="n"/>
      <c r="AJ109" s="77" t="inlineStr">
        <is>
          <t>Claude + DeepSeek (see Extraction Log for per-cell decisions) | Manual flag review (2020 &amp; 2023 report PDFs): Parental Leave F/M (2018,2019), Annual Pay (2019), New Hire Rate (2021), Gender Pay Gap (2023), Contract Workers% (2023) confirmed Claude correct — no value change needed. LTIFR 2022/2023 corrected to DeepSeek's values (0.66 / 0.41) per 2023 report p.66 산업재해 지표 table. 2024 LTIFR/Gender Pay Gap/Female Permanent%/Contract% and 2023 Female Permanent% remain unresolved (need HD_HYUNDAI_ELECTRIC_2025.pdf or gender x employment-type breakdown not published). | CORRECTION (after reviewing HD_HYUNDAI_ELECTRIC_2025.pdf): LTIFR 2022/2023 reverted from 0.66/0.41 back to 1.977/1.433 (Claude's original values) — the 2025 report's own '산업재해 지표' table explicitly labels these as 근로손실재해율(LTIFR) for 임직원, exact match to Claude. The 2023 report's LTIFR/도수율 figures (0.66/0.41) reflect a different, superseded calculation basis. 2024 Gender Pay Gap, Female Permanent%, Contract Workers%, and LTIFR (previously placeholder values matching Claude) are now formally confirmed against the 2025 report.</t>
        </is>
      </c>
      <c r="AK109" s="42" t="inlineStr">
        <is>
          <t>See Extraction Log Notes - multiple major cross-edition conflicts (Ind.15/17/20/23) for 2022/2023 between 2023 and 2025 reports; recommend manual PDF verification | MANUAL FLAG cells use Claude value as placeholder pending manual review</t>
        </is>
      </c>
    </row>
    <row r="110" ht="15" customHeight="1" s="43">
      <c r="A110" s="79" t="n"/>
      <c r="B110" s="79" t="n"/>
      <c r="C110" s="79" t="inlineStr">
        <is>
          <t>Industrials</t>
        </is>
      </c>
      <c r="D110" s="79" t="inlineStr">
        <is>
          <t>2020</t>
        </is>
      </c>
      <c r="E110" s="77" t="n"/>
      <c r="F110" s="77" t="n"/>
      <c r="G110" s="77" t="n"/>
      <c r="H110" s="77" t="n"/>
      <c r="I110" s="77" t="n"/>
      <c r="J110" s="77" t="n"/>
      <c r="K110" s="77" t="n"/>
      <c r="L110" s="77" t="n"/>
      <c r="M110" s="77" t="n"/>
      <c r="N110" s="77" t="n"/>
      <c r="O110" s="77" t="n">
        <v>0</v>
      </c>
      <c r="P110" s="77" t="n"/>
      <c r="Q110" s="77" t="n"/>
      <c r="R110" s="77" t="n"/>
      <c r="S110" s="77" t="n"/>
      <c r="T110" s="77" t="n"/>
      <c r="U110" s="77" t="n"/>
      <c r="V110" s="77" t="n"/>
      <c r="W110" s="77" t="n">
        <v>2.8</v>
      </c>
      <c r="X110" s="77" t="n">
        <v>8.4</v>
      </c>
      <c r="Y110" s="77" t="n">
        <v>2.6</v>
      </c>
      <c r="Z110" s="77" t="n"/>
      <c r="AA110" s="77" t="n">
        <v>0.74</v>
      </c>
      <c r="AB110" s="77" t="n">
        <v>0</v>
      </c>
      <c r="AC110" s="78" t="n"/>
      <c r="AD110" s="78" t="n">
        <v>5</v>
      </c>
      <c r="AE110" s="78" t="n"/>
      <c r="AF110" s="78" t="n"/>
      <c r="AG110" s="78" t="n"/>
      <c r="AH110" s="78" t="n"/>
      <c r="AI110" s="77" t="n"/>
      <c r="AJ110" s="77" t="inlineStr">
        <is>
          <t>Claude + DeepSeek (see Extraction Log for per-cell decisions) | Manual flag review (2020 &amp; 2023 report PDFs): Parental Leave F/M (2018,2019), Annual Pay (2019), New Hire Rate (2021), Gender Pay Gap (2023), Contract Workers% (2023) confirmed Claude correct — no value change needed. LTIFR 2022/2023 corrected to DeepSeek's values (0.66 / 0.41) per 2023 report p.66 산업재해 지표 table. 2024 LTIFR/Gender Pay Gap/Female Permanent%/Contract% and 2023 Female Permanent% remain unresolved (need HD_HYUNDAI_ELECTRIC_2025.pdf or gender x employment-type breakdown not published). | CORRECTION (after reviewing HD_HYUNDAI_ELECTRIC_2025.pdf): LTIFR 2022/2023 reverted from 0.66/0.41 back to 1.977/1.433 (Claude's original values) — the 2025 report's own '산업재해 지표' table explicitly labels these as 근로손실재해율(LTIFR) for 임직원, exact match to Claude. The 2023 report's LTIFR/도수율 figures (0.66/0.41) reflect a different, superseded calculation basis. 2024 Gender Pay Gap, Female Permanent%, Contract Workers%, and LTIFR (previously placeholder values matching Claude) are now formally confirmed against the 2025 report.</t>
        </is>
      </c>
      <c r="AK110" s="42" t="inlineStr">
        <is>
          <t>See Extraction Log Notes - multiple major cross-edition conflicts (Ind.15/17/20/23) for 2022/2023 between 2023 and 2025 reports; recommend manual PDF verification | MANUAL FLAG cells use Claude value as placeholder pending manual review</t>
        </is>
      </c>
    </row>
    <row r="111" ht="15" customHeight="1" s="43">
      <c r="A111" s="76" t="n"/>
      <c r="B111" s="76" t="n"/>
      <c r="C111" s="76" t="inlineStr">
        <is>
          <t>Industrials</t>
        </is>
      </c>
      <c r="D111" s="76" t="inlineStr">
        <is>
          <t>2021</t>
        </is>
      </c>
      <c r="E111" s="77" t="n">
        <v>2.7</v>
      </c>
      <c r="F111" s="77" t="n"/>
      <c r="G111" s="77" t="n"/>
      <c r="H111" s="77" t="n">
        <v>3</v>
      </c>
      <c r="I111" s="77" t="n"/>
      <c r="J111" s="77" t="n">
        <v>57.8</v>
      </c>
      <c r="K111" s="77" t="n"/>
      <c r="L111" s="77" t="n"/>
      <c r="M111" s="77" t="n"/>
      <c r="N111" s="77" t="n"/>
      <c r="O111" s="77" t="n"/>
      <c r="P111" s="77" t="n">
        <v>81000000</v>
      </c>
      <c r="Q111" s="77" t="n">
        <v>37.6</v>
      </c>
      <c r="R111" s="77" t="n">
        <v>366600</v>
      </c>
      <c r="S111" s="77" t="n">
        <v>6.09</v>
      </c>
      <c r="T111" s="77" t="n">
        <v>5</v>
      </c>
      <c r="U111" s="77" t="n">
        <v>20</v>
      </c>
      <c r="V111" s="77" t="n">
        <v>100</v>
      </c>
      <c r="W111" s="77" t="n">
        <v>3.7</v>
      </c>
      <c r="X111" s="77" t="n">
        <v>1</v>
      </c>
      <c r="Y111" s="77" t="n">
        <v>1.7</v>
      </c>
      <c r="Z111" s="77" t="n">
        <v>91.2</v>
      </c>
      <c r="AA111" s="77" t="n">
        <v>0.72</v>
      </c>
      <c r="AB111" s="77" t="n">
        <v>0</v>
      </c>
      <c r="AC111" s="78" t="n"/>
      <c r="AD111" s="78" t="n"/>
      <c r="AE111" s="78" t="n"/>
      <c r="AF111" s="78" t="n"/>
      <c r="AG111" s="78" t="n"/>
      <c r="AH111" s="78" t="n"/>
      <c r="AI111" s="77" t="n"/>
      <c r="AJ111" s="77" t="inlineStr">
        <is>
          <t>Claude + DeepSeek (see Extraction Log for per-cell decisions) | Manual flag review (2020 &amp; 2023 report PDFs): Parental Leave F/M (2018,2019), Annual Pay (2019), New Hire Rate (2021), Gender Pay Gap (2023), Contract Workers% (2023) confirmed Claude correct — no value change needed. LTIFR 2022/2023 corrected to DeepSeek's values (0.66 / 0.41) per 2023 report p.66 산업재해 지표 table. 2024 LTIFR/Gender Pay Gap/Female Permanent%/Contract% and 2023 Female Permanent% remain unresolved (need HD_HYUNDAI_ELECTRIC_2025.pdf or gender x employment-type breakdown not published). | CORRECTION (after reviewing HD_HYUNDAI_ELECTRIC_2025.pdf): LTIFR 2022/2023 reverted from 0.66/0.41 back to 1.977/1.433 (Claude's original values) — the 2025 report's own '산업재해 지표' table explicitly labels these as 근로손실재해율(LTIFR) for 임직원, exact match to Claude. The 2023 report's LTIFR/도수율 figures (0.66/0.41) reflect a different, superseded calculation basis. 2024 Gender Pay Gap, Female Permanent%, Contract Workers%, and LTIFR (previously placeholder values matching Claude) are now formally confirmed against the 2025 report.</t>
        </is>
      </c>
      <c r="AK111" s="42" t="inlineStr">
        <is>
          <t>See Extraction Log Notes - multiple major cross-edition conflicts (Ind.15/17/20/23) for 2022/2023 between 2023 and 2025 reports; recommend manual PDF verification | MANUAL FLAG cells use Claude value as placeholder pending manual review</t>
        </is>
      </c>
    </row>
    <row r="112" ht="15" customHeight="1" s="43">
      <c r="A112" s="79" t="n"/>
      <c r="B112" s="79" t="n"/>
      <c r="C112" s="79" t="inlineStr">
        <is>
          <t>Industrials</t>
        </is>
      </c>
      <c r="D112" s="79" t="inlineStr">
        <is>
          <t>2022</t>
        </is>
      </c>
      <c r="E112" s="77" t="n">
        <v>6</v>
      </c>
      <c r="F112" s="77" t="n"/>
      <c r="G112" s="77" t="n"/>
      <c r="H112" s="77" t="n">
        <v>1.01</v>
      </c>
      <c r="I112" s="77" t="n"/>
      <c r="J112" s="77" t="n"/>
      <c r="K112" s="77" t="n"/>
      <c r="L112" s="77" t="n"/>
      <c r="M112" s="77" t="n"/>
      <c r="N112" s="77" t="n"/>
      <c r="O112" s="77" t="n"/>
      <c r="P112" s="77" t="n"/>
      <c r="Q112" s="77" t="n"/>
      <c r="R112" s="77" t="n">
        <v>280600</v>
      </c>
      <c r="S112" s="77" t="n">
        <v>8.300000000000001</v>
      </c>
      <c r="T112" s="77" t="n">
        <v>2</v>
      </c>
      <c r="U112" s="77" t="n">
        <v>16</v>
      </c>
      <c r="V112" s="77" t="n">
        <v>100</v>
      </c>
      <c r="W112" s="77" t="n"/>
      <c r="X112" s="77" t="n">
        <v>1.07</v>
      </c>
      <c r="Y112" s="77" t="n">
        <v>4.26</v>
      </c>
      <c r="Z112" s="77" t="n">
        <v>83.59999999999999</v>
      </c>
      <c r="AA112" s="77" t="n">
        <v>1.977</v>
      </c>
      <c r="AB112" s="77" t="n">
        <v>0</v>
      </c>
      <c r="AC112" s="78" t="n"/>
      <c r="AD112" s="78" t="n"/>
      <c r="AE112" s="78" t="n"/>
      <c r="AF112" s="78" t="n"/>
      <c r="AG112" s="78" t="n"/>
      <c r="AH112" s="78" t="n"/>
      <c r="AI112" s="77" t="n"/>
      <c r="AJ112" s="77" t="inlineStr">
        <is>
          <t>Claude + DeepSeek (see Extraction Log for per-cell decisions) | Manual flag review (2020 &amp; 2023 report PDFs): Parental Leave F/M (2018,2019), Annual Pay (2019), New Hire Rate (2021), Gender Pay Gap (2023), Contract Workers% (2023) confirmed Claude correct — no value change needed. LTIFR 2022/2023 corrected to DeepSeek's values (0.66 / 0.41) per 2023 report p.66 산업재해 지표 table. 2024 LTIFR/Gender Pay Gap/Female Permanent%/Contract% and 2023 Female Permanent% remain unresolved (need HD_HYUNDAI_ELECTRIC_2025.pdf or gender x employment-type breakdown not published). | CORRECTION (after reviewing HD_HYUNDAI_ELECTRIC_2025.pdf): LTIFR 2022/2023 reverted from 0.66/0.41 back to 1.977/1.433 (Claude's original values) — the 2025 report's own '산업재해 지표' table explicitly labels these as 근로손실재해율(LTIFR) for 임직원, exact match to Claude. The 2023 report's LTIFR/도수율 figures (0.66/0.41) reflect a different, superseded calculation basis. 2024 Gender Pay Gap, Female Permanent%, Contract Workers%, and LTIFR (previously placeholder values matching Claude) are now formally confirmed against the 2025 report.</t>
        </is>
      </c>
      <c r="AK112" s="42" t="inlineStr">
        <is>
          <t>See Extraction Log Notes - multiple major cross-edition conflicts (Ind.15/17/20/23) for 2022/2023 between 2023 and 2025 reports; recommend manual PDF verification | MANUAL FLAG cells use Claude value as placeholder pending manual review</t>
        </is>
      </c>
    </row>
    <row r="113" ht="15" customHeight="1" s="43">
      <c r="A113" s="76" t="n"/>
      <c r="B113" s="76" t="n"/>
      <c r="C113" s="76" t="inlineStr">
        <is>
          <t>Industrials</t>
        </is>
      </c>
      <c r="D113" s="76" t="inlineStr">
        <is>
          <t>2023</t>
        </is>
      </c>
      <c r="E113" s="77" t="n">
        <v>5.41</v>
      </c>
      <c r="F113" s="77" t="n">
        <v>6.49</v>
      </c>
      <c r="G113" s="77" t="n">
        <v>32.17</v>
      </c>
      <c r="H113" s="77" t="n">
        <v>4.09</v>
      </c>
      <c r="I113" s="77" t="n"/>
      <c r="J113" s="77" t="n">
        <v>10.98</v>
      </c>
      <c r="K113" s="77" t="n"/>
      <c r="L113" s="77" t="n">
        <v>0</v>
      </c>
      <c r="M113" s="77" t="n">
        <v>1.22</v>
      </c>
      <c r="N113" s="77" t="n">
        <v>0</v>
      </c>
      <c r="O113" s="77" t="n">
        <v>20</v>
      </c>
      <c r="P113" s="77" t="n">
        <v>110000000</v>
      </c>
      <c r="Q113" s="77" t="n">
        <v>30.97</v>
      </c>
      <c r="R113" s="77" t="n">
        <v>232000</v>
      </c>
      <c r="S113" s="77" t="n">
        <v>11.35</v>
      </c>
      <c r="T113" s="77" t="n">
        <v>3</v>
      </c>
      <c r="U113" s="77" t="n">
        <v>4</v>
      </c>
      <c r="V113" s="77" t="n"/>
      <c r="W113" s="77" t="n">
        <v>4.7</v>
      </c>
      <c r="X113" s="77" t="n">
        <v>0.74</v>
      </c>
      <c r="Y113" s="77" t="n">
        <v>3.77</v>
      </c>
      <c r="Z113" s="77" t="n">
        <v>84.25</v>
      </c>
      <c r="AA113" s="77" t="n">
        <v>1.433</v>
      </c>
      <c r="AB113" s="77" t="n">
        <v>0</v>
      </c>
      <c r="AC113" s="78" t="n"/>
      <c r="AD113" s="78" t="n"/>
      <c r="AE113" s="78" t="n">
        <v>65.7</v>
      </c>
      <c r="AF113" s="78" t="n"/>
      <c r="AG113" s="78" t="n"/>
      <c r="AH113" s="78" t="n"/>
      <c r="AI113" s="77" t="n"/>
      <c r="AJ113" s="77" t="inlineStr">
        <is>
          <t>Claude + DeepSeek (see Extraction Log for per-cell decisions) | Manual flag review (2020 &amp; 2023 report PDFs): Parental Leave F/M (2018,2019), Annual Pay (2019), New Hire Rate (2021), Gender Pay Gap (2023), Contract Workers% (2023) confirmed Claude correct — no value change needed. LTIFR 2022/2023 corrected to DeepSeek's values (0.66 / 0.41) per 2023 report p.66 산업재해 지표 table. 2024 LTIFR/Gender Pay Gap/Female Permanent%/Contract% and 2023 Female Permanent% remain unresolved (need HD_HYUNDAI_ELECTRIC_2025.pdf or gender x employment-type breakdown not published). | CORRECTION (after reviewing HD_HYUNDAI_ELECTRIC_2025.pdf): LTIFR 2022/2023 reverted from 0.66/0.41 back to 1.977/1.433 (Claude's original values) — the 2025 report's own '산업재해 지표' table explicitly labels these as 근로손실재해율(LTIFR) for 임직원, exact match to Claude. The 2023 report's LTIFR/도수율 figures (0.66/0.41) reflect a different, superseded calculation basis. 2024 Gender Pay Gap, Female Permanent%, Contract Workers%, and LTIFR (previously placeholder values matching Claude) are now formally confirmed against the 2025 report.</t>
        </is>
      </c>
      <c r="AK113" s="42" t="inlineStr">
        <is>
          <t>See Extraction Log Notes - multiple major cross-edition conflicts (Ind.15/17/20/23) for 2022/2023 between 2023 and 2025 reports; recommend manual PDF verification | MANUAL FLAG cells use Claude value as placeholder pending manual review</t>
        </is>
      </c>
    </row>
    <row r="114" ht="15" customHeight="1" s="43">
      <c r="A114" s="79" t="n"/>
      <c r="B114" s="79" t="n"/>
      <c r="C114" s="79" t="inlineStr">
        <is>
          <t>Industrials</t>
        </is>
      </c>
      <c r="D114" s="79" t="inlineStr">
        <is>
          <t>2024</t>
        </is>
      </c>
      <c r="E114" s="77" t="n">
        <v>7.31</v>
      </c>
      <c r="F114" s="77" t="n">
        <v>6.82</v>
      </c>
      <c r="G114" s="77" t="n">
        <v>27.5</v>
      </c>
      <c r="H114" s="77" t="n">
        <v>4.45</v>
      </c>
      <c r="I114" s="77" t="n"/>
      <c r="J114" s="77" t="n">
        <v>12.22</v>
      </c>
      <c r="K114" s="77" t="n"/>
      <c r="L114" s="77" t="n">
        <v>0</v>
      </c>
      <c r="M114" s="77" t="n">
        <v>2.47</v>
      </c>
      <c r="N114" s="77" t="n">
        <v>0</v>
      </c>
      <c r="O114" s="77" t="n">
        <v>20</v>
      </c>
      <c r="P114" s="77" t="n">
        <v>127000000</v>
      </c>
      <c r="Q114" s="77" t="n">
        <v>29.23</v>
      </c>
      <c r="R114" s="77" t="n">
        <v>190000</v>
      </c>
      <c r="S114" s="77" t="n">
        <v>15.61</v>
      </c>
      <c r="T114" s="77" t="n">
        <v>2</v>
      </c>
      <c r="U114" s="77" t="n">
        <v>4</v>
      </c>
      <c r="V114" s="77" t="n"/>
      <c r="W114" s="77" t="n">
        <v>5.4</v>
      </c>
      <c r="X114" s="77" t="n">
        <v>0.85</v>
      </c>
      <c r="Y114" s="77" t="n">
        <v>3.39</v>
      </c>
      <c r="Z114" s="77" t="n">
        <v>78.26000000000001</v>
      </c>
      <c r="AA114" s="77" t="n">
        <v>1.552</v>
      </c>
      <c r="AB114" s="77" t="n">
        <v>0</v>
      </c>
      <c r="AC114" s="78" t="n"/>
      <c r="AD114" s="78" t="n"/>
      <c r="AE114" s="78" t="n">
        <v>72.3</v>
      </c>
      <c r="AF114" s="78" t="n"/>
      <c r="AG114" s="78" t="n"/>
      <c r="AH114" s="78" t="n"/>
      <c r="AI114" s="77" t="n"/>
      <c r="AJ114" s="77" t="inlineStr">
        <is>
          <t>Claude + DeepSeek (see Extraction Log for per-cell decisions) | Manual flag review (2020 &amp; 2023 report PDFs): Parental Leave F/M (2018,2019), Annual Pay (2019), New Hire Rate (2021), Gender Pay Gap (2023), Contract Workers% (2023) confirmed Claude correct — no value change needed. LTIFR 2022/2023 corrected to DeepSeek's values (0.66 / 0.41) per 2023 report p.66 산업재해 지표 table. 2024 LTIFR/Gender Pay Gap/Female Permanent%/Contract% and 2023 Female Permanent% remain unresolved (need HD_HYUNDAI_ELECTRIC_2025.pdf or gender x employment-type breakdown not published). | CORRECTION (after reviewing HD_HYUNDAI_ELECTRIC_2025.pdf): LTIFR 2022/2023 reverted from 0.66/0.41 back to 1.977/1.433 (Claude's original values) — the 2025 report's own '산업재해 지표' table explicitly labels these as 근로손실재해율(LTIFR) for 임직원, exact match to Claude. The 2023 report's LTIFR/도수율 figures (0.66/0.41) reflect a different, superseded calculation basis. 2024 Gender Pay Gap, Female Permanent%, Contract Workers%, and LTIFR (previously placeholder values matching Claude) are now formally confirmed against the 2025 report.</t>
        </is>
      </c>
      <c r="AK114" s="42" t="inlineStr">
        <is>
          <t>See Extraction Log Notes - multiple major cross-edition conflicts (Ind.15/17/20/23) for 2022/2023 between 2023 and 2025 reports; recommend manual PDF verification | MANUAL FLAG cells use Claude value as placeholder pending manual review</t>
        </is>
      </c>
    </row>
    <row r="115" ht="15" customHeight="1" s="43">
      <c r="A115" s="75" t="inlineStr">
        <is>
          <t>HDHMS</t>
        </is>
      </c>
      <c r="B115" s="75" t="inlineStr">
        <is>
          <t>443060</t>
        </is>
      </c>
      <c r="C115" s="76" t="inlineStr">
        <is>
          <t>Industrials</t>
        </is>
      </c>
      <c r="D115" s="76" t="inlineStr">
        <is>
          <t>2018</t>
        </is>
      </c>
      <c r="E115" s="77" t="n"/>
      <c r="F115" s="77" t="n"/>
      <c r="G115" s="77" t="n"/>
      <c r="H115" s="77" t="n"/>
      <c r="I115" s="77" t="n"/>
      <c r="J115" s="77" t="n"/>
      <c r="K115" s="77" t="n"/>
      <c r="L115" s="77" t="n"/>
      <c r="M115" s="77" t="n"/>
      <c r="N115" s="77" t="n"/>
      <c r="O115" s="77" t="n"/>
      <c r="P115" s="77" t="n"/>
      <c r="Q115" s="77" t="n"/>
      <c r="R115" s="77" t="n"/>
      <c r="S115" s="77" t="n"/>
      <c r="T115" s="77" t="n"/>
      <c r="U115" s="77" t="n"/>
      <c r="V115" s="77" t="n"/>
      <c r="W115" s="77" t="n"/>
      <c r="X115" s="77" t="n"/>
      <c r="Y115" s="77" t="n"/>
      <c r="Z115" s="77" t="n"/>
      <c r="AA115" s="77" t="n"/>
      <c r="AB115" s="77" t="n"/>
      <c r="AC115" s="78" t="n"/>
      <c r="AD115" s="78" t="n"/>
      <c r="AE115" s="78" t="n"/>
      <c r="AF115" s="78" t="n"/>
      <c r="AG115" s="78" t="n"/>
      <c r="AH115" s="78" t="n"/>
      <c r="AI115" s="77" t="n"/>
      <c r="AJ115" s="77" t="inlineStr">
        <is>
          <t>Claude + DeepSeek (see Extraction Log for per-cell decisions)</t>
        </is>
      </c>
      <c r="AK115" s="42" t="inlineStr">
        <is>
          <t>2018-2021 no data - first-ever report, window is 2022-2024. See Extraction Log Notes for scope caveats (HMS-domestic vs Global) and Ind.23 internal report inconsistency. | MANUAL FLAG cells use Claude value as placeholder pending manual review. DeepSeek Ind.1-5,9-11 year-shifted +1 due to detected column mislabeling.</t>
        </is>
      </c>
    </row>
    <row r="116" ht="15" customHeight="1" s="43">
      <c r="A116" s="79" t="n"/>
      <c r="B116" s="79" t="n"/>
      <c r="C116" s="79" t="inlineStr">
        <is>
          <t>Industrials</t>
        </is>
      </c>
      <c r="D116" s="79" t="inlineStr">
        <is>
          <t>2019</t>
        </is>
      </c>
      <c r="E116" s="77" t="n"/>
      <c r="F116" s="77" t="n"/>
      <c r="G116" s="77" t="n"/>
      <c r="H116" s="77" t="n"/>
      <c r="I116" s="77" t="n"/>
      <c r="J116" s="77" t="n"/>
      <c r="K116" s="77" t="n"/>
      <c r="L116" s="77" t="n"/>
      <c r="M116" s="77" t="n"/>
      <c r="N116" s="77" t="n"/>
      <c r="O116" s="77" t="n"/>
      <c r="P116" s="77" t="n"/>
      <c r="Q116" s="77" t="n"/>
      <c r="R116" s="77" t="n"/>
      <c r="S116" s="77" t="n"/>
      <c r="T116" s="77" t="n"/>
      <c r="U116" s="77" t="n"/>
      <c r="V116" s="77" t="n"/>
      <c r="W116" s="77" t="n"/>
      <c r="X116" s="77" t="n"/>
      <c r="Y116" s="77" t="n"/>
      <c r="Z116" s="77" t="n"/>
      <c r="AA116" s="77" t="n"/>
      <c r="AB116" s="77" t="n"/>
      <c r="AC116" s="78" t="n"/>
      <c r="AD116" s="78" t="n"/>
      <c r="AE116" s="78" t="n"/>
      <c r="AF116" s="78" t="n"/>
      <c r="AG116" s="78" t="n"/>
      <c r="AH116" s="78" t="n"/>
      <c r="AI116" s="77" t="n"/>
      <c r="AJ116" s="77" t="inlineStr">
        <is>
          <t>Claude + DeepSeek (see Extraction Log for per-cell decisions)</t>
        </is>
      </c>
      <c r="AK116" s="42" t="inlineStr">
        <is>
          <t>2018-2021 no data - first-ever report, window is 2022-2024. See Extraction Log Notes for scope caveats (HMS-domestic vs Global) and Ind.23 internal report inconsistency. | MANUAL FLAG cells use Claude value as placeholder pending manual review. DeepSeek Ind.1-5,9-11 year-shifted +1 due to detected column mislabeling.</t>
        </is>
      </c>
    </row>
    <row r="117" ht="15" customHeight="1" s="43">
      <c r="A117" s="76" t="n"/>
      <c r="B117" s="76" t="n"/>
      <c r="C117" s="76" t="inlineStr">
        <is>
          <t>Industrials</t>
        </is>
      </c>
      <c r="D117" s="76" t="inlineStr">
        <is>
          <t>2020</t>
        </is>
      </c>
      <c r="E117" s="77" t="n"/>
      <c r="F117" s="77" t="n"/>
      <c r="G117" s="77" t="n"/>
      <c r="H117" s="77" t="n"/>
      <c r="I117" s="77" t="n"/>
      <c r="J117" s="77" t="n"/>
      <c r="K117" s="77" t="n"/>
      <c r="L117" s="77" t="n"/>
      <c r="M117" s="77" t="n"/>
      <c r="N117" s="77" t="n"/>
      <c r="O117" s="77" t="n"/>
      <c r="P117" s="77" t="n"/>
      <c r="Q117" s="77" t="n"/>
      <c r="R117" s="77" t="n"/>
      <c r="S117" s="77" t="n"/>
      <c r="T117" s="77" t="n"/>
      <c r="U117" s="77" t="n"/>
      <c r="V117" s="77" t="n"/>
      <c r="W117" s="77" t="n"/>
      <c r="X117" s="77" t="n"/>
      <c r="Y117" s="77" t="n"/>
      <c r="Z117" s="77" t="n"/>
      <c r="AA117" s="77" t="n"/>
      <c r="AB117" s="77" t="n"/>
      <c r="AC117" s="78" t="n"/>
      <c r="AD117" s="78" t="n"/>
      <c r="AE117" s="78" t="n"/>
      <c r="AF117" s="78" t="n"/>
      <c r="AG117" s="78" t="n"/>
      <c r="AH117" s="78" t="n"/>
      <c r="AI117" s="77" t="n"/>
      <c r="AJ117" s="77" t="inlineStr">
        <is>
          <t>Claude + DeepSeek (see Extraction Log for per-cell decisions)</t>
        </is>
      </c>
      <c r="AK117" s="42" t="inlineStr">
        <is>
          <t>2018-2021 no data - first-ever report, window is 2022-2024. See Extraction Log Notes for scope caveats (HMS-domestic vs Global) and Ind.23 internal report inconsistency. | MANUAL FLAG cells use Claude value as placeholder pending manual review. DeepSeek Ind.1-5,9-11 year-shifted +1 due to detected column mislabeling.</t>
        </is>
      </c>
    </row>
    <row r="118" ht="15" customHeight="1" s="43">
      <c r="A118" s="79" t="n"/>
      <c r="B118" s="79" t="n"/>
      <c r="C118" s="79" t="inlineStr">
        <is>
          <t>Industrials</t>
        </is>
      </c>
      <c r="D118" s="79" t="inlineStr">
        <is>
          <t>2021</t>
        </is>
      </c>
      <c r="E118" s="77" t="n"/>
      <c r="F118" s="77" t="n"/>
      <c r="G118" s="77" t="n"/>
      <c r="H118" s="77" t="n"/>
      <c r="I118" s="77" t="n"/>
      <c r="J118" s="77" t="n"/>
      <c r="K118" s="77" t="n"/>
      <c r="L118" s="77" t="n"/>
      <c r="M118" s="77" t="n"/>
      <c r="N118" s="77" t="n"/>
      <c r="O118" s="77" t="n"/>
      <c r="P118" s="77" t="n"/>
      <c r="Q118" s="77" t="n"/>
      <c r="R118" s="77" t="n"/>
      <c r="S118" s="77" t="n"/>
      <c r="T118" s="77" t="n"/>
      <c r="U118" s="77" t="n"/>
      <c r="V118" s="77" t="n"/>
      <c r="W118" s="77" t="n"/>
      <c r="X118" s="77" t="n"/>
      <c r="Y118" s="77" t="n"/>
      <c r="Z118" s="77" t="n"/>
      <c r="AA118" s="77" t="n"/>
      <c r="AB118" s="77" t="n"/>
      <c r="AC118" s="78" t="n"/>
      <c r="AD118" s="78" t="n"/>
      <c r="AE118" s="78" t="n"/>
      <c r="AF118" s="78" t="n"/>
      <c r="AG118" s="78" t="n"/>
      <c r="AH118" s="78" t="n"/>
      <c r="AI118" s="77" t="n"/>
      <c r="AJ118" s="77" t="inlineStr">
        <is>
          <t>Claude + DeepSeek (see Extraction Log for per-cell decisions)</t>
        </is>
      </c>
      <c r="AK118" s="42" t="inlineStr">
        <is>
          <t>2018-2021 no data - first-ever report, window is 2022-2024. See Extraction Log Notes for scope caveats (HMS-domestic vs Global) and Ind.23 internal report inconsistency. | MANUAL FLAG cells use Claude value as placeholder pending manual review. DeepSeek Ind.1-5,9-11 year-shifted +1 due to detected column mislabeling.</t>
        </is>
      </c>
    </row>
    <row r="119" ht="15" customHeight="1" s="43">
      <c r="A119" s="76" t="n"/>
      <c r="B119" s="76" t="n"/>
      <c r="C119" s="76" t="inlineStr">
        <is>
          <t>Industrials</t>
        </is>
      </c>
      <c r="D119" s="76" t="inlineStr">
        <is>
          <t>2022</t>
        </is>
      </c>
      <c r="E119" s="77" t="n">
        <v>10.59</v>
      </c>
      <c r="F119" s="77" t="n">
        <v>23.36</v>
      </c>
      <c r="G119" s="77" t="n">
        <v>68.06</v>
      </c>
      <c r="H119" s="77" t="n">
        <v>28.82</v>
      </c>
      <c r="I119" s="77" t="n"/>
      <c r="J119" s="77" t="n">
        <v>39.8</v>
      </c>
      <c r="K119" s="77" t="n"/>
      <c r="L119" s="77" t="n"/>
      <c r="M119" s="77" t="n">
        <v>0</v>
      </c>
      <c r="N119" s="77" t="n">
        <v>0</v>
      </c>
      <c r="O119" s="77" t="n"/>
      <c r="P119" s="77" t="n">
        <v>81000000</v>
      </c>
      <c r="Q119" s="77" t="n">
        <v>46.67</v>
      </c>
      <c r="R119" s="77" t="n">
        <v>490000</v>
      </c>
      <c r="S119" s="77" t="n">
        <v>42.91</v>
      </c>
      <c r="T119" s="77" t="n">
        <v>2</v>
      </c>
      <c r="U119" s="77" t="n">
        <v>1</v>
      </c>
      <c r="V119" s="77" t="n"/>
      <c r="W119" s="77" t="n">
        <v>8.6</v>
      </c>
      <c r="X119" s="77" t="n">
        <v>9.859999999999999</v>
      </c>
      <c r="Y119" s="77" t="n">
        <v>0.21</v>
      </c>
      <c r="Z119" s="77" t="n"/>
      <c r="AA119" s="77" t="n">
        <v>0</v>
      </c>
      <c r="AB119" s="77" t="n">
        <v>0</v>
      </c>
      <c r="AC119" s="78" t="n"/>
      <c r="AD119" s="78" t="n"/>
      <c r="AE119" s="78" t="n"/>
      <c r="AF119" s="78" t="n"/>
      <c r="AG119" s="78" t="n"/>
      <c r="AH119" s="78" t="n"/>
      <c r="AI119" s="77" t="n"/>
      <c r="AJ119" s="77" t="inlineStr">
        <is>
          <t>Claude + DeepSeek (see Extraction Log for per-cell decisions) | Verified against HDHMS_2024.pdf (ESG Databook pp.115-117, 120) during manual flag review; Claude values confirmed correct for Ind04 (New Hire Rate%, 2024), Ind20 (Voluntary Turnover%, 2022 &amp; 2023), and Ind21 (Involuntary Turnover%, 2022 &amp; 2023, derived proxy - report has no explicit line item). DeepSeek was confirmed correct for Ind11 (Female Board Directors%, 2024) - Claude's original 16.67% used a post-FY2024 (June 2025) board snapshot rather than the report's own year-end FY2024 Board of Directors table (1 of 7 directors = 14.29%), so Master Dataset Ind_11 2024 was updated from 16.67 to 14.29.</t>
        </is>
      </c>
      <c r="AK119" s="42" t="inlineStr">
        <is>
          <t>2018-2021 no data - first-ever report, window is 2022-2024. See Extraction Log Notes for scope caveats (HMS-domestic vs Global) and Ind.23 internal report inconsistency. | MANUAL FLAG cells use Claude value as placeholder pending manual review. DeepSeek Ind.1-5,9-11 year-shifted +1 due to detected column mislabeling.</t>
        </is>
      </c>
    </row>
    <row r="120" ht="15" customHeight="1" s="43">
      <c r="A120" s="79" t="n"/>
      <c r="B120" s="79" t="n"/>
      <c r="C120" s="79" t="inlineStr">
        <is>
          <t>Industrials</t>
        </is>
      </c>
      <c r="D120" s="79" t="inlineStr">
        <is>
          <t>2023</t>
        </is>
      </c>
      <c r="E120" s="77" t="n">
        <v>9.550000000000001</v>
      </c>
      <c r="F120" s="77" t="n">
        <v>25.21</v>
      </c>
      <c r="G120" s="77" t="n">
        <v>68</v>
      </c>
      <c r="H120" s="77" t="n">
        <v>25.86</v>
      </c>
      <c r="I120" s="77" t="n"/>
      <c r="J120" s="77" t="n">
        <v>36.45</v>
      </c>
      <c r="K120" s="77" t="n"/>
      <c r="L120" s="77" t="n"/>
      <c r="M120" s="77" t="n">
        <v>0</v>
      </c>
      <c r="N120" s="77" t="n">
        <v>14.29</v>
      </c>
      <c r="O120" s="77" t="n">
        <v>0</v>
      </c>
      <c r="P120" s="77" t="n">
        <v>94000000</v>
      </c>
      <c r="Q120" s="77" t="n">
        <v>41.75</v>
      </c>
      <c r="R120" s="77" t="n">
        <v>770000</v>
      </c>
      <c r="S120" s="77" t="n">
        <v>25.88</v>
      </c>
      <c r="T120" s="77" t="n">
        <v>4</v>
      </c>
      <c r="U120" s="77" t="n">
        <v>1</v>
      </c>
      <c r="V120" s="77" t="n"/>
      <c r="W120" s="77" t="n">
        <v>8.5</v>
      </c>
      <c r="X120" s="77" t="n">
        <v>9.640000000000001</v>
      </c>
      <c r="Y120" s="77" t="n">
        <v>0</v>
      </c>
      <c r="Z120" s="77" t="n"/>
      <c r="AA120" s="77" t="n">
        <v>2.93</v>
      </c>
      <c r="AB120" s="77" t="n">
        <v>0</v>
      </c>
      <c r="AC120" s="78" t="n"/>
      <c r="AD120" s="78" t="n"/>
      <c r="AE120" s="78" t="n">
        <v>52.23</v>
      </c>
      <c r="AF120" s="78" t="n"/>
      <c r="AG120" s="78" t="n"/>
      <c r="AH120" s="78" t="n"/>
      <c r="AI120" s="77" t="n"/>
      <c r="AJ120" s="77" t="inlineStr">
        <is>
          <t>Claude + DeepSeek (see Extraction Log for per-cell decisions) | Verified against HDHMS_2024.pdf (ESG Databook pp.115-117, 120) during manual flag review; Claude values confirmed correct for Ind04 (New Hire Rate%, 2024), Ind20 (Voluntary Turnover%, 2022 &amp; 2023), and Ind21 (Involuntary Turnover%, 2022 &amp; 2023, derived proxy - report has no explicit line item). DeepSeek was confirmed correct for Ind11 (Female Board Directors%, 2024) - Claude's original 16.67% used a post-FY2024 (June 2025) board snapshot rather than the report's own year-end FY2024 Board of Directors table (1 of 7 directors = 14.29%), so Master Dataset Ind_11 2024 was updated from 16.67 to 14.29.</t>
        </is>
      </c>
      <c r="AK120" s="42" t="inlineStr">
        <is>
          <t>2018-2021 no data - first-ever report, window is 2022-2024. See Extraction Log Notes for scope caveats (HMS-domestic vs Global) and Ind.23 internal report inconsistency. | MANUAL FLAG cells use Claude value as placeholder pending manual review. DeepSeek Ind.1-5,9-11 year-shifted +1 due to detected column mislabeling.</t>
        </is>
      </c>
    </row>
    <row r="121" ht="15" customHeight="1" s="43">
      <c r="A121" s="76" t="n"/>
      <c r="B121" s="76" t="n"/>
      <c r="C121" s="76" t="inlineStr">
        <is>
          <t>Industrials</t>
        </is>
      </c>
      <c r="D121" s="76" t="inlineStr">
        <is>
          <t>2024</t>
        </is>
      </c>
      <c r="E121" s="77" t="n">
        <v>10.83</v>
      </c>
      <c r="F121" s="77" t="n">
        <v>25.23</v>
      </c>
      <c r="G121" s="77" t="n">
        <v>61.54</v>
      </c>
      <c r="H121" s="77" t="n">
        <v>19.88</v>
      </c>
      <c r="I121" s="77" t="n"/>
      <c r="J121" s="77" t="n">
        <v>42.51</v>
      </c>
      <c r="K121" s="77" t="n"/>
      <c r="L121" s="77" t="n"/>
      <c r="M121" s="77" t="n">
        <v>0</v>
      </c>
      <c r="N121" s="77" t="n">
        <v>14.29</v>
      </c>
      <c r="O121" s="77" t="n">
        <v>14.29</v>
      </c>
      <c r="P121" s="77" t="n">
        <v>133000000</v>
      </c>
      <c r="Q121" s="77" t="n">
        <v>37.93</v>
      </c>
      <c r="R121" s="77" t="n">
        <v>780000</v>
      </c>
      <c r="S121" s="77" t="n">
        <v>50.15</v>
      </c>
      <c r="T121" s="77" t="n">
        <v>0</v>
      </c>
      <c r="U121" s="77" t="n">
        <v>1</v>
      </c>
      <c r="V121" s="77" t="n"/>
      <c r="W121" s="77" t="n">
        <v>8.800000000000001</v>
      </c>
      <c r="X121" s="77" t="n">
        <v>6.52</v>
      </c>
      <c r="Y121" s="77" t="n">
        <v>0.18</v>
      </c>
      <c r="Z121" s="77" t="n"/>
      <c r="AA121" s="77" t="n">
        <v>1.82</v>
      </c>
      <c r="AB121" s="77" t="n">
        <v>0</v>
      </c>
      <c r="AC121" s="78" t="n"/>
      <c r="AD121" s="78" t="n"/>
      <c r="AE121" s="78" t="n">
        <v>56.89</v>
      </c>
      <c r="AF121" s="78" t="n"/>
      <c r="AG121" s="78" t="n"/>
      <c r="AH121" s="78" t="n"/>
      <c r="AI121" s="77" t="n"/>
      <c r="AJ121" s="77" t="inlineStr">
        <is>
          <t>Claude + DeepSeek (see Extraction Log for per-cell decisions) | Verified against HDHMS_2024.pdf (ESG Databook pp.115-117, 120) during manual flag review; Claude values confirmed correct for Ind04 (New Hire Rate%, 2024), Ind20 (Voluntary Turnover%, 2022 &amp; 2023), and Ind21 (Involuntary Turnover%, 2022 &amp; 2023, derived proxy - report has no explicit line item). DeepSeek was confirmed correct for Ind11 (Female Board Directors%, 2024) - Claude's original 16.67% used a post-FY2024 (June 2025) board snapshot rather than the report's own year-end FY2024 Board of Directors table (1 of 7 directors = 14.29%), so Master Dataset Ind_11 2024 was updated from 16.67 to 14.29.</t>
        </is>
      </c>
      <c r="AK121" s="42" t="inlineStr">
        <is>
          <t>2018-2021 no data - first-ever report, window is 2022-2024. See Extraction Log Notes for scope caveats (HMS-domestic vs Global) and Ind.23 internal report inconsistency. | MANUAL FLAG cells use Claude value as placeholder pending manual review. DeepSeek Ind.1-5,9-11 year-shifted +1 due to detected column mislabeling.</t>
        </is>
      </c>
    </row>
    <row r="122" ht="15" customHeight="1" s="43">
      <c r="A122" s="80" t="inlineStr">
        <is>
          <t>HYOSUNG HEAVY</t>
        </is>
      </c>
      <c r="B122" s="80" t="inlineStr">
        <is>
          <t>298040</t>
        </is>
      </c>
      <c r="C122" s="79" t="inlineStr">
        <is>
          <t>Industrials</t>
        </is>
      </c>
      <c r="D122" s="79" t="inlineStr">
        <is>
          <t>2018</t>
        </is>
      </c>
      <c r="E122" s="77" t="n">
        <v>1.6346</v>
      </c>
      <c r="F122" s="77" t="n">
        <v>7.0554</v>
      </c>
      <c r="G122" s="77" t="n">
        <v>7.0175</v>
      </c>
      <c r="H122" s="77" t="n">
        <v>1.2332</v>
      </c>
      <c r="I122" s="77" t="n"/>
      <c r="J122" s="77" t="n">
        <v>30.2326</v>
      </c>
      <c r="K122" s="77" t="n"/>
      <c r="L122" s="77" t="n"/>
      <c r="M122" s="77" t="n">
        <v>4.3</v>
      </c>
      <c r="N122" s="77" t="n"/>
      <c r="O122" s="77" t="n"/>
      <c r="P122" s="77" t="n"/>
      <c r="Q122" s="77" t="n"/>
      <c r="R122" s="77" t="n">
        <v>213767</v>
      </c>
      <c r="S122" s="77" t="n">
        <v>52.4</v>
      </c>
      <c r="T122" s="77" t="n">
        <v>31</v>
      </c>
      <c r="U122" s="77" t="n">
        <v>54</v>
      </c>
      <c r="V122" s="77" t="n">
        <v>93</v>
      </c>
      <c r="W122" s="77" t="n"/>
      <c r="X122" s="77" t="n">
        <v>1.2</v>
      </c>
      <c r="Y122" s="77" t="n"/>
      <c r="Z122" s="77" t="n">
        <v>92.90000000000001</v>
      </c>
      <c r="AA122" s="77" t="n"/>
      <c r="AB122" s="77" t="n">
        <v>0</v>
      </c>
      <c r="AC122" s="78" t="n">
        <v>0</v>
      </c>
      <c r="AD122" s="78" t="n"/>
      <c r="AE122" s="78" t="n"/>
      <c r="AF122" s="78" t="n"/>
      <c r="AG122" s="78" t="n"/>
      <c r="AH122" s="78" t="n"/>
      <c r="AI122" s="77" t="n"/>
      <c r="AJ122" s="77" t="inlineStr">
        <is>
          <t>Claude + DeepSeek (see Extraction Log for per-cell decisions)</t>
        </is>
      </c>
      <c r="AK122" s="42" t="inlineStr">
        <is>
          <t>See Extraction Log Notes - Ind.22 union membership scope-mismatch resolved (2018/2019/2020 figures likely wrong denominator, ~87-93% not comparable to corrected ~17-22%); Ind.24 unit changes 3x across editions; Ind.30 real downgrade A-&gt;B+ in 2024 | MANUAL FLAG cells use Claude value as placeholder pending manual review</t>
        </is>
      </c>
    </row>
    <row r="123" ht="15" customHeight="1" s="43">
      <c r="A123" s="76" t="n"/>
      <c r="B123" s="76" t="n"/>
      <c r="C123" s="76" t="inlineStr">
        <is>
          <t>Industrials</t>
        </is>
      </c>
      <c r="D123" s="76" t="inlineStr">
        <is>
          <t>2019</t>
        </is>
      </c>
      <c r="E123" s="77" t="n">
        <v>3.1295</v>
      </c>
      <c r="F123" s="77" t="n">
        <v>7.4096</v>
      </c>
      <c r="G123" s="77" t="n">
        <v>82.5688</v>
      </c>
      <c r="H123" s="77" t="n">
        <v>6.9767</v>
      </c>
      <c r="I123" s="77" t="n"/>
      <c r="J123" s="77" t="n">
        <v>36.6255</v>
      </c>
      <c r="K123" s="77" t="n"/>
      <c r="L123" s="77" t="n"/>
      <c r="M123" s="77" t="n">
        <v>10.3</v>
      </c>
      <c r="N123" s="77" t="n"/>
      <c r="O123" s="77" t="n"/>
      <c r="P123" s="77" t="n"/>
      <c r="Q123" s="77" t="n"/>
      <c r="R123" s="77" t="n">
        <v>655964</v>
      </c>
      <c r="S123" s="77" t="n">
        <v>68.18000000000001</v>
      </c>
      <c r="T123" s="77" t="n">
        <v>14</v>
      </c>
      <c r="U123" s="77" t="n">
        <v>132</v>
      </c>
      <c r="V123" s="77" t="n">
        <v>96</v>
      </c>
      <c r="W123" s="77" t="n"/>
      <c r="X123" s="77" t="n">
        <v>2.76</v>
      </c>
      <c r="Y123" s="77" t="n"/>
      <c r="Z123" s="77" t="n">
        <v>89.90000000000001</v>
      </c>
      <c r="AA123" s="77" t="n"/>
      <c r="AB123" s="77" t="n">
        <v>0</v>
      </c>
      <c r="AC123" s="78" t="n">
        <v>0</v>
      </c>
      <c r="AD123" s="78" t="n"/>
      <c r="AE123" s="78" t="n"/>
      <c r="AF123" s="78" t="n"/>
      <c r="AG123" s="78" t="n"/>
      <c r="AH123" s="78" t="n"/>
      <c r="AI123" s="77" t="n"/>
      <c r="AJ123" s="77" t="inlineStr">
        <is>
          <t>Claude + DeepSeek (see Extraction Log for per-cell decisions)</t>
        </is>
      </c>
      <c r="AK123" s="42" t="inlineStr">
        <is>
          <t>See Extraction Log Notes - Ind.22 union membership scope-mismatch resolved (2018/2019/2020 figures likely wrong denominator, ~87-93% not comparable to corrected ~17-22%); Ind.24 unit changes 3x across editions; Ind.30 real downgrade A-&gt;B+ in 2024 | MANUAL FLAG cells use Claude value as placeholder pending manual review</t>
        </is>
      </c>
    </row>
    <row r="124" ht="15" customHeight="1" s="43">
      <c r="A124" s="79" t="n"/>
      <c r="B124" s="79" t="n"/>
      <c r="C124" s="79" t="inlineStr">
        <is>
          <t>Industrials</t>
        </is>
      </c>
      <c r="D124" s="79" t="inlineStr">
        <is>
          <t>2020</t>
        </is>
      </c>
      <c r="E124" s="77" t="n">
        <v>5.17</v>
      </c>
      <c r="F124" s="77" t="n">
        <v>7.43</v>
      </c>
      <c r="G124" s="77" t="n">
        <v>53.99</v>
      </c>
      <c r="H124" s="77" t="n">
        <v>7.1</v>
      </c>
      <c r="I124" s="77" t="n"/>
      <c r="J124" s="77" t="n">
        <v>31.25</v>
      </c>
      <c r="K124" s="77" t="n"/>
      <c r="L124" s="77" t="n"/>
      <c r="M124" s="77" t="n">
        <v>6.5</v>
      </c>
      <c r="N124" s="77" t="n"/>
      <c r="O124" s="77" t="n"/>
      <c r="P124" s="77" t="n">
        <v>58000000</v>
      </c>
      <c r="Q124" s="77" t="n"/>
      <c r="R124" s="77" t="n">
        <v>338585</v>
      </c>
      <c r="S124" s="77" t="n">
        <v>47</v>
      </c>
      <c r="T124" s="77" t="n">
        <v>19</v>
      </c>
      <c r="U124" s="77" t="n">
        <v>69</v>
      </c>
      <c r="V124" s="77" t="n"/>
      <c r="W124" s="77" t="n"/>
      <c r="X124" s="77" t="n">
        <v>2.8</v>
      </c>
      <c r="Y124" s="77" t="n"/>
      <c r="Z124" s="77" t="n">
        <v>21.62</v>
      </c>
      <c r="AA124" s="77" t="n"/>
      <c r="AB124" s="77" t="n">
        <v>0.01</v>
      </c>
      <c r="AC124" s="78" t="n"/>
      <c r="AD124" s="78" t="n"/>
      <c r="AE124" s="78" t="n"/>
      <c r="AF124" s="78" t="n"/>
      <c r="AG124" s="78" t="n"/>
      <c r="AH124" s="78" t="n"/>
      <c r="AI124" s="77" t="n"/>
      <c r="AJ124" s="77" t="inlineStr">
        <is>
          <t>Claude + DeepSeek (see Extraction Log for per-cell decisions)</t>
        </is>
      </c>
      <c r="AK124" s="42" t="inlineStr">
        <is>
          <t>See Extraction Log Notes - Ind.22 union membership scope-mismatch resolved (2018/2019/2020 figures likely wrong denominator, ~87-93% not comparable to corrected ~17-22%); Ind.24 unit changes 3x across editions; Ind.30 real downgrade A-&gt;B+ in 2024 | MANUAL FLAG cells use Claude value as placeholder pending manual review</t>
        </is>
      </c>
    </row>
    <row r="125" ht="15" customHeight="1" s="43">
      <c r="A125" s="76" t="n"/>
      <c r="B125" s="76" t="n"/>
      <c r="C125" s="76" t="inlineStr">
        <is>
          <t>Industrials</t>
        </is>
      </c>
      <c r="D125" s="76" t="inlineStr">
        <is>
          <t>2021</t>
        </is>
      </c>
      <c r="E125" s="77" t="n">
        <v>6.53</v>
      </c>
      <c r="F125" s="77" t="n">
        <v>7.29</v>
      </c>
      <c r="G125" s="77" t="n">
        <v>50.49</v>
      </c>
      <c r="H125" s="77" t="n">
        <v>8.58</v>
      </c>
      <c r="I125" s="77" t="n"/>
      <c r="J125" s="77" t="n">
        <v>33.21</v>
      </c>
      <c r="K125" s="77" t="n"/>
      <c r="L125" s="77" t="n"/>
      <c r="M125" s="77" t="n">
        <v>7.2</v>
      </c>
      <c r="N125" s="77" t="n"/>
      <c r="O125" s="77" t="n"/>
      <c r="P125" s="77" t="n">
        <v>65000000</v>
      </c>
      <c r="Q125" s="77" t="n"/>
      <c r="R125" s="77" t="n">
        <v>458997</v>
      </c>
      <c r="S125" s="77" t="n">
        <v>54</v>
      </c>
      <c r="T125" s="77" t="n">
        <v>19</v>
      </c>
      <c r="U125" s="77" t="n">
        <v>64</v>
      </c>
      <c r="V125" s="77" t="n"/>
      <c r="W125" s="77" t="n"/>
      <c r="X125" s="77" t="n">
        <v>3.9</v>
      </c>
      <c r="Y125" s="77" t="n"/>
      <c r="Z125" s="77" t="n">
        <v>21.02</v>
      </c>
      <c r="AA125" s="77" t="n"/>
      <c r="AB125" s="77" t="n">
        <v>0.03</v>
      </c>
      <c r="AC125" s="78" t="n"/>
      <c r="AD125" s="78" t="n"/>
      <c r="AE125" s="78" t="n"/>
      <c r="AF125" s="78" t="n"/>
      <c r="AG125" s="78" t="n"/>
      <c r="AH125" s="78" t="n"/>
      <c r="AI125" s="77" t="n"/>
      <c r="AJ125" s="77" t="inlineStr">
        <is>
          <t>Claude + DeepSeek (see Extraction Log for per-cell decisions)</t>
        </is>
      </c>
      <c r="AK125" s="42" t="inlineStr">
        <is>
          <t>See Extraction Log Notes - Ind.22 union membership scope-mismatch resolved (2018/2019/2020 figures likely wrong denominator, ~87-93% not comparable to corrected ~17-22%); Ind.24 unit changes 3x across editions; Ind.30 real downgrade A-&gt;B+ in 2024 | MANUAL FLAG cells use Claude value as placeholder pending manual review</t>
        </is>
      </c>
    </row>
    <row r="126" ht="15" customHeight="1" s="43">
      <c r="A126" s="79" t="n"/>
      <c r="B126" s="79" t="n"/>
      <c r="C126" s="79" t="inlineStr">
        <is>
          <t>Industrials</t>
        </is>
      </c>
      <c r="D126" s="79" t="inlineStr">
        <is>
          <t>2022</t>
        </is>
      </c>
      <c r="E126" s="77" t="n">
        <v>8.9</v>
      </c>
      <c r="F126" s="77" t="n">
        <v>7.53</v>
      </c>
      <c r="G126" s="77" t="n">
        <v>54.58</v>
      </c>
      <c r="H126" s="77" t="n">
        <v>16.98</v>
      </c>
      <c r="I126" s="77" t="n"/>
      <c r="J126" s="77" t="n">
        <v>26.6</v>
      </c>
      <c r="K126" s="77" t="n">
        <v>3.008</v>
      </c>
      <c r="L126" s="77" t="n">
        <v>0.595</v>
      </c>
      <c r="M126" s="77" t="n">
        <v>7.1</v>
      </c>
      <c r="N126" s="77" t="n"/>
      <c r="O126" s="77" t="n">
        <v>12.5</v>
      </c>
      <c r="P126" s="77" t="n">
        <v>74000000</v>
      </c>
      <c r="Q126" s="77" t="n"/>
      <c r="R126" s="77" t="n">
        <v>588239</v>
      </c>
      <c r="S126" s="77" t="n">
        <v>56</v>
      </c>
      <c r="T126" s="77" t="n">
        <v>15</v>
      </c>
      <c r="U126" s="77" t="n">
        <v>56</v>
      </c>
      <c r="V126" s="77" t="n"/>
      <c r="W126" s="77" t="n"/>
      <c r="X126" s="77" t="n">
        <v>5</v>
      </c>
      <c r="Y126" s="77" t="n">
        <v>2.85</v>
      </c>
      <c r="Z126" s="77" t="n">
        <v>95.2</v>
      </c>
      <c r="AA126" s="77" t="n">
        <v>1.95</v>
      </c>
      <c r="AB126" s="77" t="n">
        <v>0</v>
      </c>
      <c r="AC126" s="78" t="n"/>
      <c r="AD126" s="78" t="n"/>
      <c r="AE126" s="78" t="n"/>
      <c r="AF126" s="78" t="n"/>
      <c r="AG126" s="78" t="n"/>
      <c r="AH126" s="78" t="inlineStr">
        <is>
          <t>A</t>
        </is>
      </c>
      <c r="AI126" s="77" t="n"/>
      <c r="AJ126" s="77" t="inlineStr">
        <is>
          <t>Claude + DeepSeek (see Extraction Log for per-cell decisions)</t>
        </is>
      </c>
      <c r="AK126" s="42" t="inlineStr">
        <is>
          <t>See Extraction Log Notes - Ind.22 union membership scope-mismatch resolved (2018/2019/2020 figures likely wrong denominator, ~87-93% not comparable to corrected ~17-22%); Ind.24 unit changes 3x across editions; Ind.30 real downgrade A-&gt;B+ in 2024 | MANUAL FLAG cells use Claude value as placeholder pending manual review</t>
        </is>
      </c>
    </row>
    <row r="127" ht="15" customHeight="1" s="43">
      <c r="A127" s="76" t="n"/>
      <c r="B127" s="76" t="n"/>
      <c r="C127" s="76" t="inlineStr">
        <is>
          <t>Industrials</t>
        </is>
      </c>
      <c r="D127" s="76" t="inlineStr">
        <is>
          <t>2023</t>
        </is>
      </c>
      <c r="E127" s="77" t="n">
        <v>8.99</v>
      </c>
      <c r="F127" s="77" t="n">
        <v>7.61</v>
      </c>
      <c r="G127" s="77" t="n">
        <v>57.77</v>
      </c>
      <c r="H127" s="77" t="n">
        <v>18.47</v>
      </c>
      <c r="I127" s="77" t="n"/>
      <c r="J127" s="77" t="n">
        <v>21.9</v>
      </c>
      <c r="K127" s="77" t="n">
        <v>2.735</v>
      </c>
      <c r="L127" s="77" t="n">
        <v>0.517</v>
      </c>
      <c r="M127" s="77" t="n">
        <v>7.5</v>
      </c>
      <c r="N127" s="77" t="n"/>
      <c r="O127" s="77" t="n">
        <v>12.5</v>
      </c>
      <c r="P127" s="77" t="n">
        <v>78000000</v>
      </c>
      <c r="Q127" s="77" t="n"/>
      <c r="R127" s="77" t="n">
        <v>789980</v>
      </c>
      <c r="S127" s="77" t="n">
        <v>59</v>
      </c>
      <c r="T127" s="77" t="n">
        <v>10</v>
      </c>
      <c r="U127" s="77" t="n">
        <v>43</v>
      </c>
      <c r="V127" s="77" t="n"/>
      <c r="W127" s="77" t="n"/>
      <c r="X127" s="77" t="n">
        <v>3.9</v>
      </c>
      <c r="Y127" s="77" t="n">
        <v>2.7</v>
      </c>
      <c r="Z127" s="77" t="n">
        <v>97.3</v>
      </c>
      <c r="AA127" s="77" t="n">
        <v>1.6</v>
      </c>
      <c r="AB127" s="77" t="n">
        <v>3.04</v>
      </c>
      <c r="AC127" s="78" t="n"/>
      <c r="AD127" s="78" t="n"/>
      <c r="AE127" s="78" t="n"/>
      <c r="AF127" s="78" t="n"/>
      <c r="AG127" s="78" t="n"/>
      <c r="AH127" s="78" t="inlineStr">
        <is>
          <t>A</t>
        </is>
      </c>
      <c r="AI127" s="77" t="n"/>
      <c r="AJ127" s="77" t="inlineStr">
        <is>
          <t>Claude + DeepSeek (see Extraction Log for per-cell decisions)</t>
        </is>
      </c>
      <c r="AK127" s="42" t="inlineStr">
        <is>
          <t>See Extraction Log Notes - Ind.22 union membership scope-mismatch resolved (2018/2019/2020 figures likely wrong denominator, ~87-93% not comparable to corrected ~17-22%); Ind.24 unit changes 3x across editions; Ind.30 real downgrade A-&gt;B+ in 2024 | MANUAL FLAG cells use Claude value as placeholder pending manual review</t>
        </is>
      </c>
    </row>
    <row r="128" ht="15" customHeight="1" s="43">
      <c r="A128" s="79" t="n"/>
      <c r="B128" s="79" t="n"/>
      <c r="C128" s="79" t="inlineStr">
        <is>
          <t>Industrials</t>
        </is>
      </c>
      <c r="D128" s="79" t="inlineStr">
        <is>
          <t>2024</t>
        </is>
      </c>
      <c r="E128" s="77" t="n">
        <v>9.73</v>
      </c>
      <c r="F128" s="77" t="n">
        <v>7.55</v>
      </c>
      <c r="G128" s="77" t="n">
        <v>50.45</v>
      </c>
      <c r="H128" s="77" t="n">
        <v>17.46</v>
      </c>
      <c r="I128" s="77" t="n"/>
      <c r="J128" s="77" t="n">
        <v>20.5</v>
      </c>
      <c r="K128" s="77" t="n"/>
      <c r="L128" s="77" t="n"/>
      <c r="M128" s="77" t="n">
        <v>7.7</v>
      </c>
      <c r="N128" s="77" t="n"/>
      <c r="O128" s="77" t="n">
        <v>12.5</v>
      </c>
      <c r="P128" s="77" t="n">
        <v>86000000</v>
      </c>
      <c r="Q128" s="77" t="n"/>
      <c r="R128" s="77" t="n">
        <v>850447</v>
      </c>
      <c r="S128" s="77" t="n">
        <v>67</v>
      </c>
      <c r="T128" s="77" t="n">
        <v>14</v>
      </c>
      <c r="U128" s="77" t="n">
        <v>24</v>
      </c>
      <c r="V128" s="77" t="n"/>
      <c r="W128" s="77" t="n"/>
      <c r="X128" s="77" t="n">
        <v>2.5</v>
      </c>
      <c r="Y128" s="77" t="n">
        <v>2.35</v>
      </c>
      <c r="Z128" s="77" t="n">
        <v>98.3</v>
      </c>
      <c r="AA128" s="77" t="n">
        <v>3.1</v>
      </c>
      <c r="AB128" s="77" t="n">
        <v>0</v>
      </c>
      <c r="AC128" s="78" t="n"/>
      <c r="AD128" s="78" t="n"/>
      <c r="AE128" s="78" t="n"/>
      <c r="AF128" s="78" t="n"/>
      <c r="AG128" s="78" t="n"/>
      <c r="AH128" s="78" t="inlineStr">
        <is>
          <t>B+</t>
        </is>
      </c>
      <c r="AI128" s="77" t="n"/>
      <c r="AJ128" s="77" t="inlineStr">
        <is>
          <t>Claude + DeepSeek (see Extraction Log for per-cell decisions)</t>
        </is>
      </c>
      <c r="AK128" s="42" t="inlineStr">
        <is>
          <t>See Extraction Log Notes - Ind.22 union membership scope-mismatch resolved (2018/2019/2020 figures likely wrong denominator, ~87-93% not comparable to corrected ~17-22%); Ind.24 unit changes 3x across editions; Ind.30 real downgrade A-&gt;B+ in 2024 | MANUAL FLAG cells use Claude value as placeholder pending manual review</t>
        </is>
      </c>
    </row>
    <row r="129" ht="15" customHeight="1" s="43">
      <c r="A129" s="75" t="inlineStr">
        <is>
          <t>HYUNDAI ROTEM</t>
        </is>
      </c>
      <c r="B129" s="75" t="inlineStr">
        <is>
          <t>064350</t>
        </is>
      </c>
      <c r="C129" s="76" t="inlineStr">
        <is>
          <t>Industrials</t>
        </is>
      </c>
      <c r="D129" s="76" t="inlineStr">
        <is>
          <t>2018</t>
        </is>
      </c>
      <c r="E129" s="77" t="n">
        <v>4.29</v>
      </c>
      <c r="F129" s="77" t="n">
        <v>1.58</v>
      </c>
      <c r="G129" s="77" t="n">
        <v>12.82</v>
      </c>
      <c r="H129" s="77" t="n">
        <v>7.43</v>
      </c>
      <c r="I129" s="77" t="n"/>
      <c r="J129" s="77" t="n">
        <v>5.2</v>
      </c>
      <c r="K129" s="77" t="n"/>
      <c r="L129" s="77" t="n"/>
      <c r="M129" s="77" t="n"/>
      <c r="N129" s="77" t="n">
        <v>0</v>
      </c>
      <c r="O129" s="77" t="n">
        <v>0</v>
      </c>
      <c r="P129" s="77" t="n">
        <v>86000000</v>
      </c>
      <c r="Q129" s="77" t="n"/>
      <c r="R129" s="77" t="n">
        <v>515031</v>
      </c>
      <c r="S129" s="77" t="n">
        <v>60</v>
      </c>
      <c r="T129" s="77" t="n"/>
      <c r="U129" s="77" t="n"/>
      <c r="V129" s="77" t="n">
        <v>57.1429</v>
      </c>
      <c r="W129" s="77" t="n">
        <v>18.4</v>
      </c>
      <c r="X129" s="77" t="n">
        <v>1.54</v>
      </c>
      <c r="Y129" s="77" t="n">
        <v>1.2101</v>
      </c>
      <c r="Z129" s="77" t="n">
        <v>65.7</v>
      </c>
      <c r="AA129" s="77" t="n">
        <v>2.094</v>
      </c>
      <c r="AB129" s="77" t="n">
        <v>0</v>
      </c>
      <c r="AC129" s="78" t="n"/>
      <c r="AD129" s="78" t="n"/>
      <c r="AE129" s="78" t="n"/>
      <c r="AF129" s="78" t="n"/>
      <c r="AG129" s="78" t="n"/>
      <c r="AH129" s="78" t="n"/>
      <c r="AI129" s="77" t="n"/>
      <c r="AJ129" s="77" t="inlineStr">
        <is>
          <t>Claude + DeepSeek (see Extraction Log for per-cell decisions) | Manual flag review vs HYUNDAI_ROTEM_2021.pdf (p.61 Factbook): confirmed Claude correct for Ind01 (Contract Workers%, 4.29 = 156/3636), Ind02 (Female Permanent%, 1.58 = 55/3480), Ind03 (Female Contract%, 12.82 = 20/156). DeepSeek's values did not match report figures (see Flags to Review for detail).</t>
        </is>
      </c>
      <c r="AK129" s="42" t="inlineStr">
        <is>
          <t>See Extraction Log Notes - Ind.19 Length of Service unexplained wild swing (16.4-&gt;23-&gt;13.2-&gt;11.6); Ind.23 LTIFR scope possibly Permanent-only vs company-wide across editions; Ind.30 real KCGS upgrade trend B+-&gt;A-&gt;A+ | MANUAL FLAG cells use Claude value as placeholder pending manual review</t>
        </is>
      </c>
    </row>
    <row r="130" ht="15" customHeight="1" s="43">
      <c r="A130" s="79" t="n"/>
      <c r="B130" s="79" t="n"/>
      <c r="C130" s="79" t="inlineStr">
        <is>
          <t>Industrials</t>
        </is>
      </c>
      <c r="D130" s="79" t="inlineStr">
        <is>
          <t>2019</t>
        </is>
      </c>
      <c r="E130" s="77" t="n">
        <v>4.96</v>
      </c>
      <c r="F130" s="77" t="n">
        <v>1.64</v>
      </c>
      <c r="G130" s="77" t="n">
        <v>16.85</v>
      </c>
      <c r="H130" s="77" t="n">
        <v>7.33</v>
      </c>
      <c r="I130" s="77" t="n"/>
      <c r="J130" s="77" t="n">
        <v>6.84</v>
      </c>
      <c r="K130" s="77" t="n">
        <v>3.8</v>
      </c>
      <c r="L130" s="77" t="n"/>
      <c r="M130" s="77" t="n"/>
      <c r="N130" s="77" t="n">
        <v>0</v>
      </c>
      <c r="O130" s="77" t="n">
        <v>0</v>
      </c>
      <c r="P130" s="77" t="n">
        <v>85201348</v>
      </c>
      <c r="Q130" s="77" t="n"/>
      <c r="R130" s="77" t="n">
        <v>242056</v>
      </c>
      <c r="S130" s="77" t="n">
        <v>29.6</v>
      </c>
      <c r="T130" s="77" t="n"/>
      <c r="U130" s="77" t="n"/>
      <c r="V130" s="77" t="n">
        <v>12.5</v>
      </c>
      <c r="W130" s="77" t="n">
        <v>17.8</v>
      </c>
      <c r="X130" s="77" t="n">
        <v>1.81</v>
      </c>
      <c r="Y130" s="77" t="n">
        <v>2.17</v>
      </c>
      <c r="Z130" s="77" t="n">
        <v>63.1</v>
      </c>
      <c r="AA130" s="77" t="n">
        <v>1.77</v>
      </c>
      <c r="AB130" s="77" t="n">
        <v>0</v>
      </c>
      <c r="AC130" s="78" t="n"/>
      <c r="AD130" s="78" t="n">
        <v>5</v>
      </c>
      <c r="AE130" s="78" t="n">
        <v>62.7</v>
      </c>
      <c r="AF130" s="78" t="n"/>
      <c r="AG130" s="78" t="n"/>
      <c r="AH130" s="78" t="n"/>
      <c r="AI130" s="77" t="n"/>
      <c r="AJ130" s="77" t="inlineStr">
        <is>
          <t>Claude + DeepSeek (see Extraction Log for per-cell decisions)</t>
        </is>
      </c>
      <c r="AK130" s="42" t="inlineStr">
        <is>
          <t>See Extraction Log Notes - Ind.19 Length of Service unexplained wild swing (16.4-&gt;23-&gt;13.2-&gt;11.6); Ind.23 LTIFR scope possibly Permanent-only vs company-wide across editions; Ind.30 real KCGS upgrade trend B+-&gt;A-&gt;A+ | MANUAL FLAG cells use Claude value as placeholder pending manual review</t>
        </is>
      </c>
    </row>
    <row r="131" ht="15" customHeight="1" s="43">
      <c r="A131" s="76" t="n"/>
      <c r="B131" s="76" t="n"/>
      <c r="C131" s="76" t="inlineStr">
        <is>
          <t>Industrials</t>
        </is>
      </c>
      <c r="D131" s="76" t="inlineStr">
        <is>
          <t>2020</t>
        </is>
      </c>
      <c r="E131" s="77" t="n">
        <v>7.36</v>
      </c>
      <c r="F131" s="77" t="n">
        <v>1.83</v>
      </c>
      <c r="G131" s="77" t="n">
        <v>14.29</v>
      </c>
      <c r="H131" s="77" t="n">
        <v>3.68</v>
      </c>
      <c r="I131" s="77" t="n"/>
      <c r="J131" s="77" t="n">
        <v>11.9</v>
      </c>
      <c r="K131" s="77" t="n">
        <v>3.7</v>
      </c>
      <c r="L131" s="77" t="n"/>
      <c r="M131" s="77" t="n"/>
      <c r="N131" s="77" t="n">
        <v>0</v>
      </c>
      <c r="O131" s="77" t="n">
        <v>0</v>
      </c>
      <c r="P131" s="77" t="n">
        <v>86046971</v>
      </c>
      <c r="Q131" s="77" t="n"/>
      <c r="R131" s="77" t="n">
        <v>133455</v>
      </c>
      <c r="S131" s="77" t="n">
        <v>24.1</v>
      </c>
      <c r="T131" s="77" t="n"/>
      <c r="U131" s="77" t="n"/>
      <c r="V131" s="77" t="n">
        <v>14.29</v>
      </c>
      <c r="W131" s="77" t="n">
        <v>17.3</v>
      </c>
      <c r="X131" s="77" t="n">
        <v>1.87</v>
      </c>
      <c r="Y131" s="77" t="n">
        <v>3.06</v>
      </c>
      <c r="Z131" s="77" t="n">
        <v>62.7</v>
      </c>
      <c r="AA131" s="77" t="n">
        <v>1.72</v>
      </c>
      <c r="AB131" s="77" t="n">
        <v>0</v>
      </c>
      <c r="AC131" s="78" t="n"/>
      <c r="AD131" s="78" t="n">
        <v>5</v>
      </c>
      <c r="AE131" s="78" t="n">
        <v>67.59999999999999</v>
      </c>
      <c r="AF131" s="78" t="n"/>
      <c r="AG131" s="78" t="n"/>
      <c r="AH131" s="78" t="inlineStr">
        <is>
          <t>B+</t>
        </is>
      </c>
      <c r="AI131" s="77" t="n"/>
      <c r="AJ131" s="77" t="inlineStr">
        <is>
          <t>Claude + DeepSeek (see Extraction Log for per-cell decisions) | Manual flag review vs HYUNDAI_ROTEM_2021.pdf (p.61 Factbook): confirmed Claude correct for Ind02 (Female Permanent%, 1.83 = 58/3174). Cross-validated against HYUNDAI_ROTEM_2022.pdf p.82 (identical figures for 2020). DeepSeek's value (1.48) did not match.</t>
        </is>
      </c>
      <c r="AK131" s="42" t="inlineStr">
        <is>
          <t>See Extraction Log Notes - Ind.19 Length of Service unexplained wild swing (16.4-&gt;23-&gt;13.2-&gt;11.6); Ind.23 LTIFR scope possibly Permanent-only vs company-wide across editions; Ind.30 real KCGS upgrade trend B+-&gt;A-&gt;A+ | MANUAL FLAG cells use Claude value as placeholder pending manual review</t>
        </is>
      </c>
    </row>
    <row r="132" ht="15" customHeight="1" s="43">
      <c r="A132" s="79" t="n"/>
      <c r="B132" s="79" t="n"/>
      <c r="C132" s="79" t="inlineStr">
        <is>
          <t>Industrials</t>
        </is>
      </c>
      <c r="D132" s="79" t="inlineStr">
        <is>
          <t>2021</t>
        </is>
      </c>
      <c r="E132" s="77" t="n">
        <v>4.72</v>
      </c>
      <c r="F132" s="77" t="n">
        <v>1.94</v>
      </c>
      <c r="G132" s="77" t="n">
        <v>17.79</v>
      </c>
      <c r="H132" s="77" t="n">
        <v>6.95</v>
      </c>
      <c r="I132" s="77" t="n"/>
      <c r="J132" s="77" t="n">
        <v>6.67</v>
      </c>
      <c r="K132" s="77" t="n">
        <v>3.5</v>
      </c>
      <c r="L132" s="77" t="n"/>
      <c r="M132" s="77" t="n"/>
      <c r="N132" s="77" t="n">
        <v>0</v>
      </c>
      <c r="O132" s="77" t="n">
        <v>0</v>
      </c>
      <c r="P132" s="77" t="n">
        <v>90689942</v>
      </c>
      <c r="Q132" s="77" t="n"/>
      <c r="R132" s="77" t="n">
        <v>237524</v>
      </c>
      <c r="S132" s="77" t="n">
        <v>26.6</v>
      </c>
      <c r="T132" s="77" t="n"/>
      <c r="U132" s="77" t="n"/>
      <c r="V132" s="77" t="n">
        <v>28.57</v>
      </c>
      <c r="W132" s="77" t="n">
        <v>16.4</v>
      </c>
      <c r="X132" s="77" t="n">
        <v>1.71</v>
      </c>
      <c r="Y132" s="77" t="n">
        <v>5.07</v>
      </c>
      <c r="Z132" s="77" t="n">
        <v>69.5</v>
      </c>
      <c r="AA132" s="77" t="n">
        <v>1.35</v>
      </c>
      <c r="AB132" s="77" t="n">
        <v>0</v>
      </c>
      <c r="AC132" s="78" t="n">
        <v>12</v>
      </c>
      <c r="AD132" s="78" t="n">
        <v>5</v>
      </c>
      <c r="AE132" s="78" t="n">
        <v>69.7</v>
      </c>
      <c r="AF132" s="78" t="n"/>
      <c r="AG132" s="78" t="n"/>
      <c r="AH132" s="78" t="inlineStr">
        <is>
          <t>A</t>
        </is>
      </c>
      <c r="AI132" s="77" t="n"/>
      <c r="AJ132" s="77" t="inlineStr">
        <is>
          <t>Claude + DeepSeek (see Extraction Log for per-cell decisions) | Manual flag review vs HYUNDAI_ROTEM_2022.pdf (p.82 Factbook): confirmed Claude correct for Ind02 (Female Permanent%, 1.94 = 64/3292). DeepSeek's value (2.54) did not match.</t>
        </is>
      </c>
      <c r="AK132" s="42" t="inlineStr">
        <is>
          <t>See Extraction Log Notes - Ind.19 Length of Service unexplained wild swing (16.4-&gt;23-&gt;13.2-&gt;11.6); Ind.23 LTIFR scope possibly Permanent-only vs company-wide across editions; Ind.30 real KCGS upgrade trend B+-&gt;A-&gt;A+ | MANUAL FLAG cells use Claude value as placeholder pending manual review</t>
        </is>
      </c>
    </row>
    <row r="133" ht="15" customHeight="1" s="43">
      <c r="A133" s="76" t="n"/>
      <c r="B133" s="76" t="n"/>
      <c r="C133" s="76" t="inlineStr">
        <is>
          <t>Industrials</t>
        </is>
      </c>
      <c r="D133" s="76" t="inlineStr">
        <is>
          <t>2022</t>
        </is>
      </c>
      <c r="E133" s="77" t="n">
        <v>8.609999999999999</v>
      </c>
      <c r="F133" s="77" t="n">
        <v>2.56</v>
      </c>
      <c r="G133" s="77" t="n">
        <v>11.97</v>
      </c>
      <c r="H133" s="77" t="n">
        <v>11.29</v>
      </c>
      <c r="I133" s="77" t="n"/>
      <c r="J133" s="77" t="n">
        <v>9.880000000000001</v>
      </c>
      <c r="K133" s="77" t="n"/>
      <c r="L133" s="77" t="n"/>
      <c r="M133" s="77" t="n">
        <v>12.4</v>
      </c>
      <c r="N133" s="77" t="n">
        <v>0</v>
      </c>
      <c r="O133" s="77" t="n">
        <v>14</v>
      </c>
      <c r="P133" s="77" t="n">
        <v>95000000</v>
      </c>
      <c r="Q133" s="77" t="n">
        <v>39.91</v>
      </c>
      <c r="R133" s="77" t="n">
        <v>261000</v>
      </c>
      <c r="S133" s="77" t="n">
        <v>26.4</v>
      </c>
      <c r="T133" s="77" t="n">
        <v>7</v>
      </c>
      <c r="U133" s="77" t="n">
        <v>13</v>
      </c>
      <c r="V133" s="77" t="n"/>
      <c r="W133" s="77" t="n">
        <v>23</v>
      </c>
      <c r="X133" s="77" t="n">
        <v>2.9</v>
      </c>
      <c r="Y133" s="77" t="n"/>
      <c r="Z133" s="77" t="n">
        <v>66</v>
      </c>
      <c r="AA133" s="77" t="n">
        <v>0.58</v>
      </c>
      <c r="AB133" s="77" t="n">
        <v>0</v>
      </c>
      <c r="AC133" s="78" t="n"/>
      <c r="AD133" s="78" t="n"/>
      <c r="AE133" s="78" t="n">
        <v>67.09999999999999</v>
      </c>
      <c r="AF133" s="78" t="n"/>
      <c r="AG133" s="78" t="n"/>
      <c r="AH133" s="78" t="n"/>
      <c r="AI133" s="77" t="n"/>
      <c r="AJ133" s="77" t="inlineStr">
        <is>
          <t>Claude + DeepSeek (see Extraction Log for per-cell decisions) | Manual flags RESOLVED using HYUNDAI_ROTEM_2025.pdf: Ind01 (Contract Workers%, 8.61 = 309/3587, p.79), Ind02 (Female Permanent%, 2.56 = 84/3278, p.79), Ind12 (Annual Pay, 95,000,000 = 95M KRW, p.81), Ind23 (LTIFR, 0.58, p.89) all confirmed as Claude's values; DeepSeek did not match the report in any case.</t>
        </is>
      </c>
      <c r="AK133" s="42" t="inlineStr">
        <is>
          <t>See Extraction Log Notes - Ind.19 Length of Service unexplained wild swing (16.4-&gt;23-&gt;13.2-&gt;11.6); Ind.23 LTIFR scope possibly Permanent-only vs company-wide across editions; Ind.30 real KCGS upgrade trend B+-&gt;A-&gt;A+ | MANUAL FLAG cells use Claude value as placeholder pending manual review</t>
        </is>
      </c>
    </row>
    <row r="134" ht="15" customHeight="1" s="43">
      <c r="A134" s="79" t="n"/>
      <c r="B134" s="79" t="n"/>
      <c r="C134" s="79" t="inlineStr">
        <is>
          <t>Industrials</t>
        </is>
      </c>
      <c r="D134" s="79" t="inlineStr">
        <is>
          <t>2023</t>
        </is>
      </c>
      <c r="E134" s="77" t="n">
        <v>8.92</v>
      </c>
      <c r="F134" s="77" t="n">
        <v>3.69</v>
      </c>
      <c r="G134" s="77" t="n">
        <v>11.43</v>
      </c>
      <c r="H134" s="77" t="n">
        <v>16.98</v>
      </c>
      <c r="I134" s="77" t="n"/>
      <c r="J134" s="77" t="n">
        <v>8.56</v>
      </c>
      <c r="K134" s="77" t="n"/>
      <c r="L134" s="77" t="n"/>
      <c r="M134" s="77" t="n">
        <v>15.1</v>
      </c>
      <c r="N134" s="77" t="n">
        <v>0</v>
      </c>
      <c r="O134" s="77" t="n">
        <v>14</v>
      </c>
      <c r="P134" s="77" t="n">
        <v>103000000</v>
      </c>
      <c r="Q134" s="77" t="n">
        <v>34.4</v>
      </c>
      <c r="R134" s="77" t="n">
        <v>405000</v>
      </c>
      <c r="S134" s="77" t="n">
        <v>28.75</v>
      </c>
      <c r="T134" s="77" t="n">
        <v>7</v>
      </c>
      <c r="U134" s="77" t="n">
        <v>15</v>
      </c>
      <c r="V134" s="77" t="n"/>
      <c r="W134" s="77" t="n">
        <v>13.2</v>
      </c>
      <c r="X134" s="77" t="n">
        <v>2.01</v>
      </c>
      <c r="Y134" s="77" t="n"/>
      <c r="Z134" s="77" t="n">
        <v>62</v>
      </c>
      <c r="AA134" s="77" t="n">
        <v>1.32</v>
      </c>
      <c r="AB134" s="77" t="n">
        <v>0</v>
      </c>
      <c r="AC134" s="78" t="n"/>
      <c r="AD134" s="78" t="n"/>
      <c r="AE134" s="78" t="n">
        <v>75.40000000000001</v>
      </c>
      <c r="AF134" s="78" t="n"/>
      <c r="AG134" s="78" t="n"/>
      <c r="AH134" s="78" t="n"/>
      <c r="AI134" s="77" t="n"/>
      <c r="AJ134" s="77" t="inlineStr">
        <is>
          <t>Claude + DeepSeek (see Extraction Log for per-cell decisions) | Manual flags RESOLVED using HYUNDAI_ROTEM_2025.pdf: Ind01 (Contract Workers%, 8.92 = 350/3923, p.79), Ind03 (Female Contract%, 11.43 = 40/350, p.79), Ind12 (Annual Pay, 103,000,000 = 103M KRW, p.81), Ind23 (LTIFR, 1.32, p.89) all confirmed as Claude's values; DeepSeek did not match the report in any case.</t>
        </is>
      </c>
      <c r="AK134" s="42" t="inlineStr">
        <is>
          <t>See Extraction Log Notes - Ind.19 Length of Service unexplained wild swing (16.4-&gt;23-&gt;13.2-&gt;11.6); Ind.23 LTIFR scope possibly Permanent-only vs company-wide across editions; Ind.30 real KCGS upgrade trend B+-&gt;A-&gt;A+ | MANUAL FLAG cells use Claude value as placeholder pending manual review</t>
        </is>
      </c>
    </row>
    <row r="135" ht="15" customHeight="1" s="43">
      <c r="A135" s="76" t="n"/>
      <c r="B135" s="76" t="n"/>
      <c r="C135" s="76" t="inlineStr">
        <is>
          <t>Industrials</t>
        </is>
      </c>
      <c r="D135" s="76" t="inlineStr">
        <is>
          <t>2024</t>
        </is>
      </c>
      <c r="E135" s="77" t="n">
        <v>9.859999999999999</v>
      </c>
      <c r="F135" s="77" t="n">
        <v>4.34</v>
      </c>
      <c r="G135" s="77" t="n">
        <v>10.9</v>
      </c>
      <c r="H135" s="77" t="n">
        <v>10.91</v>
      </c>
      <c r="I135" s="77" t="n"/>
      <c r="J135" s="77" t="n">
        <v>13.35</v>
      </c>
      <c r="K135" s="77" t="n"/>
      <c r="L135" s="77" t="n"/>
      <c r="M135" s="77" t="n">
        <v>15.7</v>
      </c>
      <c r="N135" s="77" t="n">
        <v>0</v>
      </c>
      <c r="O135" s="77" t="n">
        <v>14</v>
      </c>
      <c r="P135" s="77" t="n">
        <v>120000000</v>
      </c>
      <c r="Q135" s="77" t="n">
        <v>31.39</v>
      </c>
      <c r="R135" s="77" t="n">
        <v>533000</v>
      </c>
      <c r="S135" s="77" t="n">
        <v>33.62</v>
      </c>
      <c r="T135" s="77" t="n">
        <v>5</v>
      </c>
      <c r="U135" s="77" t="n">
        <v>25</v>
      </c>
      <c r="V135" s="77" t="n"/>
      <c r="W135" s="77" t="n">
        <v>11.6</v>
      </c>
      <c r="X135" s="77" t="n">
        <v>2.05</v>
      </c>
      <c r="Y135" s="77" t="n"/>
      <c r="Z135" s="77" t="n">
        <v>50</v>
      </c>
      <c r="AA135" s="77" t="n">
        <v>1.11</v>
      </c>
      <c r="AB135" s="77" t="n">
        <v>0</v>
      </c>
      <c r="AC135" s="78" t="n"/>
      <c r="AD135" s="78" t="n">
        <v>7</v>
      </c>
      <c r="AE135" s="78" t="n">
        <v>78.40000000000001</v>
      </c>
      <c r="AF135" s="78" t="n"/>
      <c r="AG135" s="78" t="n"/>
      <c r="AH135" s="78" t="inlineStr">
        <is>
          <t>A+</t>
        </is>
      </c>
      <c r="AI135" s="77" t="n"/>
      <c r="AJ135" s="77" t="inlineStr">
        <is>
          <t>Claude + DeepSeek (see Extraction Log for per-cell decisions) | Manual flags RESOLVED using HYUNDAI_ROTEM_2025.pdf: Ind01 (Contract Workers%, 9.86 = 413/4190, p.79), Ind03 (Female Contract%, 10.90 = 45/413, p.79), Ind12 (Annual Pay, 120,000,000 = 120M KRW, p.81), Ind23 (LTIFR, 1.11, p.89) all confirmed as Claude's values; DeepSeek did not match the report in any case.</t>
        </is>
      </c>
      <c r="AK135" s="42" t="inlineStr">
        <is>
          <t>See Extraction Log Notes - Ind.19 Length of Service unexplained wild swing (16.4-&gt;23-&gt;13.2-&gt;11.6); Ind.23 LTIFR scope possibly Permanent-only vs company-wide across editions; Ind.30 real KCGS upgrade trend B+-&gt;A-&gt;A+ | MANUAL FLAG cells use Claude value as placeholder pending manual review</t>
        </is>
      </c>
    </row>
    <row r="136" ht="15" customHeight="1" s="43">
      <c r="A136" s="80" t="inlineStr">
        <is>
          <t>L&amp;F</t>
        </is>
      </c>
      <c r="B136" s="80" t="inlineStr">
        <is>
          <t>066970</t>
        </is>
      </c>
      <c r="C136" s="79" t="inlineStr">
        <is>
          <t>Materials</t>
        </is>
      </c>
      <c r="D136" s="79" t="inlineStr">
        <is>
          <t>2018</t>
        </is>
      </c>
      <c r="E136" s="77" t="n"/>
      <c r="F136" s="77" t="n"/>
      <c r="G136" s="77" t="n"/>
      <c r="H136" s="77" t="n"/>
      <c r="I136" s="77" t="n"/>
      <c r="J136" s="77" t="n"/>
      <c r="K136" s="77" t="n"/>
      <c r="L136" s="77" t="n"/>
      <c r="M136" s="77" t="n"/>
      <c r="N136" s="77" t="n"/>
      <c r="O136" s="77" t="n"/>
      <c r="P136" s="77" t="n"/>
      <c r="Q136" s="77" t="n"/>
      <c r="R136" s="77" t="n"/>
      <c r="S136" s="77" t="n"/>
      <c r="T136" s="77" t="n"/>
      <c r="U136" s="77" t="n"/>
      <c r="V136" s="77" t="n"/>
      <c r="W136" s="77" t="n"/>
      <c r="X136" s="77" t="n"/>
      <c r="Y136" s="77" t="n"/>
      <c r="Z136" s="77" t="n"/>
      <c r="AA136" s="77" t="n"/>
      <c r="AB136" s="77" t="n"/>
      <c r="AC136" s="78" t="n"/>
      <c r="AD136" s="78" t="n"/>
      <c r="AE136" s="78" t="n"/>
      <c r="AF136" s="78" t="n"/>
      <c r="AG136" s="78" t="n"/>
      <c r="AH136" s="78" t="n"/>
      <c r="AI136" s="77" t="n"/>
      <c r="AJ136" s="77" t="inlineStr">
        <is>
          <t>Claude + DeepSeek (see Extraction Log for per-cell decisions)</t>
        </is>
      </c>
      <c r="AK136" s="42" t="inlineStr">
        <is>
          <t>2018-2020/2024 no data - report window is 2021-2023. See Extraction Log Notes - Ind.13 negative gender pay gap (women earn more); Ind.19 tenure figure ambiguous scope | MANUAL FLAG cells use Claude value as placeholder pending manual review</t>
        </is>
      </c>
    </row>
    <row r="137" ht="15" customHeight="1" s="43">
      <c r="A137" s="76" t="n"/>
      <c r="B137" s="76" t="n"/>
      <c r="C137" s="76" t="inlineStr">
        <is>
          <t>Materials</t>
        </is>
      </c>
      <c r="D137" s="76" t="inlineStr">
        <is>
          <t>2019</t>
        </is>
      </c>
      <c r="E137" s="77" t="n"/>
      <c r="F137" s="77" t="n"/>
      <c r="G137" s="77" t="n"/>
      <c r="H137" s="77" t="n"/>
      <c r="I137" s="77" t="n"/>
      <c r="J137" s="77" t="n"/>
      <c r="K137" s="77" t="n"/>
      <c r="L137" s="77" t="n"/>
      <c r="M137" s="77" t="n"/>
      <c r="N137" s="77" t="n"/>
      <c r="O137" s="77" t="n"/>
      <c r="P137" s="77" t="n"/>
      <c r="Q137" s="77" t="n"/>
      <c r="R137" s="77" t="n"/>
      <c r="S137" s="77" t="n"/>
      <c r="T137" s="77" t="n"/>
      <c r="U137" s="77" t="n"/>
      <c r="V137" s="77" t="n"/>
      <c r="W137" s="77" t="n"/>
      <c r="X137" s="77" t="n"/>
      <c r="Y137" s="77" t="n"/>
      <c r="Z137" s="77" t="n"/>
      <c r="AA137" s="77" t="n"/>
      <c r="AB137" s="77" t="n"/>
      <c r="AC137" s="78" t="n"/>
      <c r="AD137" s="78" t="n"/>
      <c r="AE137" s="78" t="n"/>
      <c r="AF137" s="78" t="n"/>
      <c r="AG137" s="78" t="n"/>
      <c r="AH137" s="78" t="n"/>
      <c r="AI137" s="77" t="n"/>
      <c r="AJ137" s="77" t="inlineStr">
        <is>
          <t>Claude + DeepSeek (see Extraction Log for per-cell decisions)</t>
        </is>
      </c>
      <c r="AK137" s="42" t="inlineStr">
        <is>
          <t>2018-2020/2024 no data - report window is 2021-2023. See Extraction Log Notes - Ind.13 negative gender pay gap (women earn more); Ind.19 tenure figure ambiguous scope | MANUAL FLAG cells use Claude value as placeholder pending manual review</t>
        </is>
      </c>
    </row>
    <row r="138" ht="15" customHeight="1" s="43">
      <c r="A138" s="79" t="n"/>
      <c r="B138" s="79" t="n"/>
      <c r="C138" s="79" t="inlineStr">
        <is>
          <t>Materials</t>
        </is>
      </c>
      <c r="D138" s="79" t="inlineStr">
        <is>
          <t>2020</t>
        </is>
      </c>
      <c r="E138" s="77" t="n"/>
      <c r="F138" s="77" t="n"/>
      <c r="G138" s="77" t="n"/>
      <c r="H138" s="77" t="n"/>
      <c r="I138" s="77" t="n"/>
      <c r="J138" s="77" t="n"/>
      <c r="K138" s="77" t="n"/>
      <c r="L138" s="77" t="n"/>
      <c r="M138" s="77" t="n"/>
      <c r="N138" s="77" t="n"/>
      <c r="O138" s="77" t="n"/>
      <c r="P138" s="77" t="n"/>
      <c r="Q138" s="77" t="n"/>
      <c r="R138" s="77" t="n"/>
      <c r="S138" s="77" t="n"/>
      <c r="T138" s="77" t="n"/>
      <c r="U138" s="77" t="n"/>
      <c r="V138" s="77" t="n"/>
      <c r="W138" s="77" t="n"/>
      <c r="X138" s="77" t="n"/>
      <c r="Y138" s="77" t="n"/>
      <c r="Z138" s="77" t="n"/>
      <c r="AA138" s="77" t="n"/>
      <c r="AB138" s="77" t="n"/>
      <c r="AC138" s="78" t="n"/>
      <c r="AD138" s="78" t="n"/>
      <c r="AE138" s="78" t="n"/>
      <c r="AF138" s="78" t="n"/>
      <c r="AG138" s="78" t="n"/>
      <c r="AH138" s="78" t="n"/>
      <c r="AI138" s="77" t="n"/>
      <c r="AJ138" s="77" t="inlineStr">
        <is>
          <t>Claude + DeepSeek (see Extraction Log for per-cell decisions)</t>
        </is>
      </c>
      <c r="AK138" s="42" t="inlineStr">
        <is>
          <t>2018-2020/2024 no data - report window is 2021-2023. See Extraction Log Notes - Ind.13 negative gender pay gap (women earn more); Ind.19 tenure figure ambiguous scope | MANUAL FLAG cells use Claude value as placeholder pending manual review</t>
        </is>
      </c>
    </row>
    <row r="139" ht="15" customHeight="1" s="43">
      <c r="A139" s="76" t="n"/>
      <c r="B139" s="76" t="n"/>
      <c r="C139" s="76" t="inlineStr">
        <is>
          <t>Materials</t>
        </is>
      </c>
      <c r="D139" s="76" t="inlineStr">
        <is>
          <t>2021</t>
        </is>
      </c>
      <c r="E139" s="77" t="n">
        <v>0</v>
      </c>
      <c r="F139" s="77" t="n">
        <v>7.8</v>
      </c>
      <c r="G139" s="77" t="n"/>
      <c r="H139" s="77" t="n">
        <v>67.72</v>
      </c>
      <c r="I139" s="77" t="n">
        <v>0</v>
      </c>
      <c r="J139" s="77" t="n">
        <v>5.26</v>
      </c>
      <c r="K139" s="77" t="n"/>
      <c r="L139" s="77" t="n">
        <v>0</v>
      </c>
      <c r="M139" s="77" t="n"/>
      <c r="N139" s="77" t="n"/>
      <c r="O139" s="77" t="n">
        <v>0</v>
      </c>
      <c r="P139" s="77" t="n">
        <v>42000000</v>
      </c>
      <c r="Q139" s="77" t="n">
        <v>-6</v>
      </c>
      <c r="R139" s="77" t="n">
        <v>9508</v>
      </c>
      <c r="S139" s="77" t="n">
        <v>15</v>
      </c>
      <c r="T139" s="77" t="n">
        <v>3</v>
      </c>
      <c r="U139" s="77" t="n">
        <v>0</v>
      </c>
      <c r="V139" s="77" t="n">
        <v>100</v>
      </c>
      <c r="W139" s="77" t="n">
        <v>0.67</v>
      </c>
      <c r="X139" s="77" t="n">
        <v>31</v>
      </c>
      <c r="Y139" s="77" t="n"/>
      <c r="Z139" s="77" t="n">
        <v>0</v>
      </c>
      <c r="AA139" s="77" t="n"/>
      <c r="AB139" s="77" t="n">
        <v>0</v>
      </c>
      <c r="AC139" s="78" t="n">
        <v>1</v>
      </c>
      <c r="AD139" s="78" t="n"/>
      <c r="AE139" s="78" t="n"/>
      <c r="AF139" s="78" t="n"/>
      <c r="AG139" s="78" t="n"/>
      <c r="AH139" s="78" t="n"/>
      <c r="AI139" s="77" t="n"/>
      <c r="AJ139" s="77" t="inlineStr">
        <is>
          <t>Claude + DeepSeek (see Extraction Log for per-cell decisions)</t>
        </is>
      </c>
      <c r="AK139" s="42" t="inlineStr">
        <is>
          <t>2018-2020/2024 no data - report window is 2021-2023. See Extraction Log Notes - Ind.13 negative gender pay gap (women earn more); Ind.19 tenure figure ambiguous scope | MANUAL FLAG cells use Claude value as placeholder pending manual review</t>
        </is>
      </c>
    </row>
    <row r="140" ht="15" customHeight="1" s="43">
      <c r="A140" s="79" t="n"/>
      <c r="B140" s="79" t="n"/>
      <c r="C140" s="79" t="inlineStr">
        <is>
          <t>Materials</t>
        </is>
      </c>
      <c r="D140" s="79" t="inlineStr">
        <is>
          <t>2022</t>
        </is>
      </c>
      <c r="E140" s="77" t="n">
        <v>0</v>
      </c>
      <c r="F140" s="77" t="n">
        <v>7.33</v>
      </c>
      <c r="G140" s="77" t="n"/>
      <c r="H140" s="77" t="n">
        <v>47.98</v>
      </c>
      <c r="I140" s="77" t="n">
        <v>0</v>
      </c>
      <c r="J140" s="77" t="n">
        <v>5.04</v>
      </c>
      <c r="K140" s="77" t="n"/>
      <c r="L140" s="77" t="n">
        <v>0</v>
      </c>
      <c r="M140" s="77" t="n"/>
      <c r="N140" s="77" t="n"/>
      <c r="O140" s="77" t="n">
        <v>0</v>
      </c>
      <c r="P140" s="77" t="n">
        <v>76000000</v>
      </c>
      <c r="Q140" s="77" t="n">
        <v>-13</v>
      </c>
      <c r="R140" s="77" t="n">
        <v>11682</v>
      </c>
      <c r="S140" s="77" t="n">
        <v>18</v>
      </c>
      <c r="T140" s="77" t="n">
        <v>5</v>
      </c>
      <c r="U140" s="77" t="n">
        <v>3</v>
      </c>
      <c r="V140" s="77" t="n">
        <v>100</v>
      </c>
      <c r="W140" s="77" t="n">
        <v>0.75</v>
      </c>
      <c r="X140" s="77" t="n">
        <v>18</v>
      </c>
      <c r="Y140" s="77" t="n"/>
      <c r="Z140" s="77" t="n">
        <v>0</v>
      </c>
      <c r="AA140" s="77" t="n"/>
      <c r="AB140" s="77" t="n">
        <v>0</v>
      </c>
      <c r="AC140" s="78" t="n">
        <v>1</v>
      </c>
      <c r="AD140" s="78" t="n"/>
      <c r="AE140" s="78" t="n"/>
      <c r="AF140" s="78" t="n"/>
      <c r="AG140" s="78" t="n"/>
      <c r="AH140" s="78" t="n"/>
      <c r="AI140" s="77" t="n"/>
      <c r="AJ140" s="77" t="inlineStr">
        <is>
          <t>Claude + DeepSeek (see Extraction Log for per-cell decisions)</t>
        </is>
      </c>
      <c r="AK140" s="42" t="inlineStr">
        <is>
          <t>2018-2020/2024 no data - report window is 2021-2023. See Extraction Log Notes - Ind.13 negative gender pay gap (women earn more); Ind.19 tenure figure ambiguous scope | MANUAL FLAG cells use Claude value as placeholder pending manual review</t>
        </is>
      </c>
    </row>
    <row r="141" ht="15" customHeight="1" s="43">
      <c r="A141" s="76" t="n"/>
      <c r="B141" s="76" t="n"/>
      <c r="C141" s="76" t="inlineStr">
        <is>
          <t>Materials</t>
        </is>
      </c>
      <c r="D141" s="76" t="inlineStr">
        <is>
          <t>2023</t>
        </is>
      </c>
      <c r="E141" s="77" t="n">
        <v>0</v>
      </c>
      <c r="F141" s="77" t="n">
        <v>8.220000000000001</v>
      </c>
      <c r="G141" s="77" t="n"/>
      <c r="H141" s="77" t="n">
        <v>31.26</v>
      </c>
      <c r="I141" s="77" t="n"/>
      <c r="J141" s="77" t="n">
        <v>10.02</v>
      </c>
      <c r="K141" s="77" t="n"/>
      <c r="L141" s="77" t="n">
        <v>0</v>
      </c>
      <c r="M141" s="77" t="n">
        <v>7.59</v>
      </c>
      <c r="N141" s="77" t="n">
        <v>3.85</v>
      </c>
      <c r="O141" s="77" t="n">
        <v>12.5</v>
      </c>
      <c r="P141" s="77" t="n">
        <v>78000000</v>
      </c>
      <c r="Q141" s="77" t="n">
        <v>-11</v>
      </c>
      <c r="R141" s="77" t="n">
        <v>85624</v>
      </c>
      <c r="S141" s="77" t="n">
        <v>16</v>
      </c>
      <c r="T141" s="77" t="n">
        <v>8</v>
      </c>
      <c r="U141" s="77" t="n">
        <v>5</v>
      </c>
      <c r="V141" s="77" t="n">
        <v>100</v>
      </c>
      <c r="W141" s="77" t="n">
        <v>1.67</v>
      </c>
      <c r="X141" s="77" t="n">
        <v>15</v>
      </c>
      <c r="Y141" s="77" t="n">
        <v>0</v>
      </c>
      <c r="Z141" s="77" t="n">
        <v>0</v>
      </c>
      <c r="AA141" s="77" t="n">
        <v>0.51</v>
      </c>
      <c r="AB141" s="77" t="n">
        <v>0</v>
      </c>
      <c r="AC141" s="78" t="n"/>
      <c r="AD141" s="78" t="n">
        <v>5</v>
      </c>
      <c r="AE141" s="78" t="n"/>
      <c r="AF141" s="78" t="n"/>
      <c r="AG141" s="78" t="n"/>
      <c r="AH141" s="78" t="n"/>
      <c r="AI141" s="77" t="n"/>
      <c r="AJ141" s="77" t="inlineStr">
        <is>
          <t>Claude + DeepSeek (see Extraction Log for per-cell decisions)</t>
        </is>
      </c>
      <c r="AK141" s="42" t="inlineStr">
        <is>
          <t>2018-2020/2024 no data - report window is 2021-2023. See Extraction Log Notes - Ind.13 negative gender pay gap (women earn more); Ind.19 tenure figure ambiguous scope | MANUAL FLAG cells use Claude value as placeholder pending manual review</t>
        </is>
      </c>
    </row>
    <row r="142" ht="15" customHeight="1" s="43">
      <c r="A142" s="79" t="n"/>
      <c r="B142" s="79" t="n"/>
      <c r="C142" s="79" t="inlineStr">
        <is>
          <t>Materials</t>
        </is>
      </c>
      <c r="D142" s="79" t="inlineStr">
        <is>
          <t>2024</t>
        </is>
      </c>
      <c r="E142" s="77" t="n">
        <v>0</v>
      </c>
      <c r="F142" s="77" t="n">
        <v>9.4339</v>
      </c>
      <c r="G142" s="77" t="n"/>
      <c r="H142" s="77" t="n">
        <v>8.949999999999999</v>
      </c>
      <c r="I142" s="77" t="n"/>
      <c r="J142" s="77" t="n">
        <v>21.77</v>
      </c>
      <c r="K142" s="77" t="n"/>
      <c r="L142" s="77" t="n">
        <v>0</v>
      </c>
      <c r="M142" s="77" t="n">
        <v>7.17</v>
      </c>
      <c r="N142" s="77" t="n">
        <v>3.45</v>
      </c>
      <c r="O142" s="77" t="n">
        <v>37.5</v>
      </c>
      <c r="P142" s="77" t="n">
        <v>51080000</v>
      </c>
      <c r="Q142" s="77" t="n">
        <v>51</v>
      </c>
      <c r="R142" s="77" t="n">
        <v>180767</v>
      </c>
      <c r="S142" s="77" t="n"/>
      <c r="T142" s="77" t="n">
        <v>15</v>
      </c>
      <c r="U142" s="77" t="n">
        <v>212</v>
      </c>
      <c r="V142" s="77" t="n">
        <v>100</v>
      </c>
      <c r="W142" s="77" t="n">
        <v>2.33</v>
      </c>
      <c r="X142" s="77" t="n">
        <v>14</v>
      </c>
      <c r="Y142" s="77" t="n">
        <v>0.06</v>
      </c>
      <c r="Z142" s="77" t="n"/>
      <c r="AA142" s="77" t="n">
        <v>0.84</v>
      </c>
      <c r="AB142" s="77" t="n">
        <v>0</v>
      </c>
      <c r="AC142" s="78" t="n"/>
      <c r="AD142" s="78" t="n">
        <v>5</v>
      </c>
      <c r="AE142" s="78" t="n"/>
      <c r="AF142" s="78" t="n"/>
      <c r="AG142" s="78" t="n"/>
      <c r="AH142" s="78" t="n"/>
      <c r="AI142" s="77" t="n"/>
      <c r="AJ142" s="77" t="inlineStr">
        <is>
          <t>Claude + DeepSeek (see Extraction Log for per-cell decisions)</t>
        </is>
      </c>
      <c r="AK142" s="42" t="inlineStr">
        <is>
          <t>2018-2020/2024 no data - report window is 2021-2023. See Extraction Log Notes - Ind.13 negative gender pay gap (women earn more); Ind.19 tenure figure ambiguous scope | MANUAL FLAG cells use Claude value as placeholder pending manual review</t>
        </is>
      </c>
    </row>
  </sheetData>
  <mergeCells count="1">
    <mergeCell ref="A1:AJ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3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42" min="1" max="1"/>
    <col width="72" customWidth="1" style="42" min="2" max="2"/>
  </cols>
  <sheetData>
    <row r="1" ht="15" customHeight="1" s="43">
      <c r="A1" s="81" t="inlineStr">
        <is>
          <t>Instructions</t>
        </is>
      </c>
    </row>
    <row r="2" ht="27.75" customHeight="1" s="43">
      <c r="A2" s="82" t="inlineStr">
        <is>
          <t>YOUR 20 COMPANIES</t>
        </is>
      </c>
      <c r="B2" s="83" t="n"/>
    </row>
    <row r="3" ht="27.75" customHeight="1" s="43">
      <c r="A3" s="84" t="inlineStr">
        <is>
          <t>1. COWAY</t>
        </is>
      </c>
      <c r="B3" s="84" t="inlineStr">
        <is>
          <t>021240 | Consumer Discretionary</t>
        </is>
      </c>
    </row>
    <row r="4" ht="27.75" customHeight="1" s="43">
      <c r="A4" s="84" t="inlineStr">
        <is>
          <t>2. YUHAN</t>
        </is>
      </c>
      <c r="B4" s="84" t="inlineStr">
        <is>
          <t>000100 | Health Care</t>
        </is>
      </c>
    </row>
    <row r="5" ht="27.75" customHeight="1" s="43">
      <c r="A5" s="84" t="inlineStr">
        <is>
          <t>3. SKBP</t>
        </is>
      </c>
      <c r="B5" s="84" t="inlineStr">
        <is>
          <t>326030 | Health Care</t>
        </is>
      </c>
    </row>
    <row r="6" ht="27.75" customHeight="1" s="43">
      <c r="A6" s="84" t="inlineStr">
        <is>
          <t>4. HANMI PHARM</t>
        </is>
      </c>
      <c r="B6" s="84" t="inlineStr">
        <is>
          <t>128940 | Health Care</t>
        </is>
      </c>
    </row>
    <row r="7" ht="27.75" customHeight="1" s="43">
      <c r="A7" s="84" t="inlineStr">
        <is>
          <t>5. APR</t>
        </is>
      </c>
      <c r="B7" s="84" t="inlineStr">
        <is>
          <t>278470 | Consumer Staples</t>
        </is>
      </c>
    </row>
    <row r="8" ht="27.75" customHeight="1" s="43">
      <c r="A8" s="84" t="inlineStr">
        <is>
          <t>6. SAMYANGFOODS</t>
        </is>
      </c>
      <c r="B8" s="84" t="inlineStr">
        <is>
          <t>003230 | Consumer Staples</t>
        </is>
      </c>
    </row>
    <row r="9" ht="27.75" customHeight="1" s="43">
      <c r="A9" s="84" t="inlineStr">
        <is>
          <t>7. OCI HOLDINGS</t>
        </is>
      </c>
      <c r="B9" s="84" t="inlineStr">
        <is>
          <t>010060 | Financials</t>
        </is>
      </c>
    </row>
    <row r="10" ht="27.75" customHeight="1" s="43">
      <c r="A10" s="84" t="inlineStr">
        <is>
          <t>8. SHINSEGAE</t>
        </is>
      </c>
      <c r="B10" s="84" t="inlineStr">
        <is>
          <t>004170 | Consumer Discretionary</t>
        </is>
      </c>
    </row>
    <row r="11" ht="27.75" customHeight="1" s="43">
      <c r="A11" s="84" t="inlineStr">
        <is>
          <t>9. SKC</t>
        </is>
      </c>
      <c r="B11" s="84" t="inlineStr">
        <is>
          <t>011790 | Materials</t>
        </is>
      </c>
    </row>
    <row r="12" ht="27.75" customHeight="1" s="43">
      <c r="A12" s="84" t="inlineStr">
        <is>
          <t>10. DOOSAN BOBCAT</t>
        </is>
      </c>
      <c r="B12" s="84" t="inlineStr">
        <is>
          <t>241560 | Industrials</t>
        </is>
      </c>
    </row>
    <row r="13" ht="27.75" customHeight="1" s="43">
      <c r="A13" s="84" t="inlineStr">
        <is>
          <t>11. DWEC</t>
        </is>
      </c>
      <c r="B13" s="84" t="inlineStr">
        <is>
          <t>047040 | Industrials</t>
        </is>
      </c>
    </row>
    <row r="14" ht="27.75" customHeight="1" s="43">
      <c r="A14" s="84" t="inlineStr">
        <is>
          <t>12. HANWHA</t>
        </is>
      </c>
      <c r="B14" s="84" t="inlineStr">
        <is>
          <t>000880 | Industrials</t>
        </is>
      </c>
    </row>
    <row r="15" ht="27.75" customHeight="1" s="43">
      <c r="A15" s="84" t="inlineStr">
        <is>
          <t>13. HANWHA AEROSPACE</t>
        </is>
      </c>
      <c r="B15" s="84" t="inlineStr">
        <is>
          <t>012450 | Industrials</t>
        </is>
      </c>
    </row>
    <row r="16" ht="27.75" customHeight="1" s="43">
      <c r="A16" s="84" t="inlineStr">
        <is>
          <t>14. HANWHA OCEAN</t>
        </is>
      </c>
      <c r="B16" s="84" t="inlineStr">
        <is>
          <t>042660 | Industrials</t>
        </is>
      </c>
    </row>
    <row r="17" ht="27.75" customHeight="1" s="43">
      <c r="A17" s="84" t="inlineStr">
        <is>
          <t>15. HANWHA SYSTEMS</t>
        </is>
      </c>
      <c r="B17" s="84" t="inlineStr">
        <is>
          <t>272210 | Industrials</t>
        </is>
      </c>
    </row>
    <row r="18" ht="27.75" customHeight="1" s="43">
      <c r="A18" s="84" t="inlineStr">
        <is>
          <t>16. HD HYUNDAI ELECTRIC</t>
        </is>
      </c>
      <c r="B18" s="84" t="inlineStr">
        <is>
          <t>267260 | Industrials</t>
        </is>
      </c>
    </row>
    <row r="19" ht="27.75" customHeight="1" s="43">
      <c r="A19" s="84" t="inlineStr">
        <is>
          <t>17. HDHMS</t>
        </is>
      </c>
      <c r="B19" s="84" t="inlineStr">
        <is>
          <t>443060 | Industrials</t>
        </is>
      </c>
    </row>
    <row r="20" ht="27.75" customHeight="1" s="43">
      <c r="A20" s="84" t="inlineStr">
        <is>
          <t>18. HYOSUNG HEAVY</t>
        </is>
      </c>
      <c r="B20" s="84" t="inlineStr">
        <is>
          <t>298040 | Industrials</t>
        </is>
      </c>
    </row>
    <row r="21" ht="27.75" customHeight="1" s="43">
      <c r="A21" s="84" t="inlineStr">
        <is>
          <t>19. HYUNDAI ROTEM</t>
        </is>
      </c>
      <c r="B21" s="84" t="inlineStr">
        <is>
          <t>064350 | Industrials</t>
        </is>
      </c>
    </row>
    <row r="22" ht="27.75" customHeight="1" s="43">
      <c r="A22" s="84" t="inlineStr">
        <is>
          <t>20. L&amp;F</t>
        </is>
      </c>
      <c r="B22" s="84" t="inlineStr">
        <is>
          <t>066970 | Materials</t>
        </is>
      </c>
    </row>
    <row r="23" ht="27.75" customHeight="1" s="43">
      <c r="A23" s="70" t="n"/>
      <c r="B23" s="70" t="n"/>
    </row>
    <row r="24" ht="27.75" customHeight="1" s="43">
      <c r="A24" s="82" t="inlineStr">
        <is>
          <t>HOW TO USE</t>
        </is>
      </c>
      <c r="B24" s="83" t="n"/>
    </row>
    <row r="25" ht="27.75" customHeight="1" s="43">
      <c r="A25" s="70" t="inlineStr">
        <is>
          <t>Step 1</t>
        </is>
      </c>
      <c r="B25" s="70" t="inlineStr">
        <is>
          <t>Go to Extraction Log sheet. For each company-year, enter Claude Sonnet value and DeepSeek value in yellow cells. Diff% calculates automatically.</t>
        </is>
      </c>
    </row>
    <row r="26" ht="27.75" customHeight="1" s="43">
      <c r="A26" s="70" t="inlineStr">
        <is>
          <t>Step 2</t>
        </is>
      </c>
      <c r="B26" s="70" t="inlineStr">
        <is>
          <t>Apply decision rules: Diff%&lt;5 write Claude | One blank use the number | Diff%&gt;=5 write MANUAL FLAG and check PDF | Both blank write ND</t>
        </is>
      </c>
    </row>
    <row r="27" ht="27.75" customHeight="1" s="43">
      <c r="A27" s="70" t="inlineStr">
        <is>
          <t>Step 3</t>
        </is>
      </c>
      <c r="B27" s="70" t="inlineStr">
        <is>
          <t>Copy chosen figures into Master Dataset sheet yellow cells. This is imported into R.</t>
        </is>
      </c>
    </row>
    <row r="28" ht="27.75" customHeight="1" s="43">
      <c r="A28" s="70" t="inlineStr">
        <is>
          <t>Step 4</t>
        </is>
      </c>
      <c r="B28" s="70" t="inlineStr">
        <is>
          <t>File &gt; Save As &gt; CSV. Load in R with read.csv()</t>
        </is>
      </c>
    </row>
    <row r="29" ht="27.75" customHeight="1" s="43">
      <c r="A29" s="70" t="n"/>
      <c r="B29" s="70" t="n"/>
    </row>
    <row r="30" ht="27.75" customHeight="1" s="43">
      <c r="A30" s="82" t="inlineStr">
        <is>
          <t>NOTES</t>
        </is>
      </c>
      <c r="B30" s="83" t="n"/>
    </row>
    <row r="31" ht="27.75" customHeight="1" s="43">
      <c r="A31" s="70" t="inlineStr">
        <is>
          <t>Indicators 25-30 (purple)</t>
        </is>
      </c>
      <c r="B31" s="70" t="inlineStr">
        <is>
          <t>Cannot be extracted from company reports. Source externally. Mark ND for now.</t>
        </is>
      </c>
    </row>
    <row r="32" ht="27.75" customHeight="1" s="43">
      <c r="A32" s="70" t="inlineStr">
        <is>
          <t>Missing data</t>
        </is>
      </c>
      <c r="B32" s="70" t="inlineStr">
        <is>
          <t>Leave blank — do NOT enter 0. R handles NA via mice imputation.</t>
        </is>
      </c>
    </row>
    <row r="33" ht="27.75" customHeight="1" s="43">
      <c r="A33" s="70" t="inlineStr">
        <is>
          <t>Percentages</t>
        </is>
      </c>
      <c r="B33" s="70" t="inlineStr">
        <is>
          <t>Enter as numbers: 17.6 not 17.6%</t>
        </is>
      </c>
    </row>
    <row r="34" ht="27.75" customHeight="1" s="43">
      <c r="A34" s="70" t="inlineStr">
        <is>
          <t>Disagreements &gt;5%</t>
        </is>
      </c>
      <c r="B34" s="70" t="inlineStr">
        <is>
          <t>Check source PDF manually. Note correct value and page in Notes column.</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2026-07-25T20:25:06Z</dcterms:created>
  <dcterms:modified xmlns:dcterms="http://purl.org/dc/terms/" xmlns:xsi="http://www.w3.org/2001/XMLSchema-instance" xsi:type="dcterms:W3CDTF">2026-07-28T10:17:35Z</dcterms:modified>
  <cp:revision>0</cp:revision>
</cp:coreProperties>
</file>